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EXCEL/Sales ^0 Order Tracking Dashboard (Excel)/"/>
    </mc:Choice>
  </mc:AlternateContent>
  <xr:revisionPtr revIDLastSave="14" documentId="8_{FFD777EF-7B26-4819-86DB-0C39151297DC}" xr6:coauthVersionLast="47" xr6:coauthVersionMax="47" xr10:uidLastSave="{0CF3DF48-D634-49BE-94C4-603FF461D02E}"/>
  <bookViews>
    <workbookView xWindow="-120" yWindow="-120" windowWidth="29040" windowHeight="15720" activeTab="2" xr2:uid="{46426EEF-C0BE-4C70-95D4-99F701D958EB}"/>
  </bookViews>
  <sheets>
    <sheet name="sales_order_tracking_data" sheetId="2" r:id="rId1"/>
    <sheet name="TARGET" sheetId="3" r:id="rId2"/>
    <sheet name="REPORTS" sheetId="1" r:id="rId3"/>
  </sheets>
  <definedNames>
    <definedName name="ExternalData_1" localSheetId="0" hidden="1">sales_order_tracking_data!$A$1:$Q$3501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  <c r="G41" i="1"/>
  <c r="G42" i="1"/>
  <c r="G43" i="1"/>
  <c r="G44" i="1"/>
  <c r="G45" i="1"/>
  <c r="G40" i="1"/>
  <c r="F46" i="1"/>
  <c r="F41" i="1"/>
  <c r="F42" i="1"/>
  <c r="F43" i="1"/>
  <c r="F44" i="1"/>
  <c r="F45" i="1"/>
  <c r="F40" i="1"/>
  <c r="E40" i="1"/>
  <c r="E46" i="1" s="1"/>
  <c r="E41" i="1"/>
  <c r="E42" i="1"/>
  <c r="E43" i="1"/>
  <c r="E44" i="1"/>
  <c r="E45" i="1"/>
  <c r="D41" i="1"/>
  <c r="D42" i="1"/>
  <c r="D43" i="1"/>
  <c r="D44" i="1"/>
  <c r="D45" i="1"/>
  <c r="D40" i="1"/>
  <c r="D46" i="1" s="1"/>
  <c r="E9" i="1"/>
  <c r="E8" i="1"/>
  <c r="E10" i="1" s="1"/>
  <c r="E7" i="1"/>
  <c r="E6" i="1"/>
  <c r="E19" i="1"/>
  <c r="E20" i="1"/>
  <c r="E18" i="1"/>
  <c r="E17" i="1"/>
  <c r="E30" i="1"/>
  <c r="E31" i="1"/>
  <c r="E32" i="1"/>
  <c r="E29" i="1"/>
  <c r="D30" i="1"/>
  <c r="D31" i="1"/>
  <c r="D32" i="1"/>
  <c r="D29" i="1"/>
  <c r="F18" i="1"/>
  <c r="G18" i="1" s="1"/>
  <c r="F19" i="1"/>
  <c r="G19" i="1" s="1"/>
  <c r="F20" i="1"/>
  <c r="G20" i="1" s="1"/>
  <c r="F17" i="1"/>
  <c r="G17" i="1" s="1"/>
  <c r="D20" i="1"/>
  <c r="D19" i="1"/>
  <c r="D18" i="1"/>
  <c r="D17" i="1"/>
  <c r="D8" i="1"/>
  <c r="D10" i="1" s="1"/>
  <c r="D7" i="1"/>
  <c r="D6" i="1"/>
  <c r="D9" i="1"/>
  <c r="L3504" i="2"/>
  <c r="O3506" i="2"/>
  <c r="D33" i="1" l="1"/>
  <c r="D21" i="1"/>
  <c r="F21" i="1"/>
  <c r="E33" i="1"/>
  <c r="F29" i="1" s="1"/>
  <c r="E21" i="1"/>
  <c r="F32" i="1" l="1"/>
  <c r="F30" i="1"/>
  <c r="F31" i="1"/>
  <c r="H18" i="1"/>
  <c r="H19" i="1"/>
  <c r="H20" i="1"/>
  <c r="H17" i="1"/>
  <c r="F3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DC13A-5B14-43D5-88D7-AD3096DA0385}" keepAlive="1" name="Query - sales_order_tracking_data" description="Connection to the 'sales_order_tracking_data' query in the workbook." type="5" refreshedVersion="8" background="1" saveData="1">
    <dbPr connection="Provider=Microsoft.Mashup.OleDb.1;Data Source=$Workbook$;Location=sales_order_tracking_data;Extended Properties=&quot;&quot;" command="SELECT * FROM [sales_order_tracking_data]"/>
  </connection>
</connections>
</file>

<file path=xl/sharedStrings.xml><?xml version="1.0" encoding="utf-8"?>
<sst xmlns="http://schemas.openxmlformats.org/spreadsheetml/2006/main" count="35094" uniqueCount="3656">
  <si>
    <t>Invoice_Number</t>
  </si>
  <si>
    <t>Invoice_Date</t>
  </si>
  <si>
    <t>Region</t>
  </si>
  <si>
    <t>Branch</t>
  </si>
  <si>
    <t>Sales_Channel</t>
  </si>
  <si>
    <t>Sales_Executive</t>
  </si>
  <si>
    <t>Customer_Name</t>
  </si>
  <si>
    <t>Product_Category</t>
  </si>
  <si>
    <t>Product_Name</t>
  </si>
  <si>
    <t>Quantity</t>
  </si>
  <si>
    <t>Unit_Price</t>
  </si>
  <si>
    <t>Gross_Sales</t>
  </si>
  <si>
    <t>Discount_Amount</t>
  </si>
  <si>
    <t>Return_Amount</t>
  </si>
  <si>
    <t>Net_Sales</t>
  </si>
  <si>
    <t>Order_Status</t>
  </si>
  <si>
    <t>Payment_Status</t>
  </si>
  <si>
    <t>INV-2026-00001</t>
  </si>
  <si>
    <t>East</t>
  </si>
  <si>
    <t>Guwahati</t>
  </si>
  <si>
    <t>Direct Sales</t>
  </si>
  <si>
    <t>Anita Desai</t>
  </si>
  <si>
    <t>Urban Store</t>
  </si>
  <si>
    <t>Stationery</t>
  </si>
  <si>
    <t>Notebook</t>
  </si>
  <si>
    <t>Completed</t>
  </si>
  <si>
    <t>Paid</t>
  </si>
  <si>
    <t>INV-2026-00002</t>
  </si>
  <si>
    <t>Bhubaneswar</t>
  </si>
  <si>
    <t>Skyline Corp</t>
  </si>
  <si>
    <t>File Folder</t>
  </si>
  <si>
    <t>Cancelled</t>
  </si>
  <si>
    <t>Pending</t>
  </si>
  <si>
    <t>INV-2026-00003</t>
  </si>
  <si>
    <t>Kolkata</t>
  </si>
  <si>
    <t>Retail Store</t>
  </si>
  <si>
    <t>Priya Patel</t>
  </si>
  <si>
    <t>Prime Retail</t>
  </si>
  <si>
    <t>Furniture</t>
  </si>
  <si>
    <t>Cabinet</t>
  </si>
  <si>
    <t>INV-2026-00004</t>
  </si>
  <si>
    <t>Online</t>
  </si>
  <si>
    <t>Amit Kumar</t>
  </si>
  <si>
    <t>Nexus Ltd</t>
  </si>
  <si>
    <t>Sports Equipment</t>
  </si>
  <si>
    <t>Cricket Bat</t>
  </si>
  <si>
    <t>INV-2026-00005</t>
  </si>
  <si>
    <t>South</t>
  </si>
  <si>
    <t>Hyderabad</t>
  </si>
  <si>
    <t>Distributor</t>
  </si>
  <si>
    <t>Rajesh Verma</t>
  </si>
  <si>
    <t>Future Tech</t>
  </si>
  <si>
    <t>Desk Organizer</t>
  </si>
  <si>
    <t>INV-2026-00006</t>
  </si>
  <si>
    <t>Central</t>
  </si>
  <si>
    <t>Bhopal</t>
  </si>
  <si>
    <t>Omega Stores</t>
  </si>
  <si>
    <t>Electronics</t>
  </si>
  <si>
    <t>Headphones</t>
  </si>
  <si>
    <t>INV-2026-00007</t>
  </si>
  <si>
    <t>West</t>
  </si>
  <si>
    <t>Pune</t>
  </si>
  <si>
    <t>Sneha Reddy</t>
  </si>
  <si>
    <t>Smart Systems</t>
  </si>
  <si>
    <t>INV-2026-00008</t>
  </si>
  <si>
    <t>Surat</t>
  </si>
  <si>
    <t>Elite Enterprises</t>
  </si>
  <si>
    <t>Clothing</t>
  </si>
  <si>
    <t>Formal Shirt</t>
  </si>
  <si>
    <t>INV-2026-00009</t>
  </si>
  <si>
    <t>Indore</t>
  </si>
  <si>
    <t>Suresh Gupta</t>
  </si>
  <si>
    <t>Tablet</t>
  </si>
  <si>
    <t>Processing</t>
  </si>
  <si>
    <t>INV-2026-00010</t>
  </si>
  <si>
    <t>Patna</t>
  </si>
  <si>
    <t>INV-2026-00011</t>
  </si>
  <si>
    <t>Dress</t>
  </si>
  <si>
    <t>INV-2026-00012</t>
  </si>
  <si>
    <t>North</t>
  </si>
  <si>
    <t>Jaipur</t>
  </si>
  <si>
    <t>Metro Mart</t>
  </si>
  <si>
    <t>Office Chair</t>
  </si>
  <si>
    <t>INV-2026-00013</t>
  </si>
  <si>
    <t>Vijay Singh</t>
  </si>
  <si>
    <t>Alpha Trading</t>
  </si>
  <si>
    <t>Sofa</t>
  </si>
  <si>
    <t>INV-2026-00014</t>
  </si>
  <si>
    <t>Bangalore</t>
  </si>
  <si>
    <t>XYZ Ltd</t>
  </si>
  <si>
    <t>INV-2026-00015</t>
  </si>
  <si>
    <t>Lucknow</t>
  </si>
  <si>
    <t>Camera</t>
  </si>
  <si>
    <t>INV-2026-00016</t>
  </si>
  <si>
    <t>Home Appliances</t>
  </si>
  <si>
    <t>Microwave</t>
  </si>
  <si>
    <t>INV-2026-00017</t>
  </si>
  <si>
    <t>Raipur</t>
  </si>
  <si>
    <t>Tech Solutions</t>
  </si>
  <si>
    <t>Whiteboard</t>
  </si>
  <si>
    <t>INV-2026-00018</t>
  </si>
  <si>
    <t>Chandigarh</t>
  </si>
  <si>
    <t>Global Traders</t>
  </si>
  <si>
    <t>Shoes</t>
  </si>
  <si>
    <t>INV-2026-00019</t>
  </si>
  <si>
    <t>Rahul Sharma</t>
  </si>
  <si>
    <t>INV-2026-00020</t>
  </si>
  <si>
    <t>Delhi</t>
  </si>
  <si>
    <t>Bookshelf</t>
  </si>
  <si>
    <t>INV-2026-00021</t>
  </si>
  <si>
    <t>Pen Set</t>
  </si>
  <si>
    <t>INV-2026-00022</t>
  </si>
  <si>
    <t>Kavita Nair</t>
  </si>
  <si>
    <t>INV-2026-00023</t>
  </si>
  <si>
    <t>Chennai</t>
  </si>
  <si>
    <t>Vacuum Cleaner</t>
  </si>
  <si>
    <t>INV-2026-00024</t>
  </si>
  <si>
    <t>INV-2026-00025</t>
  </si>
  <si>
    <t>Smart Watch</t>
  </si>
  <si>
    <t>INV-2026-00026</t>
  </si>
  <si>
    <t>Desk</t>
  </si>
  <si>
    <t>INV-2026-00027</t>
  </si>
  <si>
    <t>INV-2026-00028</t>
  </si>
  <si>
    <t>Mumbai</t>
  </si>
  <si>
    <t>Yoga Mat</t>
  </si>
  <si>
    <t>INV-2026-00029</t>
  </si>
  <si>
    <t>INV-2026-00030</t>
  </si>
  <si>
    <t>Kochi</t>
  </si>
  <si>
    <t>Overdue</t>
  </si>
  <si>
    <t>INV-2026-00031</t>
  </si>
  <si>
    <t>INV-2026-00032</t>
  </si>
  <si>
    <t>Printer Paper</t>
  </si>
  <si>
    <t>INV-2026-00033</t>
  </si>
  <si>
    <t>Nagpur</t>
  </si>
  <si>
    <t>INV-2026-00034</t>
  </si>
  <si>
    <t>Bicycle</t>
  </si>
  <si>
    <t>INV-2026-00035</t>
  </si>
  <si>
    <t>Meera Joshi</t>
  </si>
  <si>
    <t>ABC Corp</t>
  </si>
  <si>
    <t>INV-2026-00036</t>
  </si>
  <si>
    <t>Digital Hub</t>
  </si>
  <si>
    <t>Tennis Racket</t>
  </si>
  <si>
    <t>INV-2026-00037</t>
  </si>
  <si>
    <t>INV-2026-00038</t>
  </si>
  <si>
    <t>Washing Machine</t>
  </si>
  <si>
    <t>INV-2026-00039</t>
  </si>
  <si>
    <t>INV-2026-00040</t>
  </si>
  <si>
    <t>INV-2026-00041</t>
  </si>
  <si>
    <t>Laptop</t>
  </si>
  <si>
    <t>INV-2026-00042</t>
  </si>
  <si>
    <t>INV-2026-00043</t>
  </si>
  <si>
    <t>Ahmedabad</t>
  </si>
  <si>
    <t>Gym Equipment</t>
  </si>
  <si>
    <t>INV-2026-00044</t>
  </si>
  <si>
    <t>Jacket</t>
  </si>
  <si>
    <t>INV-2026-00045</t>
  </si>
  <si>
    <t>INV-2026-00046</t>
  </si>
  <si>
    <t>INV-2026-00047</t>
  </si>
  <si>
    <t>INV-2026-00048</t>
  </si>
  <si>
    <t>INV-2026-00049</t>
  </si>
  <si>
    <t>Smartphone</t>
  </si>
  <si>
    <t>INV-2026-00050</t>
  </si>
  <si>
    <t>INV-2026-00051</t>
  </si>
  <si>
    <t>TV</t>
  </si>
  <si>
    <t>INV-2026-00052</t>
  </si>
  <si>
    <t>INV-2026-00053</t>
  </si>
  <si>
    <t>INV-2026-00054</t>
  </si>
  <si>
    <t>INV-2026-00055</t>
  </si>
  <si>
    <t>INV-2026-00056</t>
  </si>
  <si>
    <t>INV-2026-00057</t>
  </si>
  <si>
    <t>T-Shirt</t>
  </si>
  <si>
    <t>INV-2026-00058</t>
  </si>
  <si>
    <t>INV-2026-00059</t>
  </si>
  <si>
    <t>INV-2026-00060</t>
  </si>
  <si>
    <t>INV-2026-00061</t>
  </si>
  <si>
    <t>Conference Table</t>
  </si>
  <si>
    <t>INV-2026-00062</t>
  </si>
  <si>
    <t>Air Conditioner</t>
  </si>
  <si>
    <t>INV-2026-00063</t>
  </si>
  <si>
    <t>INV-2026-00064</t>
  </si>
  <si>
    <t>INV-2026-00065</t>
  </si>
  <si>
    <t>INV-2026-00066</t>
  </si>
  <si>
    <t>INV-2026-00067</t>
  </si>
  <si>
    <t>INV-2026-00068</t>
  </si>
  <si>
    <t>INV-2026-00069</t>
  </si>
  <si>
    <t>INV-2026-00070</t>
  </si>
  <si>
    <t>INV-2026-00071</t>
  </si>
  <si>
    <t>INV-2026-00072</t>
  </si>
  <si>
    <t>INV-2026-00073</t>
  </si>
  <si>
    <t>INV-2026-00074</t>
  </si>
  <si>
    <t>INV-2026-00075</t>
  </si>
  <si>
    <t>INV-2026-00076</t>
  </si>
  <si>
    <t>INV-2026-00077</t>
  </si>
  <si>
    <t>Refrigerator</t>
  </si>
  <si>
    <t>INV-2026-00078</t>
  </si>
  <si>
    <t>INV-2026-00079</t>
  </si>
  <si>
    <t>INV-2026-00080</t>
  </si>
  <si>
    <t>INV-2026-00081</t>
  </si>
  <si>
    <t>INV-2026-00082</t>
  </si>
  <si>
    <t>INV-2026-00083</t>
  </si>
  <si>
    <t>INV-2026-00084</t>
  </si>
  <si>
    <t>Jeans</t>
  </si>
  <si>
    <t>INV-2026-00085</t>
  </si>
  <si>
    <t>INV-2026-00086</t>
  </si>
  <si>
    <t>INV-2026-00087</t>
  </si>
  <si>
    <t>INV-2026-00088</t>
  </si>
  <si>
    <t>INV-2026-00089</t>
  </si>
  <si>
    <t>INV-2026-00090</t>
  </si>
  <si>
    <t>INV-2026-00091</t>
  </si>
  <si>
    <t>INV-2026-00092</t>
  </si>
  <si>
    <t>INV-2026-00093</t>
  </si>
  <si>
    <t>INV-2026-00094</t>
  </si>
  <si>
    <t>INV-2026-00095</t>
  </si>
  <si>
    <t>INV-2026-00096</t>
  </si>
  <si>
    <t>INV-2026-00097</t>
  </si>
  <si>
    <t>INV-2026-00098</t>
  </si>
  <si>
    <t>INV-2026-00099</t>
  </si>
  <si>
    <t>INV-2026-00100</t>
  </si>
  <si>
    <t>INV-2026-00101</t>
  </si>
  <si>
    <t>INV-2026-00102</t>
  </si>
  <si>
    <t>INV-2026-00103</t>
  </si>
  <si>
    <t>INV-2026-00104</t>
  </si>
  <si>
    <t>INV-2026-00105</t>
  </si>
  <si>
    <t>INV-2026-00106</t>
  </si>
  <si>
    <t>INV-2026-00107</t>
  </si>
  <si>
    <t>INV-2026-00108</t>
  </si>
  <si>
    <t>INV-2026-00109</t>
  </si>
  <si>
    <t>INV-2026-00110</t>
  </si>
  <si>
    <t>INV-2026-00111</t>
  </si>
  <si>
    <t>INV-2026-00112</t>
  </si>
  <si>
    <t>INV-2026-00113</t>
  </si>
  <si>
    <t>INV-2026-00114</t>
  </si>
  <si>
    <t>INV-2026-00115</t>
  </si>
  <si>
    <t>INV-2026-00116</t>
  </si>
  <si>
    <t>INV-2026-00117</t>
  </si>
  <si>
    <t>INV-2026-00118</t>
  </si>
  <si>
    <t>INV-2026-00119</t>
  </si>
  <si>
    <t>INV-2026-00120</t>
  </si>
  <si>
    <t>INV-2026-00121</t>
  </si>
  <si>
    <t>INV-2026-00122</t>
  </si>
  <si>
    <t>INV-2026-00123</t>
  </si>
  <si>
    <t>INV-2026-00124</t>
  </si>
  <si>
    <t>INV-2026-00125</t>
  </si>
  <si>
    <t>INV-2026-00126</t>
  </si>
  <si>
    <t>INV-2026-00127</t>
  </si>
  <si>
    <t>INV-2026-00128</t>
  </si>
  <si>
    <t>INV-2026-00129</t>
  </si>
  <si>
    <t>INV-2026-00130</t>
  </si>
  <si>
    <t>INV-2026-00131</t>
  </si>
  <si>
    <t>INV-2026-00132</t>
  </si>
  <si>
    <t>INV-2026-00133</t>
  </si>
  <si>
    <t>INV-2026-00134</t>
  </si>
  <si>
    <t>INV-2026-00135</t>
  </si>
  <si>
    <t>INV-2026-00136</t>
  </si>
  <si>
    <t>INV-2026-00137</t>
  </si>
  <si>
    <t>INV-2026-00138</t>
  </si>
  <si>
    <t>INV-2026-00139</t>
  </si>
  <si>
    <t>INV-2026-00140</t>
  </si>
  <si>
    <t>INV-2026-00141</t>
  </si>
  <si>
    <t>INV-2026-00142</t>
  </si>
  <si>
    <t>INV-2026-00143</t>
  </si>
  <si>
    <t>INV-2026-00144</t>
  </si>
  <si>
    <t>INV-2026-00145</t>
  </si>
  <si>
    <t>INV-2026-00146</t>
  </si>
  <si>
    <t>INV-2026-00147</t>
  </si>
  <si>
    <t>INV-2026-00148</t>
  </si>
  <si>
    <t>INV-2026-00149</t>
  </si>
  <si>
    <t>INV-2026-00150</t>
  </si>
  <si>
    <t>INV-2026-00151</t>
  </si>
  <si>
    <t>INV-2026-00152</t>
  </si>
  <si>
    <t>INV-2026-00153</t>
  </si>
  <si>
    <t>INV-2026-00154</t>
  </si>
  <si>
    <t>INV-2026-00155</t>
  </si>
  <si>
    <t>INV-2026-00156</t>
  </si>
  <si>
    <t>INV-2026-00157</t>
  </si>
  <si>
    <t>INV-2026-00158</t>
  </si>
  <si>
    <t>INV-2026-00159</t>
  </si>
  <si>
    <t>INV-2026-00160</t>
  </si>
  <si>
    <t>INV-2026-00161</t>
  </si>
  <si>
    <t>INV-2026-00162</t>
  </si>
  <si>
    <t>INV-2026-00163</t>
  </si>
  <si>
    <t>Football</t>
  </si>
  <si>
    <t>INV-2026-00164</t>
  </si>
  <si>
    <t>INV-2026-00165</t>
  </si>
  <si>
    <t>INV-2026-00166</t>
  </si>
  <si>
    <t>INV-2026-00167</t>
  </si>
  <si>
    <t>INV-2026-00168</t>
  </si>
  <si>
    <t>INV-2026-00169</t>
  </si>
  <si>
    <t>INV-2026-00170</t>
  </si>
  <si>
    <t>INV-2026-00171</t>
  </si>
  <si>
    <t>INV-2026-00172</t>
  </si>
  <si>
    <t>INV-2026-00173</t>
  </si>
  <si>
    <t>INV-2026-00174</t>
  </si>
  <si>
    <t>INV-2026-00175</t>
  </si>
  <si>
    <t>INV-2026-00176</t>
  </si>
  <si>
    <t>INV-2026-00177</t>
  </si>
  <si>
    <t>INV-2026-00178</t>
  </si>
  <si>
    <t>INV-2026-00179</t>
  </si>
  <si>
    <t>INV-2026-00180</t>
  </si>
  <si>
    <t>INV-2026-00181</t>
  </si>
  <si>
    <t>INV-2026-00182</t>
  </si>
  <si>
    <t>INV-2026-00183</t>
  </si>
  <si>
    <t>INV-2026-00184</t>
  </si>
  <si>
    <t>INV-2026-00185</t>
  </si>
  <si>
    <t>INV-2026-00186</t>
  </si>
  <si>
    <t>INV-2026-00187</t>
  </si>
  <si>
    <t>INV-2026-00188</t>
  </si>
  <si>
    <t>INV-2026-00189</t>
  </si>
  <si>
    <t>INV-2026-00190</t>
  </si>
  <si>
    <t>INV-2026-00191</t>
  </si>
  <si>
    <t>INV-2026-00192</t>
  </si>
  <si>
    <t>INV-2026-00193</t>
  </si>
  <si>
    <t>INV-2026-00194</t>
  </si>
  <si>
    <t>INV-2026-00195</t>
  </si>
  <si>
    <t>INV-2026-00196</t>
  </si>
  <si>
    <t>INV-2026-00197</t>
  </si>
  <si>
    <t>INV-2026-00198</t>
  </si>
  <si>
    <t>INV-2026-00199</t>
  </si>
  <si>
    <t>INV-2026-00200</t>
  </si>
  <si>
    <t>INV-2026-00201</t>
  </si>
  <si>
    <t>INV-2026-00202</t>
  </si>
  <si>
    <t>INV-2026-00203</t>
  </si>
  <si>
    <t>INV-2026-00204</t>
  </si>
  <si>
    <t>INV-2026-00205</t>
  </si>
  <si>
    <t>INV-2026-00206</t>
  </si>
  <si>
    <t>INV-2026-00207</t>
  </si>
  <si>
    <t>INV-2026-00208</t>
  </si>
  <si>
    <t>INV-2026-00209</t>
  </si>
  <si>
    <t>INV-2026-00210</t>
  </si>
  <si>
    <t>INV-2026-00211</t>
  </si>
  <si>
    <t>INV-2026-00212</t>
  </si>
  <si>
    <t>INV-2026-00213</t>
  </si>
  <si>
    <t>INV-2026-00214</t>
  </si>
  <si>
    <t>INV-2026-00215</t>
  </si>
  <si>
    <t>INV-2026-00216</t>
  </si>
  <si>
    <t>INV-2026-00217</t>
  </si>
  <si>
    <t>INV-2026-00218</t>
  </si>
  <si>
    <t>INV-2026-00219</t>
  </si>
  <si>
    <t>INV-2026-00220</t>
  </si>
  <si>
    <t>INV-2026-00221</t>
  </si>
  <si>
    <t>INV-2026-00222</t>
  </si>
  <si>
    <t>INV-2026-00223</t>
  </si>
  <si>
    <t>INV-2026-00224</t>
  </si>
  <si>
    <t>INV-2026-00225</t>
  </si>
  <si>
    <t>INV-2026-00226</t>
  </si>
  <si>
    <t>INV-2026-00227</t>
  </si>
  <si>
    <t>INV-2026-00228</t>
  </si>
  <si>
    <t>INV-2026-00229</t>
  </si>
  <si>
    <t>INV-2026-00230</t>
  </si>
  <si>
    <t>INV-2026-00231</t>
  </si>
  <si>
    <t>INV-2026-00232</t>
  </si>
  <si>
    <t>INV-2026-00233</t>
  </si>
  <si>
    <t>INV-2026-00234</t>
  </si>
  <si>
    <t>INV-2026-00235</t>
  </si>
  <si>
    <t>INV-2026-00236</t>
  </si>
  <si>
    <t>INV-2026-00237</t>
  </si>
  <si>
    <t>INV-2026-00238</t>
  </si>
  <si>
    <t>INV-2026-00239</t>
  </si>
  <si>
    <t>INV-2026-00240</t>
  </si>
  <si>
    <t>INV-2026-00241</t>
  </si>
  <si>
    <t>INV-2026-00242</t>
  </si>
  <si>
    <t>INV-2026-00243</t>
  </si>
  <si>
    <t>INV-2026-00244</t>
  </si>
  <si>
    <t>INV-2026-00245</t>
  </si>
  <si>
    <t>INV-2026-00246</t>
  </si>
  <si>
    <t>INV-2026-00247</t>
  </si>
  <si>
    <t>INV-2026-00248</t>
  </si>
  <si>
    <t>INV-2026-00249</t>
  </si>
  <si>
    <t>INV-2026-00250</t>
  </si>
  <si>
    <t>INV-2026-00251</t>
  </si>
  <si>
    <t>INV-2026-00252</t>
  </si>
  <si>
    <t>INV-2026-00253</t>
  </si>
  <si>
    <t>INV-2026-00254</t>
  </si>
  <si>
    <t>INV-2026-00255</t>
  </si>
  <si>
    <t>INV-2026-00256</t>
  </si>
  <si>
    <t>INV-2026-00257</t>
  </si>
  <si>
    <t>INV-2026-00258</t>
  </si>
  <si>
    <t>INV-2026-00259</t>
  </si>
  <si>
    <t>INV-2026-00260</t>
  </si>
  <si>
    <t>INV-2026-00261</t>
  </si>
  <si>
    <t>INV-2026-00262</t>
  </si>
  <si>
    <t>INV-2026-00263</t>
  </si>
  <si>
    <t>INV-2026-00264</t>
  </si>
  <si>
    <t>INV-2026-00265</t>
  </si>
  <si>
    <t>INV-2026-00266</t>
  </si>
  <si>
    <t>INV-2026-00267</t>
  </si>
  <si>
    <t>INV-2026-00268</t>
  </si>
  <si>
    <t>INV-2026-00269</t>
  </si>
  <si>
    <t>INV-2026-00270</t>
  </si>
  <si>
    <t>INV-2026-00271</t>
  </si>
  <si>
    <t>INV-2026-00272</t>
  </si>
  <si>
    <t>INV-2026-00273</t>
  </si>
  <si>
    <t>INV-2026-00274</t>
  </si>
  <si>
    <t>INV-2026-00275</t>
  </si>
  <si>
    <t>INV-2026-00276</t>
  </si>
  <si>
    <t>INV-2026-00277</t>
  </si>
  <si>
    <t>INV-2026-00278</t>
  </si>
  <si>
    <t>INV-2026-00279</t>
  </si>
  <si>
    <t>INV-2026-00280</t>
  </si>
  <si>
    <t>INV-2026-00281</t>
  </si>
  <si>
    <t>INV-2026-00282</t>
  </si>
  <si>
    <t>INV-2026-00283</t>
  </si>
  <si>
    <t>INV-2026-00284</t>
  </si>
  <si>
    <t>INV-2026-00285</t>
  </si>
  <si>
    <t>INV-2026-00286</t>
  </si>
  <si>
    <t>INV-2026-00287</t>
  </si>
  <si>
    <t>INV-2026-00288</t>
  </si>
  <si>
    <t>INV-2026-00289</t>
  </si>
  <si>
    <t>INV-2026-00290</t>
  </si>
  <si>
    <t>INV-2026-00291</t>
  </si>
  <si>
    <t>INV-2026-00292</t>
  </si>
  <si>
    <t>INV-2026-00293</t>
  </si>
  <si>
    <t>INV-2026-00294</t>
  </si>
  <si>
    <t>INV-2026-00295</t>
  </si>
  <si>
    <t>INV-2026-00296</t>
  </si>
  <si>
    <t>INV-2026-00297</t>
  </si>
  <si>
    <t>INV-2026-00298</t>
  </si>
  <si>
    <t>INV-2026-00299</t>
  </si>
  <si>
    <t>INV-2026-00300</t>
  </si>
  <si>
    <t>INV-2026-00301</t>
  </si>
  <si>
    <t>INV-2026-00302</t>
  </si>
  <si>
    <t>INV-2026-00303</t>
  </si>
  <si>
    <t>INV-2026-00304</t>
  </si>
  <si>
    <t>INV-2026-00305</t>
  </si>
  <si>
    <t>INV-2026-00306</t>
  </si>
  <si>
    <t>INV-2026-00307</t>
  </si>
  <si>
    <t>INV-2026-00308</t>
  </si>
  <si>
    <t>INV-2026-00309</t>
  </si>
  <si>
    <t>INV-2026-00310</t>
  </si>
  <si>
    <t>INV-2026-00311</t>
  </si>
  <si>
    <t>INV-2026-00312</t>
  </si>
  <si>
    <t>INV-2026-00313</t>
  </si>
  <si>
    <t>INV-2026-00314</t>
  </si>
  <si>
    <t>INV-2026-00315</t>
  </si>
  <si>
    <t>INV-2026-00316</t>
  </si>
  <si>
    <t>INV-2026-00317</t>
  </si>
  <si>
    <t>INV-2026-00318</t>
  </si>
  <si>
    <t>INV-2026-00319</t>
  </si>
  <si>
    <t>INV-2026-00320</t>
  </si>
  <si>
    <t>INV-2026-00321</t>
  </si>
  <si>
    <t>INV-2026-00322</t>
  </si>
  <si>
    <t>INV-2026-00323</t>
  </si>
  <si>
    <t>INV-2026-00324</t>
  </si>
  <si>
    <t>INV-2026-00325</t>
  </si>
  <si>
    <t>INV-2026-00326</t>
  </si>
  <si>
    <t>INV-2026-00327</t>
  </si>
  <si>
    <t>INV-2026-00328</t>
  </si>
  <si>
    <t>INV-2026-00329</t>
  </si>
  <si>
    <t>INV-2026-00330</t>
  </si>
  <si>
    <t>INV-2026-00331</t>
  </si>
  <si>
    <t>INV-2026-00332</t>
  </si>
  <si>
    <t>INV-2026-00333</t>
  </si>
  <si>
    <t>INV-2026-00334</t>
  </si>
  <si>
    <t>INV-2026-00335</t>
  </si>
  <si>
    <t>INV-2026-00336</t>
  </si>
  <si>
    <t>INV-2026-00337</t>
  </si>
  <si>
    <t>INV-2026-00338</t>
  </si>
  <si>
    <t>INV-2026-00339</t>
  </si>
  <si>
    <t>INV-2026-00340</t>
  </si>
  <si>
    <t>INV-2026-00341</t>
  </si>
  <si>
    <t>INV-2026-00342</t>
  </si>
  <si>
    <t>INV-2026-00343</t>
  </si>
  <si>
    <t>INV-2026-00344</t>
  </si>
  <si>
    <t>INV-2026-00345</t>
  </si>
  <si>
    <t>INV-2026-00346</t>
  </si>
  <si>
    <t>INV-2026-00347</t>
  </si>
  <si>
    <t>INV-2026-00348</t>
  </si>
  <si>
    <t>INV-2026-00349</t>
  </si>
  <si>
    <t>INV-2026-00350</t>
  </si>
  <si>
    <t>INV-2026-00351</t>
  </si>
  <si>
    <t>INV-2026-00352</t>
  </si>
  <si>
    <t>INV-2026-00353</t>
  </si>
  <si>
    <t>INV-2026-00354</t>
  </si>
  <si>
    <t>INV-2026-00355</t>
  </si>
  <si>
    <t>INV-2026-00356</t>
  </si>
  <si>
    <t>INV-2026-00357</t>
  </si>
  <si>
    <t>INV-2026-00358</t>
  </si>
  <si>
    <t>INV-2026-00359</t>
  </si>
  <si>
    <t>INV-2026-00360</t>
  </si>
  <si>
    <t>INV-2026-00361</t>
  </si>
  <si>
    <t>INV-2026-00362</t>
  </si>
  <si>
    <t>INV-2026-00363</t>
  </si>
  <si>
    <t>INV-2026-00364</t>
  </si>
  <si>
    <t>INV-2026-00365</t>
  </si>
  <si>
    <t>INV-2026-00366</t>
  </si>
  <si>
    <t>INV-2026-00367</t>
  </si>
  <si>
    <t>INV-2026-00368</t>
  </si>
  <si>
    <t>INV-2026-00369</t>
  </si>
  <si>
    <t>INV-2026-00370</t>
  </si>
  <si>
    <t>INV-2026-00371</t>
  </si>
  <si>
    <t>INV-2026-00372</t>
  </si>
  <si>
    <t>INV-2026-00373</t>
  </si>
  <si>
    <t>INV-2026-00374</t>
  </si>
  <si>
    <t>INV-2026-00375</t>
  </si>
  <si>
    <t>INV-2026-00376</t>
  </si>
  <si>
    <t>INV-2026-00377</t>
  </si>
  <si>
    <t>INV-2026-00378</t>
  </si>
  <si>
    <t>INV-2026-00379</t>
  </si>
  <si>
    <t>INV-2026-00380</t>
  </si>
  <si>
    <t>INV-2026-00381</t>
  </si>
  <si>
    <t>INV-2026-00382</t>
  </si>
  <si>
    <t>INV-2026-00383</t>
  </si>
  <si>
    <t>INV-2026-00384</t>
  </si>
  <si>
    <t>INV-2026-00385</t>
  </si>
  <si>
    <t>INV-2026-00386</t>
  </si>
  <si>
    <t>INV-2026-00387</t>
  </si>
  <si>
    <t>INV-2026-00388</t>
  </si>
  <si>
    <t>INV-2026-00389</t>
  </si>
  <si>
    <t>INV-2026-00390</t>
  </si>
  <si>
    <t>INV-2026-00391</t>
  </si>
  <si>
    <t>INV-2026-00392</t>
  </si>
  <si>
    <t>INV-2026-00393</t>
  </si>
  <si>
    <t>INV-2026-00394</t>
  </si>
  <si>
    <t>INV-2026-00395</t>
  </si>
  <si>
    <t>INV-2026-00396</t>
  </si>
  <si>
    <t>INV-2026-00397</t>
  </si>
  <si>
    <t>INV-2026-00398</t>
  </si>
  <si>
    <t>INV-2026-00399</t>
  </si>
  <si>
    <t>INV-2026-00400</t>
  </si>
  <si>
    <t>INV-2026-00401</t>
  </si>
  <si>
    <t>INV-2026-00402</t>
  </si>
  <si>
    <t>INV-2026-00403</t>
  </si>
  <si>
    <t>INV-2026-00404</t>
  </si>
  <si>
    <t>INV-2026-00405</t>
  </si>
  <si>
    <t>INV-2026-00406</t>
  </si>
  <si>
    <t>INV-2026-00407</t>
  </si>
  <si>
    <t>INV-2026-00408</t>
  </si>
  <si>
    <t>INV-2026-00409</t>
  </si>
  <si>
    <t>INV-2026-00410</t>
  </si>
  <si>
    <t>INV-2026-00411</t>
  </si>
  <si>
    <t>INV-2026-00412</t>
  </si>
  <si>
    <t>INV-2026-00413</t>
  </si>
  <si>
    <t>INV-2026-00414</t>
  </si>
  <si>
    <t>INV-2026-00415</t>
  </si>
  <si>
    <t>INV-2026-00416</t>
  </si>
  <si>
    <t>INV-2026-00417</t>
  </si>
  <si>
    <t>INV-2026-00418</t>
  </si>
  <si>
    <t>INV-2026-00419</t>
  </si>
  <si>
    <t>INV-2026-00420</t>
  </si>
  <si>
    <t>INV-2026-00421</t>
  </si>
  <si>
    <t>INV-2026-00422</t>
  </si>
  <si>
    <t>INV-2026-00423</t>
  </si>
  <si>
    <t>INV-2026-00424</t>
  </si>
  <si>
    <t>INV-2026-00425</t>
  </si>
  <si>
    <t>INV-2026-00426</t>
  </si>
  <si>
    <t>INV-2026-00427</t>
  </si>
  <si>
    <t>INV-2026-00428</t>
  </si>
  <si>
    <t>INV-2026-00429</t>
  </si>
  <si>
    <t>INV-2026-00430</t>
  </si>
  <si>
    <t>INV-2026-00431</t>
  </si>
  <si>
    <t>INV-2026-00432</t>
  </si>
  <si>
    <t>INV-2026-00433</t>
  </si>
  <si>
    <t>INV-2026-00434</t>
  </si>
  <si>
    <t>INV-2026-00435</t>
  </si>
  <si>
    <t>INV-2026-00436</t>
  </si>
  <si>
    <t>INV-2026-00437</t>
  </si>
  <si>
    <t>INV-2026-00438</t>
  </si>
  <si>
    <t>INV-2026-00439</t>
  </si>
  <si>
    <t>INV-2026-00440</t>
  </si>
  <si>
    <t>INV-2026-00441</t>
  </si>
  <si>
    <t>INV-2026-00442</t>
  </si>
  <si>
    <t>INV-2026-00443</t>
  </si>
  <si>
    <t>INV-2026-00444</t>
  </si>
  <si>
    <t>INV-2026-00445</t>
  </si>
  <si>
    <t>INV-2026-00446</t>
  </si>
  <si>
    <t>INV-2026-00447</t>
  </si>
  <si>
    <t>INV-2026-00448</t>
  </si>
  <si>
    <t>INV-2026-00449</t>
  </si>
  <si>
    <t>INV-2026-00450</t>
  </si>
  <si>
    <t>INV-2026-00451</t>
  </si>
  <si>
    <t>INV-2026-00452</t>
  </si>
  <si>
    <t>INV-2026-00453</t>
  </si>
  <si>
    <t>INV-2026-00454</t>
  </si>
  <si>
    <t>INV-2026-00455</t>
  </si>
  <si>
    <t>INV-2026-00456</t>
  </si>
  <si>
    <t>INV-2026-00457</t>
  </si>
  <si>
    <t>INV-2026-00458</t>
  </si>
  <si>
    <t>INV-2026-00459</t>
  </si>
  <si>
    <t>INV-2026-00460</t>
  </si>
  <si>
    <t>INV-2026-00461</t>
  </si>
  <si>
    <t>INV-2026-00462</t>
  </si>
  <si>
    <t>INV-2026-00463</t>
  </si>
  <si>
    <t>INV-2026-00464</t>
  </si>
  <si>
    <t>INV-2026-00465</t>
  </si>
  <si>
    <t>INV-2026-00466</t>
  </si>
  <si>
    <t>INV-2026-00467</t>
  </si>
  <si>
    <t>INV-2026-00468</t>
  </si>
  <si>
    <t>INV-2026-00469</t>
  </si>
  <si>
    <t>INV-2026-00470</t>
  </si>
  <si>
    <t>INV-2026-00471</t>
  </si>
  <si>
    <t>INV-2026-00472</t>
  </si>
  <si>
    <t>INV-2026-00473</t>
  </si>
  <si>
    <t>INV-2026-00474</t>
  </si>
  <si>
    <t>INV-2026-00475</t>
  </si>
  <si>
    <t>INV-2026-00476</t>
  </si>
  <si>
    <t>INV-2026-00477</t>
  </si>
  <si>
    <t>INV-2026-00478</t>
  </si>
  <si>
    <t>INV-2026-00479</t>
  </si>
  <si>
    <t>INV-2026-00480</t>
  </si>
  <si>
    <t>INV-2026-00481</t>
  </si>
  <si>
    <t>INV-2026-00482</t>
  </si>
  <si>
    <t>INV-2026-00483</t>
  </si>
  <si>
    <t>INV-2026-00484</t>
  </si>
  <si>
    <t>INV-2026-00485</t>
  </si>
  <si>
    <t>INV-2026-00486</t>
  </si>
  <si>
    <t>INV-2026-00487</t>
  </si>
  <si>
    <t>INV-2026-00488</t>
  </si>
  <si>
    <t>INV-2026-00489</t>
  </si>
  <si>
    <t>INV-2026-00490</t>
  </si>
  <si>
    <t>INV-2026-00491</t>
  </si>
  <si>
    <t>INV-2026-00492</t>
  </si>
  <si>
    <t>INV-2026-00493</t>
  </si>
  <si>
    <t>INV-2026-00494</t>
  </si>
  <si>
    <t>INV-2026-00495</t>
  </si>
  <si>
    <t>INV-2026-00496</t>
  </si>
  <si>
    <t>INV-2026-00497</t>
  </si>
  <si>
    <t>INV-2026-00498</t>
  </si>
  <si>
    <t>INV-2026-00499</t>
  </si>
  <si>
    <t>INV-2026-00500</t>
  </si>
  <si>
    <t>INV-2026-00501</t>
  </si>
  <si>
    <t>INV-2026-00502</t>
  </si>
  <si>
    <t>INV-2026-00503</t>
  </si>
  <si>
    <t>INV-2026-00504</t>
  </si>
  <si>
    <t>INV-2026-00505</t>
  </si>
  <si>
    <t>INV-2026-00506</t>
  </si>
  <si>
    <t>INV-2026-00507</t>
  </si>
  <si>
    <t>INV-2026-00508</t>
  </si>
  <si>
    <t>INV-2026-00509</t>
  </si>
  <si>
    <t>INV-2026-00510</t>
  </si>
  <si>
    <t>INV-2026-00511</t>
  </si>
  <si>
    <t>INV-2026-00512</t>
  </si>
  <si>
    <t>INV-2026-00513</t>
  </si>
  <si>
    <t>INV-2026-00514</t>
  </si>
  <si>
    <t>INV-2026-00515</t>
  </si>
  <si>
    <t>INV-2026-00516</t>
  </si>
  <si>
    <t>INV-2026-00517</t>
  </si>
  <si>
    <t>INV-2026-00518</t>
  </si>
  <si>
    <t>INV-2026-00519</t>
  </si>
  <si>
    <t>INV-2026-00520</t>
  </si>
  <si>
    <t>INV-2026-00521</t>
  </si>
  <si>
    <t>INV-2026-00522</t>
  </si>
  <si>
    <t>INV-2026-00523</t>
  </si>
  <si>
    <t>INV-2026-00524</t>
  </si>
  <si>
    <t>INV-2026-00525</t>
  </si>
  <si>
    <t>INV-2026-00526</t>
  </si>
  <si>
    <t>INV-2026-00527</t>
  </si>
  <si>
    <t>INV-2026-00528</t>
  </si>
  <si>
    <t>INV-2026-00529</t>
  </si>
  <si>
    <t>INV-2026-00530</t>
  </si>
  <si>
    <t>INV-2026-00531</t>
  </si>
  <si>
    <t>INV-2026-00532</t>
  </si>
  <si>
    <t>INV-2026-00533</t>
  </si>
  <si>
    <t>INV-2026-00534</t>
  </si>
  <si>
    <t>INV-2026-00535</t>
  </si>
  <si>
    <t>INV-2026-00536</t>
  </si>
  <si>
    <t>INV-2026-00537</t>
  </si>
  <si>
    <t>INV-2026-00538</t>
  </si>
  <si>
    <t>INV-2026-00539</t>
  </si>
  <si>
    <t>INV-2026-00540</t>
  </si>
  <si>
    <t>INV-2026-00541</t>
  </si>
  <si>
    <t>INV-2026-00542</t>
  </si>
  <si>
    <t>INV-2026-00543</t>
  </si>
  <si>
    <t>INV-2026-00544</t>
  </si>
  <si>
    <t>INV-2026-00545</t>
  </si>
  <si>
    <t>INV-2026-00546</t>
  </si>
  <si>
    <t>INV-2026-00547</t>
  </si>
  <si>
    <t>INV-2026-00548</t>
  </si>
  <si>
    <t>INV-2026-00549</t>
  </si>
  <si>
    <t>INV-2026-00550</t>
  </si>
  <si>
    <t>INV-2026-00551</t>
  </si>
  <si>
    <t>INV-2026-00552</t>
  </si>
  <si>
    <t>INV-2026-00553</t>
  </si>
  <si>
    <t>INV-2026-00554</t>
  </si>
  <si>
    <t>INV-2026-00555</t>
  </si>
  <si>
    <t>INV-2026-00556</t>
  </si>
  <si>
    <t>INV-2026-00557</t>
  </si>
  <si>
    <t>INV-2026-00558</t>
  </si>
  <si>
    <t>INV-2026-00559</t>
  </si>
  <si>
    <t>INV-2026-00560</t>
  </si>
  <si>
    <t>INV-2026-00561</t>
  </si>
  <si>
    <t>INV-2026-00562</t>
  </si>
  <si>
    <t>INV-2026-00563</t>
  </si>
  <si>
    <t>INV-2026-00564</t>
  </si>
  <si>
    <t>INV-2026-00565</t>
  </si>
  <si>
    <t>INV-2026-00566</t>
  </si>
  <si>
    <t>INV-2026-00567</t>
  </si>
  <si>
    <t>INV-2026-00568</t>
  </si>
  <si>
    <t>INV-2026-00569</t>
  </si>
  <si>
    <t>INV-2026-00570</t>
  </si>
  <si>
    <t>INV-2026-00571</t>
  </si>
  <si>
    <t>INV-2026-00572</t>
  </si>
  <si>
    <t>INV-2026-00573</t>
  </si>
  <si>
    <t>INV-2026-00574</t>
  </si>
  <si>
    <t>INV-2026-00575</t>
  </si>
  <si>
    <t>INV-2026-00576</t>
  </si>
  <si>
    <t>INV-2026-00577</t>
  </si>
  <si>
    <t>INV-2026-00578</t>
  </si>
  <si>
    <t>INV-2026-00579</t>
  </si>
  <si>
    <t>INV-2026-00580</t>
  </si>
  <si>
    <t>INV-2026-00581</t>
  </si>
  <si>
    <t>INV-2026-00582</t>
  </si>
  <si>
    <t>INV-2026-00583</t>
  </si>
  <si>
    <t>INV-2026-00584</t>
  </si>
  <si>
    <t>INV-2026-00585</t>
  </si>
  <si>
    <t>INV-2026-00586</t>
  </si>
  <si>
    <t>INV-2026-00587</t>
  </si>
  <si>
    <t>INV-2026-00588</t>
  </si>
  <si>
    <t>INV-2026-00589</t>
  </si>
  <si>
    <t>INV-2026-00590</t>
  </si>
  <si>
    <t>INV-2026-00591</t>
  </si>
  <si>
    <t>INV-2026-00592</t>
  </si>
  <si>
    <t>INV-2026-00593</t>
  </si>
  <si>
    <t>INV-2026-00594</t>
  </si>
  <si>
    <t>INV-2026-00595</t>
  </si>
  <si>
    <t>INV-2026-00596</t>
  </si>
  <si>
    <t>INV-2026-00597</t>
  </si>
  <si>
    <t>INV-2026-00598</t>
  </si>
  <si>
    <t>INV-2026-00599</t>
  </si>
  <si>
    <t>INV-2026-00600</t>
  </si>
  <si>
    <t>INV-2026-00601</t>
  </si>
  <si>
    <t>INV-2026-00602</t>
  </si>
  <si>
    <t>INV-2026-00603</t>
  </si>
  <si>
    <t>INV-2026-00604</t>
  </si>
  <si>
    <t>INV-2026-00605</t>
  </si>
  <si>
    <t>INV-2026-00606</t>
  </si>
  <si>
    <t>INV-2026-00607</t>
  </si>
  <si>
    <t>INV-2026-00608</t>
  </si>
  <si>
    <t>INV-2026-00609</t>
  </si>
  <si>
    <t>INV-2026-00610</t>
  </si>
  <si>
    <t>INV-2026-00611</t>
  </si>
  <si>
    <t>INV-2026-00612</t>
  </si>
  <si>
    <t>INV-2026-00613</t>
  </si>
  <si>
    <t>INV-2026-00614</t>
  </si>
  <si>
    <t>INV-2026-00615</t>
  </si>
  <si>
    <t>INV-2026-00616</t>
  </si>
  <si>
    <t>INV-2026-00617</t>
  </si>
  <si>
    <t>INV-2026-00618</t>
  </si>
  <si>
    <t>INV-2026-00619</t>
  </si>
  <si>
    <t>INV-2026-00620</t>
  </si>
  <si>
    <t>INV-2026-00621</t>
  </si>
  <si>
    <t>INV-2026-00622</t>
  </si>
  <si>
    <t>INV-2026-00623</t>
  </si>
  <si>
    <t>INV-2026-00624</t>
  </si>
  <si>
    <t>INV-2026-00625</t>
  </si>
  <si>
    <t>INV-2026-00626</t>
  </si>
  <si>
    <t>INV-2026-00627</t>
  </si>
  <si>
    <t>INV-2026-00628</t>
  </si>
  <si>
    <t>INV-2026-00629</t>
  </si>
  <si>
    <t>INV-2026-00630</t>
  </si>
  <si>
    <t>INV-2026-00631</t>
  </si>
  <si>
    <t>INV-2026-00632</t>
  </si>
  <si>
    <t>INV-2026-00633</t>
  </si>
  <si>
    <t>INV-2026-00634</t>
  </si>
  <si>
    <t>INV-2026-00635</t>
  </si>
  <si>
    <t>INV-2026-00636</t>
  </si>
  <si>
    <t>INV-2026-00637</t>
  </si>
  <si>
    <t>INV-2026-00638</t>
  </si>
  <si>
    <t>INV-2026-00639</t>
  </si>
  <si>
    <t>INV-2026-00640</t>
  </si>
  <si>
    <t>INV-2026-00641</t>
  </si>
  <si>
    <t>INV-2026-00642</t>
  </si>
  <si>
    <t>INV-2026-00643</t>
  </si>
  <si>
    <t>INV-2026-00644</t>
  </si>
  <si>
    <t>INV-2026-00645</t>
  </si>
  <si>
    <t>INV-2026-00646</t>
  </si>
  <si>
    <t>INV-2026-00647</t>
  </si>
  <si>
    <t>INV-2026-00648</t>
  </si>
  <si>
    <t>INV-2026-00649</t>
  </si>
  <si>
    <t>INV-2026-00650</t>
  </si>
  <si>
    <t>INV-2026-00651</t>
  </si>
  <si>
    <t>INV-2026-00652</t>
  </si>
  <si>
    <t>INV-2026-00653</t>
  </si>
  <si>
    <t>INV-2026-00654</t>
  </si>
  <si>
    <t>INV-2026-00655</t>
  </si>
  <si>
    <t>INV-2026-00656</t>
  </si>
  <si>
    <t>INV-2026-00657</t>
  </si>
  <si>
    <t>INV-2026-00658</t>
  </si>
  <si>
    <t>INV-2026-00659</t>
  </si>
  <si>
    <t>INV-2026-00660</t>
  </si>
  <si>
    <t>INV-2026-00661</t>
  </si>
  <si>
    <t>INV-2026-00662</t>
  </si>
  <si>
    <t>INV-2026-00663</t>
  </si>
  <si>
    <t>INV-2026-00664</t>
  </si>
  <si>
    <t>INV-2026-00665</t>
  </si>
  <si>
    <t>INV-2026-00666</t>
  </si>
  <si>
    <t>INV-2026-00667</t>
  </si>
  <si>
    <t>INV-2026-00668</t>
  </si>
  <si>
    <t>INV-2026-00669</t>
  </si>
  <si>
    <t>INV-2026-00670</t>
  </si>
  <si>
    <t>INV-2026-00671</t>
  </si>
  <si>
    <t>INV-2026-00672</t>
  </si>
  <si>
    <t>INV-2026-00673</t>
  </si>
  <si>
    <t>INV-2026-00674</t>
  </si>
  <si>
    <t>INV-2026-00675</t>
  </si>
  <si>
    <t>INV-2026-00676</t>
  </si>
  <si>
    <t>INV-2026-00677</t>
  </si>
  <si>
    <t>INV-2026-00678</t>
  </si>
  <si>
    <t>INV-2026-00679</t>
  </si>
  <si>
    <t>INV-2026-00680</t>
  </si>
  <si>
    <t>INV-2026-00681</t>
  </si>
  <si>
    <t>INV-2026-00682</t>
  </si>
  <si>
    <t>INV-2026-00683</t>
  </si>
  <si>
    <t>INV-2026-00684</t>
  </si>
  <si>
    <t>INV-2026-00685</t>
  </si>
  <si>
    <t>INV-2026-00686</t>
  </si>
  <si>
    <t>INV-2026-00687</t>
  </si>
  <si>
    <t>INV-2026-00688</t>
  </si>
  <si>
    <t>INV-2026-00689</t>
  </si>
  <si>
    <t>INV-2026-00690</t>
  </si>
  <si>
    <t>INV-2026-00691</t>
  </si>
  <si>
    <t>INV-2026-00692</t>
  </si>
  <si>
    <t>INV-2026-00693</t>
  </si>
  <si>
    <t>INV-2026-00694</t>
  </si>
  <si>
    <t>INV-2026-00695</t>
  </si>
  <si>
    <t>INV-2026-00696</t>
  </si>
  <si>
    <t>INV-2026-00697</t>
  </si>
  <si>
    <t>INV-2026-00698</t>
  </si>
  <si>
    <t>INV-2026-00699</t>
  </si>
  <si>
    <t>INV-2026-00700</t>
  </si>
  <si>
    <t>INV-2026-00701</t>
  </si>
  <si>
    <t>INV-2026-00702</t>
  </si>
  <si>
    <t>INV-2026-00703</t>
  </si>
  <si>
    <t>INV-2026-00704</t>
  </si>
  <si>
    <t>INV-2026-00705</t>
  </si>
  <si>
    <t>INV-2026-00706</t>
  </si>
  <si>
    <t>INV-2026-00707</t>
  </si>
  <si>
    <t>INV-2026-00708</t>
  </si>
  <si>
    <t>INV-2026-00709</t>
  </si>
  <si>
    <t>INV-2026-00710</t>
  </si>
  <si>
    <t>INV-2026-00711</t>
  </si>
  <si>
    <t>INV-2026-00712</t>
  </si>
  <si>
    <t>INV-2026-00713</t>
  </si>
  <si>
    <t>INV-2026-00714</t>
  </si>
  <si>
    <t>INV-2026-00715</t>
  </si>
  <si>
    <t>INV-2026-00716</t>
  </si>
  <si>
    <t>INV-2026-00717</t>
  </si>
  <si>
    <t>INV-2026-00718</t>
  </si>
  <si>
    <t>INV-2026-00719</t>
  </si>
  <si>
    <t>INV-2026-00720</t>
  </si>
  <si>
    <t>INV-2026-00721</t>
  </si>
  <si>
    <t>INV-2026-00722</t>
  </si>
  <si>
    <t>INV-2026-00723</t>
  </si>
  <si>
    <t>INV-2026-00724</t>
  </si>
  <si>
    <t>INV-2026-00725</t>
  </si>
  <si>
    <t>INV-2026-00726</t>
  </si>
  <si>
    <t>INV-2026-00727</t>
  </si>
  <si>
    <t>INV-2026-00728</t>
  </si>
  <si>
    <t>INV-2026-00729</t>
  </si>
  <si>
    <t>INV-2026-00730</t>
  </si>
  <si>
    <t>INV-2026-00731</t>
  </si>
  <si>
    <t>INV-2026-00732</t>
  </si>
  <si>
    <t>INV-2026-00733</t>
  </si>
  <si>
    <t>INV-2026-00734</t>
  </si>
  <si>
    <t>INV-2026-00735</t>
  </si>
  <si>
    <t>INV-2026-00736</t>
  </si>
  <si>
    <t>INV-2026-00737</t>
  </si>
  <si>
    <t>INV-2026-00738</t>
  </si>
  <si>
    <t>INV-2026-00739</t>
  </si>
  <si>
    <t>INV-2026-00740</t>
  </si>
  <si>
    <t>INV-2026-00741</t>
  </si>
  <si>
    <t>INV-2026-00742</t>
  </si>
  <si>
    <t>INV-2026-00743</t>
  </si>
  <si>
    <t>INV-2026-00744</t>
  </si>
  <si>
    <t>INV-2026-00745</t>
  </si>
  <si>
    <t>INV-2026-00746</t>
  </si>
  <si>
    <t>INV-2026-00747</t>
  </si>
  <si>
    <t>INV-2026-00748</t>
  </si>
  <si>
    <t>INV-2026-00749</t>
  </si>
  <si>
    <t>INV-2026-00750</t>
  </si>
  <si>
    <t>INV-2026-00751</t>
  </si>
  <si>
    <t>INV-2026-00752</t>
  </si>
  <si>
    <t>INV-2026-00753</t>
  </si>
  <si>
    <t>INV-2026-00754</t>
  </si>
  <si>
    <t>INV-2026-00755</t>
  </si>
  <si>
    <t>INV-2026-00756</t>
  </si>
  <si>
    <t>INV-2026-00757</t>
  </si>
  <si>
    <t>INV-2026-00758</t>
  </si>
  <si>
    <t>INV-2026-00759</t>
  </si>
  <si>
    <t>INV-2026-00760</t>
  </si>
  <si>
    <t>INV-2026-00761</t>
  </si>
  <si>
    <t>INV-2026-00762</t>
  </si>
  <si>
    <t>INV-2026-00763</t>
  </si>
  <si>
    <t>INV-2026-00764</t>
  </si>
  <si>
    <t>INV-2026-00765</t>
  </si>
  <si>
    <t>INV-2026-00766</t>
  </si>
  <si>
    <t>INV-2026-00767</t>
  </si>
  <si>
    <t>INV-2026-00768</t>
  </si>
  <si>
    <t>INV-2026-00769</t>
  </si>
  <si>
    <t>INV-2026-00770</t>
  </si>
  <si>
    <t>INV-2026-00771</t>
  </si>
  <si>
    <t>INV-2026-00772</t>
  </si>
  <si>
    <t>INV-2026-00773</t>
  </si>
  <si>
    <t>INV-2026-00774</t>
  </si>
  <si>
    <t>INV-2026-00775</t>
  </si>
  <si>
    <t>INV-2026-00776</t>
  </si>
  <si>
    <t>INV-2026-00777</t>
  </si>
  <si>
    <t>INV-2026-00778</t>
  </si>
  <si>
    <t>INV-2026-00779</t>
  </si>
  <si>
    <t>INV-2026-00780</t>
  </si>
  <si>
    <t>INV-2026-00781</t>
  </si>
  <si>
    <t>INV-2026-00782</t>
  </si>
  <si>
    <t>INV-2026-00783</t>
  </si>
  <si>
    <t>INV-2026-00784</t>
  </si>
  <si>
    <t>INV-2026-00785</t>
  </si>
  <si>
    <t>INV-2026-00786</t>
  </si>
  <si>
    <t>INV-2026-00787</t>
  </si>
  <si>
    <t>INV-2026-00788</t>
  </si>
  <si>
    <t>INV-2026-00789</t>
  </si>
  <si>
    <t>INV-2026-00790</t>
  </si>
  <si>
    <t>INV-2026-00791</t>
  </si>
  <si>
    <t>INV-2026-00792</t>
  </si>
  <si>
    <t>INV-2026-00793</t>
  </si>
  <si>
    <t>INV-2026-00794</t>
  </si>
  <si>
    <t>INV-2026-00795</t>
  </si>
  <si>
    <t>INV-2026-00796</t>
  </si>
  <si>
    <t>INV-2026-00797</t>
  </si>
  <si>
    <t>INV-2026-00798</t>
  </si>
  <si>
    <t>INV-2026-00799</t>
  </si>
  <si>
    <t>INV-2026-00800</t>
  </si>
  <si>
    <t>INV-2026-00801</t>
  </si>
  <si>
    <t>INV-2026-00802</t>
  </si>
  <si>
    <t>INV-2026-00803</t>
  </si>
  <si>
    <t>INV-2026-00804</t>
  </si>
  <si>
    <t>INV-2026-00805</t>
  </si>
  <si>
    <t>INV-2026-00806</t>
  </si>
  <si>
    <t>INV-2026-00807</t>
  </si>
  <si>
    <t>INV-2026-00808</t>
  </si>
  <si>
    <t>INV-2026-00809</t>
  </si>
  <si>
    <t>INV-2026-00810</t>
  </si>
  <si>
    <t>INV-2026-00811</t>
  </si>
  <si>
    <t>INV-2026-00812</t>
  </si>
  <si>
    <t>INV-2026-00813</t>
  </si>
  <si>
    <t>INV-2026-00814</t>
  </si>
  <si>
    <t>INV-2026-00815</t>
  </si>
  <si>
    <t>INV-2026-00816</t>
  </si>
  <si>
    <t>INV-2026-00817</t>
  </si>
  <si>
    <t>INV-2026-00818</t>
  </si>
  <si>
    <t>INV-2026-00819</t>
  </si>
  <si>
    <t>INV-2026-00820</t>
  </si>
  <si>
    <t>INV-2026-00821</t>
  </si>
  <si>
    <t>INV-2026-00822</t>
  </si>
  <si>
    <t>INV-2026-00823</t>
  </si>
  <si>
    <t>INV-2026-00824</t>
  </si>
  <si>
    <t>INV-2026-00825</t>
  </si>
  <si>
    <t>INV-2026-00826</t>
  </si>
  <si>
    <t>INV-2026-00827</t>
  </si>
  <si>
    <t>INV-2026-00828</t>
  </si>
  <si>
    <t>INV-2026-00829</t>
  </si>
  <si>
    <t>INV-2026-00830</t>
  </si>
  <si>
    <t>INV-2026-00831</t>
  </si>
  <si>
    <t>INV-2026-00832</t>
  </si>
  <si>
    <t>INV-2026-00833</t>
  </si>
  <si>
    <t>INV-2026-00834</t>
  </si>
  <si>
    <t>INV-2026-00835</t>
  </si>
  <si>
    <t>INV-2026-00836</t>
  </si>
  <si>
    <t>INV-2026-00837</t>
  </si>
  <si>
    <t>INV-2026-00838</t>
  </si>
  <si>
    <t>INV-2026-00839</t>
  </si>
  <si>
    <t>INV-2026-00840</t>
  </si>
  <si>
    <t>INV-2026-00841</t>
  </si>
  <si>
    <t>INV-2026-00842</t>
  </si>
  <si>
    <t>INV-2026-00843</t>
  </si>
  <si>
    <t>INV-2026-00844</t>
  </si>
  <si>
    <t>INV-2026-00845</t>
  </si>
  <si>
    <t>INV-2026-00846</t>
  </si>
  <si>
    <t>INV-2026-00847</t>
  </si>
  <si>
    <t>INV-2026-00848</t>
  </si>
  <si>
    <t>INV-2026-00849</t>
  </si>
  <si>
    <t>INV-2026-00850</t>
  </si>
  <si>
    <t>INV-2026-00851</t>
  </si>
  <si>
    <t>INV-2026-00852</t>
  </si>
  <si>
    <t>INV-2026-00853</t>
  </si>
  <si>
    <t>INV-2026-00854</t>
  </si>
  <si>
    <t>INV-2026-00855</t>
  </si>
  <si>
    <t>INV-2026-00856</t>
  </si>
  <si>
    <t>INV-2026-00857</t>
  </si>
  <si>
    <t>INV-2026-00858</t>
  </si>
  <si>
    <t>INV-2026-00859</t>
  </si>
  <si>
    <t>INV-2026-00860</t>
  </si>
  <si>
    <t>INV-2026-00861</t>
  </si>
  <si>
    <t>INV-2026-00862</t>
  </si>
  <si>
    <t>INV-2026-00863</t>
  </si>
  <si>
    <t>INV-2026-00864</t>
  </si>
  <si>
    <t>INV-2026-00865</t>
  </si>
  <si>
    <t>INV-2026-00866</t>
  </si>
  <si>
    <t>INV-2026-00867</t>
  </si>
  <si>
    <t>INV-2026-00868</t>
  </si>
  <si>
    <t>INV-2026-00869</t>
  </si>
  <si>
    <t>INV-2026-00870</t>
  </si>
  <si>
    <t>INV-2026-00871</t>
  </si>
  <si>
    <t>INV-2026-00872</t>
  </si>
  <si>
    <t>INV-2026-00873</t>
  </si>
  <si>
    <t>INV-2026-00874</t>
  </si>
  <si>
    <t>INV-2026-00875</t>
  </si>
  <si>
    <t>INV-2026-00876</t>
  </si>
  <si>
    <t>INV-2026-00877</t>
  </si>
  <si>
    <t>INV-2026-00878</t>
  </si>
  <si>
    <t>INV-2026-00879</t>
  </si>
  <si>
    <t>INV-2026-00880</t>
  </si>
  <si>
    <t>INV-2026-00881</t>
  </si>
  <si>
    <t>INV-2026-00882</t>
  </si>
  <si>
    <t>INV-2026-00883</t>
  </si>
  <si>
    <t>INV-2026-00884</t>
  </si>
  <si>
    <t>INV-2026-00885</t>
  </si>
  <si>
    <t>INV-2026-00886</t>
  </si>
  <si>
    <t>INV-2026-00887</t>
  </si>
  <si>
    <t>INV-2026-00888</t>
  </si>
  <si>
    <t>INV-2026-00889</t>
  </si>
  <si>
    <t>INV-2026-00890</t>
  </si>
  <si>
    <t>INV-2026-00891</t>
  </si>
  <si>
    <t>INV-2026-00892</t>
  </si>
  <si>
    <t>INV-2026-00893</t>
  </si>
  <si>
    <t>INV-2026-00894</t>
  </si>
  <si>
    <t>INV-2026-00895</t>
  </si>
  <si>
    <t>INV-2026-00896</t>
  </si>
  <si>
    <t>INV-2026-00897</t>
  </si>
  <si>
    <t>INV-2026-00898</t>
  </si>
  <si>
    <t>INV-2026-00899</t>
  </si>
  <si>
    <t>INV-2026-00900</t>
  </si>
  <si>
    <t>INV-2026-00901</t>
  </si>
  <si>
    <t>INV-2026-00902</t>
  </si>
  <si>
    <t>INV-2026-00903</t>
  </si>
  <si>
    <t>INV-2026-00904</t>
  </si>
  <si>
    <t>INV-2026-00905</t>
  </si>
  <si>
    <t>INV-2026-00906</t>
  </si>
  <si>
    <t>INV-2026-00907</t>
  </si>
  <si>
    <t>INV-2026-00908</t>
  </si>
  <si>
    <t>INV-2026-00909</t>
  </si>
  <si>
    <t>INV-2026-00910</t>
  </si>
  <si>
    <t>INV-2026-00911</t>
  </si>
  <si>
    <t>INV-2026-00912</t>
  </si>
  <si>
    <t>INV-2026-00913</t>
  </si>
  <si>
    <t>INV-2026-00914</t>
  </si>
  <si>
    <t>INV-2026-00915</t>
  </si>
  <si>
    <t>INV-2026-00916</t>
  </si>
  <si>
    <t>INV-2026-00917</t>
  </si>
  <si>
    <t>INV-2026-00918</t>
  </si>
  <si>
    <t>INV-2026-00919</t>
  </si>
  <si>
    <t>INV-2026-00920</t>
  </si>
  <si>
    <t>INV-2026-00921</t>
  </si>
  <si>
    <t>INV-2026-00922</t>
  </si>
  <si>
    <t>INV-2026-00923</t>
  </si>
  <si>
    <t>INV-2026-00924</t>
  </si>
  <si>
    <t>INV-2026-00925</t>
  </si>
  <si>
    <t>INV-2026-00926</t>
  </si>
  <si>
    <t>INV-2026-00927</t>
  </si>
  <si>
    <t>INV-2026-00928</t>
  </si>
  <si>
    <t>INV-2026-00929</t>
  </si>
  <si>
    <t>INV-2026-00930</t>
  </si>
  <si>
    <t>INV-2026-00931</t>
  </si>
  <si>
    <t>INV-2026-00932</t>
  </si>
  <si>
    <t>INV-2026-00933</t>
  </si>
  <si>
    <t>INV-2026-00934</t>
  </si>
  <si>
    <t>INV-2026-00935</t>
  </si>
  <si>
    <t>INV-2026-00936</t>
  </si>
  <si>
    <t>INV-2026-00937</t>
  </si>
  <si>
    <t>INV-2026-00938</t>
  </si>
  <si>
    <t>INV-2026-00939</t>
  </si>
  <si>
    <t>INV-2026-00940</t>
  </si>
  <si>
    <t>INV-2026-00941</t>
  </si>
  <si>
    <t>INV-2026-00942</t>
  </si>
  <si>
    <t>INV-2026-00943</t>
  </si>
  <si>
    <t>INV-2026-00944</t>
  </si>
  <si>
    <t>INV-2026-00945</t>
  </si>
  <si>
    <t>INV-2026-00946</t>
  </si>
  <si>
    <t>INV-2026-00947</t>
  </si>
  <si>
    <t>INV-2026-00948</t>
  </si>
  <si>
    <t>INV-2026-00949</t>
  </si>
  <si>
    <t>INV-2026-00950</t>
  </si>
  <si>
    <t>INV-2026-00951</t>
  </si>
  <si>
    <t>INV-2026-00952</t>
  </si>
  <si>
    <t>INV-2026-00953</t>
  </si>
  <si>
    <t>INV-2026-00954</t>
  </si>
  <si>
    <t>INV-2026-00955</t>
  </si>
  <si>
    <t>INV-2026-00956</t>
  </si>
  <si>
    <t>INV-2026-00957</t>
  </si>
  <si>
    <t>INV-2026-00958</t>
  </si>
  <si>
    <t>INV-2026-00959</t>
  </si>
  <si>
    <t>INV-2026-00960</t>
  </si>
  <si>
    <t>INV-2026-00961</t>
  </si>
  <si>
    <t>INV-2026-00962</t>
  </si>
  <si>
    <t>INV-2026-00963</t>
  </si>
  <si>
    <t>INV-2026-00964</t>
  </si>
  <si>
    <t>INV-2026-00965</t>
  </si>
  <si>
    <t>INV-2026-00966</t>
  </si>
  <si>
    <t>INV-2026-00967</t>
  </si>
  <si>
    <t>INV-2026-00968</t>
  </si>
  <si>
    <t>INV-2026-00969</t>
  </si>
  <si>
    <t>INV-2026-00970</t>
  </si>
  <si>
    <t>INV-2026-00971</t>
  </si>
  <si>
    <t>INV-2026-00972</t>
  </si>
  <si>
    <t>INV-2026-00973</t>
  </si>
  <si>
    <t>INV-2026-00974</t>
  </si>
  <si>
    <t>INV-2026-00975</t>
  </si>
  <si>
    <t>INV-2026-00976</t>
  </si>
  <si>
    <t>INV-2026-00977</t>
  </si>
  <si>
    <t>INV-2026-00978</t>
  </si>
  <si>
    <t>INV-2026-00979</t>
  </si>
  <si>
    <t>INV-2026-00980</t>
  </si>
  <si>
    <t>INV-2026-00981</t>
  </si>
  <si>
    <t>INV-2026-00982</t>
  </si>
  <si>
    <t>INV-2026-00983</t>
  </si>
  <si>
    <t>INV-2026-00984</t>
  </si>
  <si>
    <t>INV-2026-00985</t>
  </si>
  <si>
    <t>INV-2026-00986</t>
  </si>
  <si>
    <t>INV-2026-00987</t>
  </si>
  <si>
    <t>INV-2026-00988</t>
  </si>
  <si>
    <t>INV-2026-00989</t>
  </si>
  <si>
    <t>INV-2026-00990</t>
  </si>
  <si>
    <t>INV-2026-00991</t>
  </si>
  <si>
    <t>INV-2026-00992</t>
  </si>
  <si>
    <t>INV-2026-00993</t>
  </si>
  <si>
    <t>INV-2026-00994</t>
  </si>
  <si>
    <t>INV-2026-00995</t>
  </si>
  <si>
    <t>INV-2026-00996</t>
  </si>
  <si>
    <t>INV-2026-00997</t>
  </si>
  <si>
    <t>INV-2026-00998</t>
  </si>
  <si>
    <t>INV-2026-00999</t>
  </si>
  <si>
    <t>INV-2026-01000</t>
  </si>
  <si>
    <t>INV-2026-01001</t>
  </si>
  <si>
    <t>INV-2026-01002</t>
  </si>
  <si>
    <t>INV-2026-01003</t>
  </si>
  <si>
    <t>INV-2026-01004</t>
  </si>
  <si>
    <t>INV-2026-01005</t>
  </si>
  <si>
    <t>INV-2026-01006</t>
  </si>
  <si>
    <t>INV-2026-01007</t>
  </si>
  <si>
    <t>INV-2026-01008</t>
  </si>
  <si>
    <t>INV-2026-01009</t>
  </si>
  <si>
    <t>INV-2026-01010</t>
  </si>
  <si>
    <t>INV-2026-01011</t>
  </si>
  <si>
    <t>INV-2026-01012</t>
  </si>
  <si>
    <t>INV-2026-01013</t>
  </si>
  <si>
    <t>INV-2026-01014</t>
  </si>
  <si>
    <t>INV-2026-01015</t>
  </si>
  <si>
    <t>INV-2026-01016</t>
  </si>
  <si>
    <t>INV-2026-01017</t>
  </si>
  <si>
    <t>INV-2026-01018</t>
  </si>
  <si>
    <t>INV-2026-01019</t>
  </si>
  <si>
    <t>INV-2026-01020</t>
  </si>
  <si>
    <t>INV-2026-01021</t>
  </si>
  <si>
    <t>INV-2026-01022</t>
  </si>
  <si>
    <t>INV-2026-01023</t>
  </si>
  <si>
    <t>INV-2026-01024</t>
  </si>
  <si>
    <t>INV-2026-01025</t>
  </si>
  <si>
    <t>INV-2026-01026</t>
  </si>
  <si>
    <t>INV-2026-01027</t>
  </si>
  <si>
    <t>INV-2026-01028</t>
  </si>
  <si>
    <t>INV-2026-01029</t>
  </si>
  <si>
    <t>INV-2026-01030</t>
  </si>
  <si>
    <t>INV-2026-01031</t>
  </si>
  <si>
    <t>INV-2026-01032</t>
  </si>
  <si>
    <t>INV-2026-01033</t>
  </si>
  <si>
    <t>INV-2026-01034</t>
  </si>
  <si>
    <t>INV-2026-01035</t>
  </si>
  <si>
    <t>INV-2026-01036</t>
  </si>
  <si>
    <t>INV-2026-01037</t>
  </si>
  <si>
    <t>INV-2026-01038</t>
  </si>
  <si>
    <t>INV-2026-01039</t>
  </si>
  <si>
    <t>INV-2026-01040</t>
  </si>
  <si>
    <t>INV-2026-01041</t>
  </si>
  <si>
    <t>INV-2026-01042</t>
  </si>
  <si>
    <t>INV-2026-01043</t>
  </si>
  <si>
    <t>INV-2026-01044</t>
  </si>
  <si>
    <t>INV-2026-01045</t>
  </si>
  <si>
    <t>INV-2026-01046</t>
  </si>
  <si>
    <t>INV-2026-01047</t>
  </si>
  <si>
    <t>INV-2026-01048</t>
  </si>
  <si>
    <t>INV-2026-01049</t>
  </si>
  <si>
    <t>INV-2026-01050</t>
  </si>
  <si>
    <t>INV-2026-01051</t>
  </si>
  <si>
    <t>INV-2026-01052</t>
  </si>
  <si>
    <t>INV-2026-01053</t>
  </si>
  <si>
    <t>INV-2026-01054</t>
  </si>
  <si>
    <t>INV-2026-01055</t>
  </si>
  <si>
    <t>INV-2026-01056</t>
  </si>
  <si>
    <t>INV-2026-01057</t>
  </si>
  <si>
    <t>INV-2026-01058</t>
  </si>
  <si>
    <t>INV-2026-01059</t>
  </si>
  <si>
    <t>INV-2026-01060</t>
  </si>
  <si>
    <t>INV-2026-01061</t>
  </si>
  <si>
    <t>INV-2026-01062</t>
  </si>
  <si>
    <t>INV-2026-01063</t>
  </si>
  <si>
    <t>INV-2026-01064</t>
  </si>
  <si>
    <t>INV-2026-01065</t>
  </si>
  <si>
    <t>INV-2026-01066</t>
  </si>
  <si>
    <t>INV-2026-01067</t>
  </si>
  <si>
    <t>INV-2026-01068</t>
  </si>
  <si>
    <t>INV-2026-01069</t>
  </si>
  <si>
    <t>INV-2026-01070</t>
  </si>
  <si>
    <t>INV-2026-01071</t>
  </si>
  <si>
    <t>INV-2026-01072</t>
  </si>
  <si>
    <t>INV-2026-01073</t>
  </si>
  <si>
    <t>INV-2026-01074</t>
  </si>
  <si>
    <t>INV-2026-01075</t>
  </si>
  <si>
    <t>INV-2026-01076</t>
  </si>
  <si>
    <t>INV-2026-01077</t>
  </si>
  <si>
    <t>INV-2026-01078</t>
  </si>
  <si>
    <t>INV-2026-01079</t>
  </si>
  <si>
    <t>INV-2026-01080</t>
  </si>
  <si>
    <t>INV-2026-01081</t>
  </si>
  <si>
    <t>INV-2026-01082</t>
  </si>
  <si>
    <t>INV-2026-01083</t>
  </si>
  <si>
    <t>INV-2026-01084</t>
  </si>
  <si>
    <t>INV-2026-01085</t>
  </si>
  <si>
    <t>INV-2026-01086</t>
  </si>
  <si>
    <t>INV-2026-01087</t>
  </si>
  <si>
    <t>INV-2026-01088</t>
  </si>
  <si>
    <t>INV-2026-01089</t>
  </si>
  <si>
    <t>INV-2026-01090</t>
  </si>
  <si>
    <t>INV-2026-01091</t>
  </si>
  <si>
    <t>INV-2026-01092</t>
  </si>
  <si>
    <t>INV-2026-01093</t>
  </si>
  <si>
    <t>INV-2026-01094</t>
  </si>
  <si>
    <t>INV-2026-01095</t>
  </si>
  <si>
    <t>INV-2026-01096</t>
  </si>
  <si>
    <t>INV-2026-01097</t>
  </si>
  <si>
    <t>INV-2026-01098</t>
  </si>
  <si>
    <t>INV-2026-01099</t>
  </si>
  <si>
    <t>INV-2026-01100</t>
  </si>
  <si>
    <t>INV-2026-01101</t>
  </si>
  <si>
    <t>INV-2026-01102</t>
  </si>
  <si>
    <t>INV-2026-01103</t>
  </si>
  <si>
    <t>INV-2026-01104</t>
  </si>
  <si>
    <t>INV-2026-01105</t>
  </si>
  <si>
    <t>INV-2026-01106</t>
  </si>
  <si>
    <t>INV-2026-01107</t>
  </si>
  <si>
    <t>INV-2026-01108</t>
  </si>
  <si>
    <t>INV-2026-01109</t>
  </si>
  <si>
    <t>INV-2026-01110</t>
  </si>
  <si>
    <t>INV-2026-01111</t>
  </si>
  <si>
    <t>INV-2026-01112</t>
  </si>
  <si>
    <t>INV-2026-01113</t>
  </si>
  <si>
    <t>INV-2026-01114</t>
  </si>
  <si>
    <t>INV-2026-01115</t>
  </si>
  <si>
    <t>INV-2026-01116</t>
  </si>
  <si>
    <t>INV-2026-01117</t>
  </si>
  <si>
    <t>INV-2026-01118</t>
  </si>
  <si>
    <t>INV-2026-01119</t>
  </si>
  <si>
    <t>INV-2026-01120</t>
  </si>
  <si>
    <t>INV-2026-01121</t>
  </si>
  <si>
    <t>INV-2026-01122</t>
  </si>
  <si>
    <t>INV-2026-01123</t>
  </si>
  <si>
    <t>INV-2026-01124</t>
  </si>
  <si>
    <t>INV-2026-01125</t>
  </si>
  <si>
    <t>INV-2026-01126</t>
  </si>
  <si>
    <t>INV-2026-01127</t>
  </si>
  <si>
    <t>INV-2026-01128</t>
  </si>
  <si>
    <t>INV-2026-01129</t>
  </si>
  <si>
    <t>INV-2026-01130</t>
  </si>
  <si>
    <t>INV-2026-01131</t>
  </si>
  <si>
    <t>INV-2026-01132</t>
  </si>
  <si>
    <t>INV-2026-01133</t>
  </si>
  <si>
    <t>INV-2026-01134</t>
  </si>
  <si>
    <t>INV-2026-01135</t>
  </si>
  <si>
    <t>INV-2026-01136</t>
  </si>
  <si>
    <t>INV-2026-01137</t>
  </si>
  <si>
    <t>INV-2026-01138</t>
  </si>
  <si>
    <t>INV-2026-01139</t>
  </si>
  <si>
    <t>INV-2026-01140</t>
  </si>
  <si>
    <t>INV-2026-01141</t>
  </si>
  <si>
    <t>INV-2026-01142</t>
  </si>
  <si>
    <t>INV-2026-01143</t>
  </si>
  <si>
    <t>INV-2026-01144</t>
  </si>
  <si>
    <t>INV-2026-01145</t>
  </si>
  <si>
    <t>INV-2026-01146</t>
  </si>
  <si>
    <t>INV-2026-01147</t>
  </si>
  <si>
    <t>INV-2026-01148</t>
  </si>
  <si>
    <t>INV-2026-01149</t>
  </si>
  <si>
    <t>INV-2026-01150</t>
  </si>
  <si>
    <t>INV-2026-01151</t>
  </si>
  <si>
    <t>INV-2026-01152</t>
  </si>
  <si>
    <t>INV-2026-01153</t>
  </si>
  <si>
    <t>INV-2026-01154</t>
  </si>
  <si>
    <t>INV-2026-01155</t>
  </si>
  <si>
    <t>INV-2026-01156</t>
  </si>
  <si>
    <t>INV-2026-01157</t>
  </si>
  <si>
    <t>INV-2026-01158</t>
  </si>
  <si>
    <t>INV-2026-01159</t>
  </si>
  <si>
    <t>INV-2026-01160</t>
  </si>
  <si>
    <t>INV-2026-01161</t>
  </si>
  <si>
    <t>INV-2026-01162</t>
  </si>
  <si>
    <t>INV-2026-01163</t>
  </si>
  <si>
    <t>INV-2026-01164</t>
  </si>
  <si>
    <t>INV-2026-01165</t>
  </si>
  <si>
    <t>INV-2026-01166</t>
  </si>
  <si>
    <t>INV-2026-01167</t>
  </si>
  <si>
    <t>INV-2026-01168</t>
  </si>
  <si>
    <t>INV-2026-01169</t>
  </si>
  <si>
    <t>INV-2026-01170</t>
  </si>
  <si>
    <t>INV-2026-01171</t>
  </si>
  <si>
    <t>INV-2026-01172</t>
  </si>
  <si>
    <t>INV-2026-01173</t>
  </si>
  <si>
    <t>INV-2026-01174</t>
  </si>
  <si>
    <t>INV-2026-01175</t>
  </si>
  <si>
    <t>INV-2026-01176</t>
  </si>
  <si>
    <t>INV-2026-01177</t>
  </si>
  <si>
    <t>INV-2026-01178</t>
  </si>
  <si>
    <t>INV-2026-01179</t>
  </si>
  <si>
    <t>INV-2026-01180</t>
  </si>
  <si>
    <t>INV-2026-01181</t>
  </si>
  <si>
    <t>INV-2026-01182</t>
  </si>
  <si>
    <t>INV-2026-01183</t>
  </si>
  <si>
    <t>INV-2026-01184</t>
  </si>
  <si>
    <t>INV-2026-01185</t>
  </si>
  <si>
    <t>INV-2026-01186</t>
  </si>
  <si>
    <t>INV-2026-01187</t>
  </si>
  <si>
    <t>INV-2026-01188</t>
  </si>
  <si>
    <t>INV-2026-01189</t>
  </si>
  <si>
    <t>INV-2026-01190</t>
  </si>
  <si>
    <t>INV-2026-01191</t>
  </si>
  <si>
    <t>INV-2026-01192</t>
  </si>
  <si>
    <t>INV-2026-01193</t>
  </si>
  <si>
    <t>INV-2026-01194</t>
  </si>
  <si>
    <t>INV-2026-01195</t>
  </si>
  <si>
    <t>INV-2026-01196</t>
  </si>
  <si>
    <t>INV-2026-01197</t>
  </si>
  <si>
    <t>INV-2026-01198</t>
  </si>
  <si>
    <t>INV-2026-01199</t>
  </si>
  <si>
    <t>INV-2026-01200</t>
  </si>
  <si>
    <t>INV-2026-01201</t>
  </si>
  <si>
    <t>INV-2026-01202</t>
  </si>
  <si>
    <t>INV-2026-01203</t>
  </si>
  <si>
    <t>INV-2026-01204</t>
  </si>
  <si>
    <t>INV-2026-01205</t>
  </si>
  <si>
    <t>INV-2026-01206</t>
  </si>
  <si>
    <t>INV-2026-01207</t>
  </si>
  <si>
    <t>INV-2026-01208</t>
  </si>
  <si>
    <t>INV-2026-01209</t>
  </si>
  <si>
    <t>INV-2026-01210</t>
  </si>
  <si>
    <t>INV-2026-01211</t>
  </si>
  <si>
    <t>INV-2026-01212</t>
  </si>
  <si>
    <t>INV-2026-01213</t>
  </si>
  <si>
    <t>INV-2026-01214</t>
  </si>
  <si>
    <t>INV-2026-01215</t>
  </si>
  <si>
    <t>INV-2026-01216</t>
  </si>
  <si>
    <t>INV-2026-01217</t>
  </si>
  <si>
    <t>INV-2026-01218</t>
  </si>
  <si>
    <t>INV-2026-01219</t>
  </si>
  <si>
    <t>INV-2026-01220</t>
  </si>
  <si>
    <t>INV-2026-01221</t>
  </si>
  <si>
    <t>INV-2026-01222</t>
  </si>
  <si>
    <t>INV-2026-01223</t>
  </si>
  <si>
    <t>INV-2026-01224</t>
  </si>
  <si>
    <t>INV-2026-01225</t>
  </si>
  <si>
    <t>INV-2026-01226</t>
  </si>
  <si>
    <t>INV-2026-01227</t>
  </si>
  <si>
    <t>INV-2026-01228</t>
  </si>
  <si>
    <t>INV-2026-01229</t>
  </si>
  <si>
    <t>INV-2026-01230</t>
  </si>
  <si>
    <t>INV-2026-01231</t>
  </si>
  <si>
    <t>INV-2026-01232</t>
  </si>
  <si>
    <t>INV-2026-01233</t>
  </si>
  <si>
    <t>INV-2026-01234</t>
  </si>
  <si>
    <t>INV-2026-01235</t>
  </si>
  <si>
    <t>INV-2026-01236</t>
  </si>
  <si>
    <t>INV-2026-01237</t>
  </si>
  <si>
    <t>INV-2026-01238</t>
  </si>
  <si>
    <t>INV-2026-01239</t>
  </si>
  <si>
    <t>INV-2026-01240</t>
  </si>
  <si>
    <t>INV-2026-01241</t>
  </si>
  <si>
    <t>INV-2026-01242</t>
  </si>
  <si>
    <t>INV-2026-01243</t>
  </si>
  <si>
    <t>INV-2026-01244</t>
  </si>
  <si>
    <t>INV-2026-01245</t>
  </si>
  <si>
    <t>INV-2026-01246</t>
  </si>
  <si>
    <t>INV-2026-01247</t>
  </si>
  <si>
    <t>INV-2026-01248</t>
  </si>
  <si>
    <t>INV-2026-01249</t>
  </si>
  <si>
    <t>INV-2026-01250</t>
  </si>
  <si>
    <t>INV-2026-01251</t>
  </si>
  <si>
    <t>INV-2026-01252</t>
  </si>
  <si>
    <t>INV-2026-01253</t>
  </si>
  <si>
    <t>INV-2026-01254</t>
  </si>
  <si>
    <t>INV-2026-01255</t>
  </si>
  <si>
    <t>INV-2026-01256</t>
  </si>
  <si>
    <t>INV-2026-01257</t>
  </si>
  <si>
    <t>INV-2026-01258</t>
  </si>
  <si>
    <t>INV-2026-01259</t>
  </si>
  <si>
    <t>INV-2026-01260</t>
  </si>
  <si>
    <t>INV-2026-01261</t>
  </si>
  <si>
    <t>INV-2026-01262</t>
  </si>
  <si>
    <t>INV-2026-01263</t>
  </si>
  <si>
    <t>INV-2026-01264</t>
  </si>
  <si>
    <t>INV-2026-01265</t>
  </si>
  <si>
    <t>INV-2026-01266</t>
  </si>
  <si>
    <t>INV-2026-01267</t>
  </si>
  <si>
    <t>INV-2026-01268</t>
  </si>
  <si>
    <t>INV-2026-01269</t>
  </si>
  <si>
    <t>INV-2026-01270</t>
  </si>
  <si>
    <t>INV-2026-01271</t>
  </si>
  <si>
    <t>INV-2026-01272</t>
  </si>
  <si>
    <t>INV-2026-01273</t>
  </si>
  <si>
    <t>INV-2026-01274</t>
  </si>
  <si>
    <t>INV-2026-01275</t>
  </si>
  <si>
    <t>INV-2026-01276</t>
  </si>
  <si>
    <t>INV-2026-01277</t>
  </si>
  <si>
    <t>INV-2026-01278</t>
  </si>
  <si>
    <t>INV-2026-01279</t>
  </si>
  <si>
    <t>INV-2026-01280</t>
  </si>
  <si>
    <t>INV-2026-01281</t>
  </si>
  <si>
    <t>INV-2026-01282</t>
  </si>
  <si>
    <t>INV-2026-01283</t>
  </si>
  <si>
    <t>INV-2026-01284</t>
  </si>
  <si>
    <t>INV-2026-01285</t>
  </si>
  <si>
    <t>INV-2026-01286</t>
  </si>
  <si>
    <t>INV-2026-01287</t>
  </si>
  <si>
    <t>INV-2026-01288</t>
  </si>
  <si>
    <t>INV-2026-01289</t>
  </si>
  <si>
    <t>INV-2026-01290</t>
  </si>
  <si>
    <t>INV-2026-01291</t>
  </si>
  <si>
    <t>INV-2026-01292</t>
  </si>
  <si>
    <t>INV-2026-01293</t>
  </si>
  <si>
    <t>INV-2026-01294</t>
  </si>
  <si>
    <t>INV-2026-01295</t>
  </si>
  <si>
    <t>INV-2026-01296</t>
  </si>
  <si>
    <t>INV-2026-01297</t>
  </si>
  <si>
    <t>INV-2026-01298</t>
  </si>
  <si>
    <t>INV-2026-01299</t>
  </si>
  <si>
    <t>INV-2026-01300</t>
  </si>
  <si>
    <t>INV-2026-01301</t>
  </si>
  <si>
    <t>INV-2026-01302</t>
  </si>
  <si>
    <t>INV-2026-01303</t>
  </si>
  <si>
    <t>INV-2026-01304</t>
  </si>
  <si>
    <t>INV-2026-01305</t>
  </si>
  <si>
    <t>INV-2026-01306</t>
  </si>
  <si>
    <t>INV-2026-01307</t>
  </si>
  <si>
    <t>INV-2026-01308</t>
  </si>
  <si>
    <t>INV-2026-01309</t>
  </si>
  <si>
    <t>INV-2026-01310</t>
  </si>
  <si>
    <t>INV-2026-01311</t>
  </si>
  <si>
    <t>INV-2026-01312</t>
  </si>
  <si>
    <t>INV-2026-01313</t>
  </si>
  <si>
    <t>INV-2026-01314</t>
  </si>
  <si>
    <t>INV-2026-01315</t>
  </si>
  <si>
    <t>INV-2026-01316</t>
  </si>
  <si>
    <t>INV-2026-01317</t>
  </si>
  <si>
    <t>INV-2026-01318</t>
  </si>
  <si>
    <t>INV-2026-01319</t>
  </si>
  <si>
    <t>INV-2026-01320</t>
  </si>
  <si>
    <t>INV-2026-01321</t>
  </si>
  <si>
    <t>INV-2026-01322</t>
  </si>
  <si>
    <t>INV-2026-01323</t>
  </si>
  <si>
    <t>INV-2026-01324</t>
  </si>
  <si>
    <t>INV-2026-01325</t>
  </si>
  <si>
    <t>INV-2026-01326</t>
  </si>
  <si>
    <t>INV-2026-01327</t>
  </si>
  <si>
    <t>INV-2026-01328</t>
  </si>
  <si>
    <t>INV-2026-01329</t>
  </si>
  <si>
    <t>INV-2026-01330</t>
  </si>
  <si>
    <t>INV-2026-01331</t>
  </si>
  <si>
    <t>INV-2026-01332</t>
  </si>
  <si>
    <t>INV-2026-01333</t>
  </si>
  <si>
    <t>INV-2026-01334</t>
  </si>
  <si>
    <t>INV-2026-01335</t>
  </si>
  <si>
    <t>INV-2026-01336</t>
  </si>
  <si>
    <t>INV-2026-01337</t>
  </si>
  <si>
    <t>INV-2026-01338</t>
  </si>
  <si>
    <t>INV-2026-01339</t>
  </si>
  <si>
    <t>INV-2026-01340</t>
  </si>
  <si>
    <t>INV-2026-01341</t>
  </si>
  <si>
    <t>INV-2026-01342</t>
  </si>
  <si>
    <t>INV-2026-01343</t>
  </si>
  <si>
    <t>INV-2026-01344</t>
  </si>
  <si>
    <t>INV-2026-01345</t>
  </si>
  <si>
    <t>INV-2026-01346</t>
  </si>
  <si>
    <t>INV-2026-01347</t>
  </si>
  <si>
    <t>INV-2026-01348</t>
  </si>
  <si>
    <t>INV-2026-01349</t>
  </si>
  <si>
    <t>INV-2026-01350</t>
  </si>
  <si>
    <t>INV-2026-01351</t>
  </si>
  <si>
    <t>INV-2026-01352</t>
  </si>
  <si>
    <t>INV-2026-01353</t>
  </si>
  <si>
    <t>INV-2026-01354</t>
  </si>
  <si>
    <t>INV-2026-01355</t>
  </si>
  <si>
    <t>INV-2026-01356</t>
  </si>
  <si>
    <t>INV-2026-01357</t>
  </si>
  <si>
    <t>INV-2026-01358</t>
  </si>
  <si>
    <t>INV-2026-01359</t>
  </si>
  <si>
    <t>INV-2026-01360</t>
  </si>
  <si>
    <t>INV-2026-01361</t>
  </si>
  <si>
    <t>INV-2026-01362</t>
  </si>
  <si>
    <t>INV-2026-01363</t>
  </si>
  <si>
    <t>INV-2026-01364</t>
  </si>
  <si>
    <t>INV-2026-01365</t>
  </si>
  <si>
    <t>INV-2026-01366</t>
  </si>
  <si>
    <t>INV-2026-01367</t>
  </si>
  <si>
    <t>INV-2026-01368</t>
  </si>
  <si>
    <t>INV-2026-01369</t>
  </si>
  <si>
    <t>INV-2026-01370</t>
  </si>
  <si>
    <t>INV-2026-01371</t>
  </si>
  <si>
    <t>INV-2026-01372</t>
  </si>
  <si>
    <t>INV-2026-01373</t>
  </si>
  <si>
    <t>INV-2026-01374</t>
  </si>
  <si>
    <t>INV-2026-01375</t>
  </si>
  <si>
    <t>INV-2026-01376</t>
  </si>
  <si>
    <t>INV-2026-01377</t>
  </si>
  <si>
    <t>INV-2026-01378</t>
  </si>
  <si>
    <t>INV-2026-01379</t>
  </si>
  <si>
    <t>INV-2026-01380</t>
  </si>
  <si>
    <t>INV-2026-01381</t>
  </si>
  <si>
    <t>INV-2026-01382</t>
  </si>
  <si>
    <t>INV-2026-01383</t>
  </si>
  <si>
    <t>INV-2026-01384</t>
  </si>
  <si>
    <t>INV-2026-01385</t>
  </si>
  <si>
    <t>INV-2026-01386</t>
  </si>
  <si>
    <t>INV-2026-01387</t>
  </si>
  <si>
    <t>INV-2026-01388</t>
  </si>
  <si>
    <t>INV-2026-01389</t>
  </si>
  <si>
    <t>INV-2026-01390</t>
  </si>
  <si>
    <t>INV-2026-01391</t>
  </si>
  <si>
    <t>INV-2026-01392</t>
  </si>
  <si>
    <t>INV-2026-01393</t>
  </si>
  <si>
    <t>INV-2026-01394</t>
  </si>
  <si>
    <t>INV-2026-01395</t>
  </si>
  <si>
    <t>INV-2026-01396</t>
  </si>
  <si>
    <t>INV-2026-01397</t>
  </si>
  <si>
    <t>INV-2026-01398</t>
  </si>
  <si>
    <t>INV-2026-01399</t>
  </si>
  <si>
    <t>INV-2026-01400</t>
  </si>
  <si>
    <t>INV-2026-01401</t>
  </si>
  <si>
    <t>INV-2026-01402</t>
  </si>
  <si>
    <t>INV-2026-01403</t>
  </si>
  <si>
    <t>INV-2026-01404</t>
  </si>
  <si>
    <t>INV-2026-01405</t>
  </si>
  <si>
    <t>INV-2026-01406</t>
  </si>
  <si>
    <t>INV-2026-01407</t>
  </si>
  <si>
    <t>INV-2026-01408</t>
  </si>
  <si>
    <t>INV-2026-01409</t>
  </si>
  <si>
    <t>INV-2026-01410</t>
  </si>
  <si>
    <t>INV-2026-01411</t>
  </si>
  <si>
    <t>INV-2026-01412</t>
  </si>
  <si>
    <t>INV-2026-01413</t>
  </si>
  <si>
    <t>INV-2026-01414</t>
  </si>
  <si>
    <t>INV-2026-01415</t>
  </si>
  <si>
    <t>INV-2026-01416</t>
  </si>
  <si>
    <t>INV-2026-01417</t>
  </si>
  <si>
    <t>INV-2026-01418</t>
  </si>
  <si>
    <t>INV-2026-01419</t>
  </si>
  <si>
    <t>INV-2026-01420</t>
  </si>
  <si>
    <t>INV-2026-01421</t>
  </si>
  <si>
    <t>INV-2026-01422</t>
  </si>
  <si>
    <t>INV-2026-01423</t>
  </si>
  <si>
    <t>INV-2026-01424</t>
  </si>
  <si>
    <t>INV-2026-01425</t>
  </si>
  <si>
    <t>INV-2026-01426</t>
  </si>
  <si>
    <t>INV-2026-01427</t>
  </si>
  <si>
    <t>INV-2026-01428</t>
  </si>
  <si>
    <t>INV-2026-01429</t>
  </si>
  <si>
    <t>INV-2026-01430</t>
  </si>
  <si>
    <t>INV-2026-01431</t>
  </si>
  <si>
    <t>INV-2026-01432</t>
  </si>
  <si>
    <t>INV-2026-01433</t>
  </si>
  <si>
    <t>INV-2026-01434</t>
  </si>
  <si>
    <t>INV-2026-01435</t>
  </si>
  <si>
    <t>INV-2026-01436</t>
  </si>
  <si>
    <t>INV-2026-01437</t>
  </si>
  <si>
    <t>INV-2026-01438</t>
  </si>
  <si>
    <t>INV-2026-01439</t>
  </si>
  <si>
    <t>INV-2026-01440</t>
  </si>
  <si>
    <t>INV-2026-01441</t>
  </si>
  <si>
    <t>INV-2026-01442</t>
  </si>
  <si>
    <t>INV-2026-01443</t>
  </si>
  <si>
    <t>INV-2026-01444</t>
  </si>
  <si>
    <t>INV-2026-01445</t>
  </si>
  <si>
    <t>INV-2026-01446</t>
  </si>
  <si>
    <t>INV-2026-01447</t>
  </si>
  <si>
    <t>INV-2026-01448</t>
  </si>
  <si>
    <t>INV-2026-01449</t>
  </si>
  <si>
    <t>INV-2026-01450</t>
  </si>
  <si>
    <t>INV-2026-01451</t>
  </si>
  <si>
    <t>INV-2026-01452</t>
  </si>
  <si>
    <t>INV-2026-01453</t>
  </si>
  <si>
    <t>INV-2026-01454</t>
  </si>
  <si>
    <t>INV-2026-01455</t>
  </si>
  <si>
    <t>INV-2026-01456</t>
  </si>
  <si>
    <t>INV-2026-01457</t>
  </si>
  <si>
    <t>INV-2026-01458</t>
  </si>
  <si>
    <t>INV-2026-01459</t>
  </si>
  <si>
    <t>INV-2026-01460</t>
  </si>
  <si>
    <t>INV-2026-01461</t>
  </si>
  <si>
    <t>INV-2026-01462</t>
  </si>
  <si>
    <t>INV-2026-01463</t>
  </si>
  <si>
    <t>INV-2026-01464</t>
  </si>
  <si>
    <t>INV-2026-01465</t>
  </si>
  <si>
    <t>INV-2026-01466</t>
  </si>
  <si>
    <t>INV-2026-01467</t>
  </si>
  <si>
    <t>INV-2026-01468</t>
  </si>
  <si>
    <t>INV-2026-01469</t>
  </si>
  <si>
    <t>INV-2026-01470</t>
  </si>
  <si>
    <t>INV-2026-01471</t>
  </si>
  <si>
    <t>INV-2026-01472</t>
  </si>
  <si>
    <t>INV-2026-01473</t>
  </si>
  <si>
    <t>INV-2026-01474</t>
  </si>
  <si>
    <t>INV-2026-01475</t>
  </si>
  <si>
    <t>INV-2026-01476</t>
  </si>
  <si>
    <t>INV-2026-01477</t>
  </si>
  <si>
    <t>INV-2026-01478</t>
  </si>
  <si>
    <t>INV-2026-01479</t>
  </si>
  <si>
    <t>INV-2026-01480</t>
  </si>
  <si>
    <t>INV-2026-01481</t>
  </si>
  <si>
    <t>INV-2026-01482</t>
  </si>
  <si>
    <t>INV-2026-01483</t>
  </si>
  <si>
    <t>INV-2026-01484</t>
  </si>
  <si>
    <t>INV-2026-01485</t>
  </si>
  <si>
    <t>INV-2026-01486</t>
  </si>
  <si>
    <t>INV-2026-01487</t>
  </si>
  <si>
    <t>INV-2026-01488</t>
  </si>
  <si>
    <t>INV-2026-01489</t>
  </si>
  <si>
    <t>INV-2026-01490</t>
  </si>
  <si>
    <t>INV-2026-01491</t>
  </si>
  <si>
    <t>INV-2026-01492</t>
  </si>
  <si>
    <t>INV-2026-01493</t>
  </si>
  <si>
    <t>INV-2026-01494</t>
  </si>
  <si>
    <t>INV-2026-01495</t>
  </si>
  <si>
    <t>INV-2026-01496</t>
  </si>
  <si>
    <t>INV-2026-01497</t>
  </si>
  <si>
    <t>INV-2026-01498</t>
  </si>
  <si>
    <t>INV-2026-01499</t>
  </si>
  <si>
    <t>INV-2026-01500</t>
  </si>
  <si>
    <t>INV-2026-01501</t>
  </si>
  <si>
    <t>INV-2026-01502</t>
  </si>
  <si>
    <t>INV-2026-01503</t>
  </si>
  <si>
    <t>INV-2026-01504</t>
  </si>
  <si>
    <t>INV-2026-01505</t>
  </si>
  <si>
    <t>INV-2026-01506</t>
  </si>
  <si>
    <t>INV-2026-01507</t>
  </si>
  <si>
    <t>INV-2026-01508</t>
  </si>
  <si>
    <t>INV-2026-01509</t>
  </si>
  <si>
    <t>INV-2026-01510</t>
  </si>
  <si>
    <t>INV-2026-01511</t>
  </si>
  <si>
    <t>INV-2026-01512</t>
  </si>
  <si>
    <t>INV-2026-01513</t>
  </si>
  <si>
    <t>INV-2026-01514</t>
  </si>
  <si>
    <t>INV-2026-01515</t>
  </si>
  <si>
    <t>INV-2026-01516</t>
  </si>
  <si>
    <t>INV-2026-01517</t>
  </si>
  <si>
    <t>INV-2026-01518</t>
  </si>
  <si>
    <t>INV-2026-01519</t>
  </si>
  <si>
    <t>INV-2026-01520</t>
  </si>
  <si>
    <t>INV-2026-01521</t>
  </si>
  <si>
    <t>INV-2026-01522</t>
  </si>
  <si>
    <t>INV-2026-01523</t>
  </si>
  <si>
    <t>INV-2026-01524</t>
  </si>
  <si>
    <t>INV-2026-01525</t>
  </si>
  <si>
    <t>INV-2026-01526</t>
  </si>
  <si>
    <t>INV-2026-01527</t>
  </si>
  <si>
    <t>INV-2026-01528</t>
  </si>
  <si>
    <t>INV-2026-01529</t>
  </si>
  <si>
    <t>INV-2026-01530</t>
  </si>
  <si>
    <t>INV-2026-01531</t>
  </si>
  <si>
    <t>INV-2026-01532</t>
  </si>
  <si>
    <t>INV-2026-01533</t>
  </si>
  <si>
    <t>INV-2026-01534</t>
  </si>
  <si>
    <t>INV-2026-01535</t>
  </si>
  <si>
    <t>INV-2026-01536</t>
  </si>
  <si>
    <t>INV-2026-01537</t>
  </si>
  <si>
    <t>INV-2026-01538</t>
  </si>
  <si>
    <t>INV-2026-01539</t>
  </si>
  <si>
    <t>INV-2026-01540</t>
  </si>
  <si>
    <t>INV-2026-01541</t>
  </si>
  <si>
    <t>INV-2026-01542</t>
  </si>
  <si>
    <t>INV-2026-01543</t>
  </si>
  <si>
    <t>INV-2026-01544</t>
  </si>
  <si>
    <t>INV-2026-01545</t>
  </si>
  <si>
    <t>INV-2026-01546</t>
  </si>
  <si>
    <t>INV-2026-01547</t>
  </si>
  <si>
    <t>INV-2026-01548</t>
  </si>
  <si>
    <t>INV-2026-01549</t>
  </si>
  <si>
    <t>INV-2026-01550</t>
  </si>
  <si>
    <t>INV-2026-01551</t>
  </si>
  <si>
    <t>INV-2026-01552</t>
  </si>
  <si>
    <t>INV-2026-01553</t>
  </si>
  <si>
    <t>INV-2026-01554</t>
  </si>
  <si>
    <t>INV-2026-01555</t>
  </si>
  <si>
    <t>INV-2026-01556</t>
  </si>
  <si>
    <t>INV-2026-01557</t>
  </si>
  <si>
    <t>INV-2026-01558</t>
  </si>
  <si>
    <t>INV-2026-01559</t>
  </si>
  <si>
    <t>INV-2026-01560</t>
  </si>
  <si>
    <t>INV-2026-01561</t>
  </si>
  <si>
    <t>INV-2026-01562</t>
  </si>
  <si>
    <t>INV-2026-01563</t>
  </si>
  <si>
    <t>INV-2026-01564</t>
  </si>
  <si>
    <t>INV-2026-01565</t>
  </si>
  <si>
    <t>INV-2026-01566</t>
  </si>
  <si>
    <t>INV-2026-01567</t>
  </si>
  <si>
    <t>INV-2026-01568</t>
  </si>
  <si>
    <t>INV-2026-01569</t>
  </si>
  <si>
    <t>INV-2026-01570</t>
  </si>
  <si>
    <t>INV-2026-01571</t>
  </si>
  <si>
    <t>INV-2026-01572</t>
  </si>
  <si>
    <t>INV-2026-01573</t>
  </si>
  <si>
    <t>INV-2026-01574</t>
  </si>
  <si>
    <t>INV-2026-01575</t>
  </si>
  <si>
    <t>INV-2026-01576</t>
  </si>
  <si>
    <t>INV-2026-01577</t>
  </si>
  <si>
    <t>INV-2026-01578</t>
  </si>
  <si>
    <t>INV-2026-01579</t>
  </si>
  <si>
    <t>INV-2026-01580</t>
  </si>
  <si>
    <t>INV-2026-01581</t>
  </si>
  <si>
    <t>INV-2026-01582</t>
  </si>
  <si>
    <t>INV-2026-01583</t>
  </si>
  <si>
    <t>INV-2026-01584</t>
  </si>
  <si>
    <t>INV-2026-01585</t>
  </si>
  <si>
    <t>INV-2026-01586</t>
  </si>
  <si>
    <t>INV-2026-01587</t>
  </si>
  <si>
    <t>INV-2026-01588</t>
  </si>
  <si>
    <t>INV-2026-01589</t>
  </si>
  <si>
    <t>INV-2026-01590</t>
  </si>
  <si>
    <t>INV-2026-01591</t>
  </si>
  <si>
    <t>INV-2026-01592</t>
  </si>
  <si>
    <t>INV-2026-01593</t>
  </si>
  <si>
    <t>INV-2026-01594</t>
  </si>
  <si>
    <t>INV-2026-01595</t>
  </si>
  <si>
    <t>INV-2026-01596</t>
  </si>
  <si>
    <t>INV-2026-01597</t>
  </si>
  <si>
    <t>INV-2026-01598</t>
  </si>
  <si>
    <t>INV-2026-01599</t>
  </si>
  <si>
    <t>INV-2026-01600</t>
  </si>
  <si>
    <t>INV-2026-01601</t>
  </si>
  <si>
    <t>INV-2026-01602</t>
  </si>
  <si>
    <t>INV-2026-01603</t>
  </si>
  <si>
    <t>INV-2026-01604</t>
  </si>
  <si>
    <t>INV-2026-01605</t>
  </si>
  <si>
    <t>INV-2026-01606</t>
  </si>
  <si>
    <t>INV-2026-01607</t>
  </si>
  <si>
    <t>INV-2026-01608</t>
  </si>
  <si>
    <t>INV-2026-01609</t>
  </si>
  <si>
    <t>INV-2026-01610</t>
  </si>
  <si>
    <t>INV-2026-01611</t>
  </si>
  <si>
    <t>INV-2026-01612</t>
  </si>
  <si>
    <t>INV-2026-01613</t>
  </si>
  <si>
    <t>INV-2026-01614</t>
  </si>
  <si>
    <t>INV-2026-01615</t>
  </si>
  <si>
    <t>INV-2026-01616</t>
  </si>
  <si>
    <t>INV-2026-01617</t>
  </si>
  <si>
    <t>INV-2026-01618</t>
  </si>
  <si>
    <t>INV-2026-01619</t>
  </si>
  <si>
    <t>INV-2026-01620</t>
  </si>
  <si>
    <t>INV-2026-01621</t>
  </si>
  <si>
    <t>INV-2026-01622</t>
  </si>
  <si>
    <t>INV-2026-01623</t>
  </si>
  <si>
    <t>INV-2026-01624</t>
  </si>
  <si>
    <t>INV-2026-01625</t>
  </si>
  <si>
    <t>INV-2026-01626</t>
  </si>
  <si>
    <t>INV-2026-01627</t>
  </si>
  <si>
    <t>INV-2026-01628</t>
  </si>
  <si>
    <t>INV-2026-01629</t>
  </si>
  <si>
    <t>INV-2026-01630</t>
  </si>
  <si>
    <t>INV-2026-01631</t>
  </si>
  <si>
    <t>INV-2026-01632</t>
  </si>
  <si>
    <t>INV-2026-01633</t>
  </si>
  <si>
    <t>INV-2026-01634</t>
  </si>
  <si>
    <t>INV-2026-01635</t>
  </si>
  <si>
    <t>INV-2026-01636</t>
  </si>
  <si>
    <t>INV-2026-01637</t>
  </si>
  <si>
    <t>INV-2026-01638</t>
  </si>
  <si>
    <t>INV-2026-01639</t>
  </si>
  <si>
    <t>INV-2026-01640</t>
  </si>
  <si>
    <t>INV-2026-01641</t>
  </si>
  <si>
    <t>INV-2026-01642</t>
  </si>
  <si>
    <t>INV-2026-01643</t>
  </si>
  <si>
    <t>INV-2026-01644</t>
  </si>
  <si>
    <t>INV-2026-01645</t>
  </si>
  <si>
    <t>INV-2026-01646</t>
  </si>
  <si>
    <t>INV-2026-01647</t>
  </si>
  <si>
    <t>INV-2026-01648</t>
  </si>
  <si>
    <t>INV-2026-01649</t>
  </si>
  <si>
    <t>INV-2026-01650</t>
  </si>
  <si>
    <t>INV-2026-01651</t>
  </si>
  <si>
    <t>INV-2026-01652</t>
  </si>
  <si>
    <t>INV-2026-01653</t>
  </si>
  <si>
    <t>INV-2026-01654</t>
  </si>
  <si>
    <t>INV-2026-01655</t>
  </si>
  <si>
    <t>INV-2026-01656</t>
  </si>
  <si>
    <t>INV-2026-01657</t>
  </si>
  <si>
    <t>INV-2026-01658</t>
  </si>
  <si>
    <t>INV-2026-01659</t>
  </si>
  <si>
    <t>INV-2026-01660</t>
  </si>
  <si>
    <t>INV-2026-01661</t>
  </si>
  <si>
    <t>INV-2026-01662</t>
  </si>
  <si>
    <t>INV-2026-01663</t>
  </si>
  <si>
    <t>INV-2026-01664</t>
  </si>
  <si>
    <t>INV-2026-01665</t>
  </si>
  <si>
    <t>INV-2026-01666</t>
  </si>
  <si>
    <t>INV-2026-01667</t>
  </si>
  <si>
    <t>INV-2026-01668</t>
  </si>
  <si>
    <t>INV-2026-01669</t>
  </si>
  <si>
    <t>INV-2026-01670</t>
  </si>
  <si>
    <t>INV-2026-01671</t>
  </si>
  <si>
    <t>INV-2026-01672</t>
  </si>
  <si>
    <t>INV-2026-01673</t>
  </si>
  <si>
    <t>INV-2026-01674</t>
  </si>
  <si>
    <t>INV-2026-01675</t>
  </si>
  <si>
    <t>INV-2026-01676</t>
  </si>
  <si>
    <t>INV-2026-01677</t>
  </si>
  <si>
    <t>INV-2026-01678</t>
  </si>
  <si>
    <t>INV-2026-01679</t>
  </si>
  <si>
    <t>INV-2026-01680</t>
  </si>
  <si>
    <t>INV-2026-01681</t>
  </si>
  <si>
    <t>INV-2026-01682</t>
  </si>
  <si>
    <t>INV-2026-01683</t>
  </si>
  <si>
    <t>INV-2026-01684</t>
  </si>
  <si>
    <t>INV-2026-01685</t>
  </si>
  <si>
    <t>INV-2026-01686</t>
  </si>
  <si>
    <t>INV-2026-01687</t>
  </si>
  <si>
    <t>INV-2026-01688</t>
  </si>
  <si>
    <t>INV-2026-01689</t>
  </si>
  <si>
    <t>INV-2026-01690</t>
  </si>
  <si>
    <t>INV-2026-01691</t>
  </si>
  <si>
    <t>INV-2026-01692</t>
  </si>
  <si>
    <t>INV-2026-01693</t>
  </si>
  <si>
    <t>INV-2026-01694</t>
  </si>
  <si>
    <t>INV-2026-01695</t>
  </si>
  <si>
    <t>INV-2026-01696</t>
  </si>
  <si>
    <t>INV-2026-01697</t>
  </si>
  <si>
    <t>INV-2026-01698</t>
  </si>
  <si>
    <t>INV-2026-01699</t>
  </si>
  <si>
    <t>INV-2026-01700</t>
  </si>
  <si>
    <t>INV-2026-01701</t>
  </si>
  <si>
    <t>INV-2026-01702</t>
  </si>
  <si>
    <t>INV-2026-01703</t>
  </si>
  <si>
    <t>INV-2026-01704</t>
  </si>
  <si>
    <t>INV-2026-01705</t>
  </si>
  <si>
    <t>INV-2026-01706</t>
  </si>
  <si>
    <t>INV-2026-01707</t>
  </si>
  <si>
    <t>INV-2026-01708</t>
  </si>
  <si>
    <t>INV-2026-01709</t>
  </si>
  <si>
    <t>INV-2026-01710</t>
  </si>
  <si>
    <t>INV-2026-01711</t>
  </si>
  <si>
    <t>INV-2026-01712</t>
  </si>
  <si>
    <t>INV-2026-01713</t>
  </si>
  <si>
    <t>INV-2026-01714</t>
  </si>
  <si>
    <t>INV-2026-01715</t>
  </si>
  <si>
    <t>INV-2026-01716</t>
  </si>
  <si>
    <t>INV-2026-01717</t>
  </si>
  <si>
    <t>INV-2026-01718</t>
  </si>
  <si>
    <t>INV-2026-01719</t>
  </si>
  <si>
    <t>INV-2026-01720</t>
  </si>
  <si>
    <t>INV-2026-01721</t>
  </si>
  <si>
    <t>INV-2026-01722</t>
  </si>
  <si>
    <t>INV-2026-01723</t>
  </si>
  <si>
    <t>INV-2026-01724</t>
  </si>
  <si>
    <t>INV-2026-01725</t>
  </si>
  <si>
    <t>INV-2026-01726</t>
  </si>
  <si>
    <t>INV-2026-01727</t>
  </si>
  <si>
    <t>INV-2026-01728</t>
  </si>
  <si>
    <t>INV-2026-01729</t>
  </si>
  <si>
    <t>INV-2026-01730</t>
  </si>
  <si>
    <t>INV-2026-01731</t>
  </si>
  <si>
    <t>INV-2026-01732</t>
  </si>
  <si>
    <t>INV-2026-01733</t>
  </si>
  <si>
    <t>INV-2026-01734</t>
  </si>
  <si>
    <t>INV-2026-01735</t>
  </si>
  <si>
    <t>INV-2026-01736</t>
  </si>
  <si>
    <t>INV-2026-01737</t>
  </si>
  <si>
    <t>INV-2026-01738</t>
  </si>
  <si>
    <t>INV-2026-01739</t>
  </si>
  <si>
    <t>INV-2026-01740</t>
  </si>
  <si>
    <t>INV-2026-01741</t>
  </si>
  <si>
    <t>INV-2026-01742</t>
  </si>
  <si>
    <t>INV-2026-01743</t>
  </si>
  <si>
    <t>INV-2026-01744</t>
  </si>
  <si>
    <t>INV-2026-01745</t>
  </si>
  <si>
    <t>INV-2026-01746</t>
  </si>
  <si>
    <t>INV-2026-01747</t>
  </si>
  <si>
    <t>INV-2026-01748</t>
  </si>
  <si>
    <t>INV-2026-01749</t>
  </si>
  <si>
    <t>INV-2026-01750</t>
  </si>
  <si>
    <t>INV-2026-01751</t>
  </si>
  <si>
    <t>INV-2026-01752</t>
  </si>
  <si>
    <t>INV-2026-01753</t>
  </si>
  <si>
    <t>INV-2026-01754</t>
  </si>
  <si>
    <t>INV-2026-01755</t>
  </si>
  <si>
    <t>INV-2026-01756</t>
  </si>
  <si>
    <t>INV-2026-01757</t>
  </si>
  <si>
    <t>INV-2026-01758</t>
  </si>
  <si>
    <t>INV-2026-01759</t>
  </si>
  <si>
    <t>INV-2026-01760</t>
  </si>
  <si>
    <t>INV-2026-01761</t>
  </si>
  <si>
    <t>INV-2026-01762</t>
  </si>
  <si>
    <t>INV-2026-01763</t>
  </si>
  <si>
    <t>INV-2026-01764</t>
  </si>
  <si>
    <t>INV-2026-01765</t>
  </si>
  <si>
    <t>INV-2026-01766</t>
  </si>
  <si>
    <t>INV-2026-01767</t>
  </si>
  <si>
    <t>INV-2026-01768</t>
  </si>
  <si>
    <t>INV-2026-01769</t>
  </si>
  <si>
    <t>INV-2026-01770</t>
  </si>
  <si>
    <t>INV-2026-01771</t>
  </si>
  <si>
    <t>INV-2026-01772</t>
  </si>
  <si>
    <t>INV-2026-01773</t>
  </si>
  <si>
    <t>INV-2026-01774</t>
  </si>
  <si>
    <t>INV-2026-01775</t>
  </si>
  <si>
    <t>INV-2026-01776</t>
  </si>
  <si>
    <t>INV-2026-01777</t>
  </si>
  <si>
    <t>INV-2026-01778</t>
  </si>
  <si>
    <t>INV-2026-01779</t>
  </si>
  <si>
    <t>INV-2026-01780</t>
  </si>
  <si>
    <t>INV-2026-01781</t>
  </si>
  <si>
    <t>INV-2026-01782</t>
  </si>
  <si>
    <t>INV-2026-01783</t>
  </si>
  <si>
    <t>INV-2026-01784</t>
  </si>
  <si>
    <t>INV-2026-01785</t>
  </si>
  <si>
    <t>INV-2026-01786</t>
  </si>
  <si>
    <t>INV-2026-01787</t>
  </si>
  <si>
    <t>INV-2026-01788</t>
  </si>
  <si>
    <t>INV-2026-01789</t>
  </si>
  <si>
    <t>INV-2026-01790</t>
  </si>
  <si>
    <t>INV-2026-01791</t>
  </si>
  <si>
    <t>INV-2026-01792</t>
  </si>
  <si>
    <t>INV-2026-01793</t>
  </si>
  <si>
    <t>INV-2026-01794</t>
  </si>
  <si>
    <t>INV-2026-01795</t>
  </si>
  <si>
    <t>INV-2026-01796</t>
  </si>
  <si>
    <t>INV-2026-01797</t>
  </si>
  <si>
    <t>INV-2026-01798</t>
  </si>
  <si>
    <t>INV-2026-01799</t>
  </si>
  <si>
    <t>INV-2026-01800</t>
  </si>
  <si>
    <t>INV-2026-01801</t>
  </si>
  <si>
    <t>INV-2026-01802</t>
  </si>
  <si>
    <t>INV-2026-01803</t>
  </si>
  <si>
    <t>INV-2026-01804</t>
  </si>
  <si>
    <t>INV-2026-01805</t>
  </si>
  <si>
    <t>INV-2026-01806</t>
  </si>
  <si>
    <t>INV-2026-01807</t>
  </si>
  <si>
    <t>INV-2026-01808</t>
  </si>
  <si>
    <t>INV-2026-01809</t>
  </si>
  <si>
    <t>INV-2026-01810</t>
  </si>
  <si>
    <t>INV-2026-01811</t>
  </si>
  <si>
    <t>INV-2026-01812</t>
  </si>
  <si>
    <t>INV-2026-01813</t>
  </si>
  <si>
    <t>INV-2026-01814</t>
  </si>
  <si>
    <t>INV-2026-01815</t>
  </si>
  <si>
    <t>INV-2026-01816</t>
  </si>
  <si>
    <t>INV-2026-01817</t>
  </si>
  <si>
    <t>INV-2026-01818</t>
  </si>
  <si>
    <t>INV-2026-01819</t>
  </si>
  <si>
    <t>INV-2026-01820</t>
  </si>
  <si>
    <t>INV-2026-01821</t>
  </si>
  <si>
    <t>INV-2026-01822</t>
  </si>
  <si>
    <t>INV-2026-01823</t>
  </si>
  <si>
    <t>INV-2026-01824</t>
  </si>
  <si>
    <t>INV-2026-01825</t>
  </si>
  <si>
    <t>INV-2026-01826</t>
  </si>
  <si>
    <t>INV-2026-01827</t>
  </si>
  <si>
    <t>INV-2026-01828</t>
  </si>
  <si>
    <t>INV-2026-01829</t>
  </si>
  <si>
    <t>INV-2026-01830</t>
  </si>
  <si>
    <t>INV-2026-01831</t>
  </si>
  <si>
    <t>INV-2026-01832</t>
  </si>
  <si>
    <t>INV-2026-01833</t>
  </si>
  <si>
    <t>INV-2026-01834</t>
  </si>
  <si>
    <t>INV-2026-01835</t>
  </si>
  <si>
    <t>INV-2026-01836</t>
  </si>
  <si>
    <t>INV-2026-01837</t>
  </si>
  <si>
    <t>INV-2026-01838</t>
  </si>
  <si>
    <t>INV-2026-01839</t>
  </si>
  <si>
    <t>INV-2026-01840</t>
  </si>
  <si>
    <t>INV-2026-01841</t>
  </si>
  <si>
    <t>INV-2026-01842</t>
  </si>
  <si>
    <t>INV-2026-01843</t>
  </si>
  <si>
    <t>INV-2026-01844</t>
  </si>
  <si>
    <t>INV-2026-01845</t>
  </si>
  <si>
    <t>INV-2026-01846</t>
  </si>
  <si>
    <t>INV-2026-01847</t>
  </si>
  <si>
    <t>INV-2026-01848</t>
  </si>
  <si>
    <t>INV-2026-01849</t>
  </si>
  <si>
    <t>INV-2026-01850</t>
  </si>
  <si>
    <t>INV-2026-01851</t>
  </si>
  <si>
    <t>INV-2026-01852</t>
  </si>
  <si>
    <t>INV-2026-01853</t>
  </si>
  <si>
    <t>INV-2026-01854</t>
  </si>
  <si>
    <t>INV-2026-01855</t>
  </si>
  <si>
    <t>INV-2026-01856</t>
  </si>
  <si>
    <t>INV-2026-01857</t>
  </si>
  <si>
    <t>INV-2026-01858</t>
  </si>
  <si>
    <t>INV-2026-01859</t>
  </si>
  <si>
    <t>INV-2026-01860</t>
  </si>
  <si>
    <t>INV-2026-01861</t>
  </si>
  <si>
    <t>INV-2026-01862</t>
  </si>
  <si>
    <t>INV-2026-01863</t>
  </si>
  <si>
    <t>INV-2026-01864</t>
  </si>
  <si>
    <t>INV-2026-01865</t>
  </si>
  <si>
    <t>INV-2026-01866</t>
  </si>
  <si>
    <t>INV-2026-01867</t>
  </si>
  <si>
    <t>INV-2026-01868</t>
  </si>
  <si>
    <t>INV-2026-01869</t>
  </si>
  <si>
    <t>INV-2026-01870</t>
  </si>
  <si>
    <t>INV-2026-01871</t>
  </si>
  <si>
    <t>INV-2026-01872</t>
  </si>
  <si>
    <t>INV-2026-01873</t>
  </si>
  <si>
    <t>INV-2026-01874</t>
  </si>
  <si>
    <t>INV-2026-01875</t>
  </si>
  <si>
    <t>INV-2026-01876</t>
  </si>
  <si>
    <t>INV-2026-01877</t>
  </si>
  <si>
    <t>INV-2026-01878</t>
  </si>
  <si>
    <t>INV-2026-01879</t>
  </si>
  <si>
    <t>INV-2026-01880</t>
  </si>
  <si>
    <t>INV-2026-01881</t>
  </si>
  <si>
    <t>INV-2026-01882</t>
  </si>
  <si>
    <t>INV-2026-01883</t>
  </si>
  <si>
    <t>INV-2026-01884</t>
  </si>
  <si>
    <t>INV-2026-01885</t>
  </si>
  <si>
    <t>INV-2026-01886</t>
  </si>
  <si>
    <t>INV-2026-01887</t>
  </si>
  <si>
    <t>INV-2026-01888</t>
  </si>
  <si>
    <t>INV-2026-01889</t>
  </si>
  <si>
    <t>INV-2026-01890</t>
  </si>
  <si>
    <t>INV-2026-01891</t>
  </si>
  <si>
    <t>INV-2026-01892</t>
  </si>
  <si>
    <t>INV-2026-01893</t>
  </si>
  <si>
    <t>INV-2026-01894</t>
  </si>
  <si>
    <t>INV-2026-01895</t>
  </si>
  <si>
    <t>INV-2026-01896</t>
  </si>
  <si>
    <t>INV-2026-01897</t>
  </si>
  <si>
    <t>INV-2026-01898</t>
  </si>
  <si>
    <t>INV-2026-01899</t>
  </si>
  <si>
    <t>INV-2026-01900</t>
  </si>
  <si>
    <t>INV-2026-01901</t>
  </si>
  <si>
    <t>INV-2026-01902</t>
  </si>
  <si>
    <t>INV-2026-01903</t>
  </si>
  <si>
    <t>INV-2026-01904</t>
  </si>
  <si>
    <t>INV-2026-01905</t>
  </si>
  <si>
    <t>INV-2026-01906</t>
  </si>
  <si>
    <t>INV-2026-01907</t>
  </si>
  <si>
    <t>INV-2026-01908</t>
  </si>
  <si>
    <t>INV-2026-01909</t>
  </si>
  <si>
    <t>INV-2026-01910</t>
  </si>
  <si>
    <t>INV-2026-01911</t>
  </si>
  <si>
    <t>INV-2026-01912</t>
  </si>
  <si>
    <t>INV-2026-01913</t>
  </si>
  <si>
    <t>INV-2026-01914</t>
  </si>
  <si>
    <t>INV-2026-01915</t>
  </si>
  <si>
    <t>INV-2026-01916</t>
  </si>
  <si>
    <t>INV-2026-01917</t>
  </si>
  <si>
    <t>INV-2026-01918</t>
  </si>
  <si>
    <t>INV-2026-01919</t>
  </si>
  <si>
    <t>INV-2026-01920</t>
  </si>
  <si>
    <t>INV-2026-01921</t>
  </si>
  <si>
    <t>INV-2026-01922</t>
  </si>
  <si>
    <t>INV-2026-01923</t>
  </si>
  <si>
    <t>INV-2026-01924</t>
  </si>
  <si>
    <t>INV-2026-01925</t>
  </si>
  <si>
    <t>INV-2026-01926</t>
  </si>
  <si>
    <t>INV-2026-01927</t>
  </si>
  <si>
    <t>INV-2026-01928</t>
  </si>
  <si>
    <t>INV-2026-01929</t>
  </si>
  <si>
    <t>INV-2026-01930</t>
  </si>
  <si>
    <t>INV-2026-01931</t>
  </si>
  <si>
    <t>INV-2026-01932</t>
  </si>
  <si>
    <t>INV-2026-01933</t>
  </si>
  <si>
    <t>INV-2026-01934</t>
  </si>
  <si>
    <t>INV-2026-01935</t>
  </si>
  <si>
    <t>INV-2026-01936</t>
  </si>
  <si>
    <t>INV-2026-01937</t>
  </si>
  <si>
    <t>INV-2026-01938</t>
  </si>
  <si>
    <t>INV-2026-01939</t>
  </si>
  <si>
    <t>INV-2026-01940</t>
  </si>
  <si>
    <t>INV-2026-01941</t>
  </si>
  <si>
    <t>INV-2026-01942</t>
  </si>
  <si>
    <t>INV-2026-01943</t>
  </si>
  <si>
    <t>INV-2026-01944</t>
  </si>
  <si>
    <t>INV-2026-01945</t>
  </si>
  <si>
    <t>INV-2026-01946</t>
  </si>
  <si>
    <t>INV-2026-01947</t>
  </si>
  <si>
    <t>INV-2026-01948</t>
  </si>
  <si>
    <t>INV-2026-01949</t>
  </si>
  <si>
    <t>INV-2026-01950</t>
  </si>
  <si>
    <t>INV-2026-01951</t>
  </si>
  <si>
    <t>INV-2026-01952</t>
  </si>
  <si>
    <t>INV-2026-01953</t>
  </si>
  <si>
    <t>INV-2026-01954</t>
  </si>
  <si>
    <t>INV-2026-01955</t>
  </si>
  <si>
    <t>INV-2026-01956</t>
  </si>
  <si>
    <t>INV-2026-01957</t>
  </si>
  <si>
    <t>INV-2026-01958</t>
  </si>
  <si>
    <t>INV-2026-01959</t>
  </si>
  <si>
    <t>INV-2026-01960</t>
  </si>
  <si>
    <t>INV-2026-01961</t>
  </si>
  <si>
    <t>INV-2026-01962</t>
  </si>
  <si>
    <t>INV-2026-01963</t>
  </si>
  <si>
    <t>INV-2026-01964</t>
  </si>
  <si>
    <t>INV-2026-01965</t>
  </si>
  <si>
    <t>INV-2026-01966</t>
  </si>
  <si>
    <t>INV-2026-01967</t>
  </si>
  <si>
    <t>INV-2026-01968</t>
  </si>
  <si>
    <t>INV-2026-01969</t>
  </si>
  <si>
    <t>INV-2026-01970</t>
  </si>
  <si>
    <t>INV-2026-01971</t>
  </si>
  <si>
    <t>INV-2026-01972</t>
  </si>
  <si>
    <t>INV-2026-01973</t>
  </si>
  <si>
    <t>INV-2026-01974</t>
  </si>
  <si>
    <t>INV-2026-01975</t>
  </si>
  <si>
    <t>INV-2026-01976</t>
  </si>
  <si>
    <t>INV-2026-01977</t>
  </si>
  <si>
    <t>INV-2026-01978</t>
  </si>
  <si>
    <t>INV-2026-01979</t>
  </si>
  <si>
    <t>INV-2026-01980</t>
  </si>
  <si>
    <t>INV-2026-01981</t>
  </si>
  <si>
    <t>INV-2026-01982</t>
  </si>
  <si>
    <t>INV-2026-01983</t>
  </si>
  <si>
    <t>INV-2026-01984</t>
  </si>
  <si>
    <t>INV-2026-01985</t>
  </si>
  <si>
    <t>INV-2026-01986</t>
  </si>
  <si>
    <t>INV-2026-01987</t>
  </si>
  <si>
    <t>INV-2026-01988</t>
  </si>
  <si>
    <t>INV-2026-01989</t>
  </si>
  <si>
    <t>INV-2026-01990</t>
  </si>
  <si>
    <t>INV-2026-01991</t>
  </si>
  <si>
    <t>INV-2026-01992</t>
  </si>
  <si>
    <t>INV-2026-01993</t>
  </si>
  <si>
    <t>INV-2026-01994</t>
  </si>
  <si>
    <t>INV-2026-01995</t>
  </si>
  <si>
    <t>INV-2026-01996</t>
  </si>
  <si>
    <t>INV-2026-01997</t>
  </si>
  <si>
    <t>INV-2026-01998</t>
  </si>
  <si>
    <t>INV-2026-01999</t>
  </si>
  <si>
    <t>INV-2026-02000</t>
  </si>
  <si>
    <t>INV-2026-02001</t>
  </si>
  <si>
    <t>INV-2026-02002</t>
  </si>
  <si>
    <t>INV-2026-02003</t>
  </si>
  <si>
    <t>INV-2026-02004</t>
  </si>
  <si>
    <t>INV-2026-02005</t>
  </si>
  <si>
    <t>INV-2026-02006</t>
  </si>
  <si>
    <t>INV-2026-02007</t>
  </si>
  <si>
    <t>INV-2026-02008</t>
  </si>
  <si>
    <t>INV-2026-02009</t>
  </si>
  <si>
    <t>INV-2026-02010</t>
  </si>
  <si>
    <t>INV-2026-02011</t>
  </si>
  <si>
    <t>INV-2026-02012</t>
  </si>
  <si>
    <t>INV-2026-02013</t>
  </si>
  <si>
    <t>INV-2026-02014</t>
  </si>
  <si>
    <t>INV-2026-02015</t>
  </si>
  <si>
    <t>INV-2026-02016</t>
  </si>
  <si>
    <t>INV-2026-02017</t>
  </si>
  <si>
    <t>INV-2026-02018</t>
  </si>
  <si>
    <t>INV-2026-02019</t>
  </si>
  <si>
    <t>INV-2026-02020</t>
  </si>
  <si>
    <t>INV-2026-02021</t>
  </si>
  <si>
    <t>INV-2026-02022</t>
  </si>
  <si>
    <t>INV-2026-02023</t>
  </si>
  <si>
    <t>INV-2026-02024</t>
  </si>
  <si>
    <t>INV-2026-02025</t>
  </si>
  <si>
    <t>INV-2026-02026</t>
  </si>
  <si>
    <t>INV-2026-02027</t>
  </si>
  <si>
    <t>INV-2026-02028</t>
  </si>
  <si>
    <t>INV-2026-02029</t>
  </si>
  <si>
    <t>INV-2026-02030</t>
  </si>
  <si>
    <t>INV-2026-02031</t>
  </si>
  <si>
    <t>INV-2026-02032</t>
  </si>
  <si>
    <t>INV-2026-02033</t>
  </si>
  <si>
    <t>INV-2026-02034</t>
  </si>
  <si>
    <t>INV-2026-02035</t>
  </si>
  <si>
    <t>INV-2026-02036</t>
  </si>
  <si>
    <t>INV-2026-02037</t>
  </si>
  <si>
    <t>INV-2026-02038</t>
  </si>
  <si>
    <t>INV-2026-02039</t>
  </si>
  <si>
    <t>INV-2026-02040</t>
  </si>
  <si>
    <t>INV-2026-02041</t>
  </si>
  <si>
    <t>INV-2026-02042</t>
  </si>
  <si>
    <t>INV-2026-02043</t>
  </si>
  <si>
    <t>INV-2026-02044</t>
  </si>
  <si>
    <t>INV-2026-02045</t>
  </si>
  <si>
    <t>INV-2026-02046</t>
  </si>
  <si>
    <t>INV-2026-02047</t>
  </si>
  <si>
    <t>INV-2026-02048</t>
  </si>
  <si>
    <t>INV-2026-02049</t>
  </si>
  <si>
    <t>INV-2026-02050</t>
  </si>
  <si>
    <t>INV-2026-02051</t>
  </si>
  <si>
    <t>INV-2026-02052</t>
  </si>
  <si>
    <t>INV-2026-02053</t>
  </si>
  <si>
    <t>INV-2026-02054</t>
  </si>
  <si>
    <t>INV-2026-02055</t>
  </si>
  <si>
    <t>INV-2026-02056</t>
  </si>
  <si>
    <t>INV-2026-02057</t>
  </si>
  <si>
    <t>INV-2026-02058</t>
  </si>
  <si>
    <t>INV-2026-02059</t>
  </si>
  <si>
    <t>INV-2026-02060</t>
  </si>
  <si>
    <t>INV-2026-02061</t>
  </si>
  <si>
    <t>INV-2026-02062</t>
  </si>
  <si>
    <t>INV-2026-02063</t>
  </si>
  <si>
    <t>INV-2026-02064</t>
  </si>
  <si>
    <t>INV-2026-02065</t>
  </si>
  <si>
    <t>INV-2026-02066</t>
  </si>
  <si>
    <t>INV-2026-02067</t>
  </si>
  <si>
    <t>INV-2026-02068</t>
  </si>
  <si>
    <t>INV-2026-02069</t>
  </si>
  <si>
    <t>INV-2026-02070</t>
  </si>
  <si>
    <t>INV-2026-02071</t>
  </si>
  <si>
    <t>INV-2026-02072</t>
  </si>
  <si>
    <t>INV-2026-02073</t>
  </si>
  <si>
    <t>INV-2026-02074</t>
  </si>
  <si>
    <t>INV-2026-02075</t>
  </si>
  <si>
    <t>INV-2026-02076</t>
  </si>
  <si>
    <t>INV-2026-02077</t>
  </si>
  <si>
    <t>INV-2026-02078</t>
  </si>
  <si>
    <t>INV-2026-02079</t>
  </si>
  <si>
    <t>INV-2026-02080</t>
  </si>
  <si>
    <t>INV-2026-02081</t>
  </si>
  <si>
    <t>INV-2026-02082</t>
  </si>
  <si>
    <t>INV-2026-02083</t>
  </si>
  <si>
    <t>INV-2026-02084</t>
  </si>
  <si>
    <t>INV-2026-02085</t>
  </si>
  <si>
    <t>INV-2026-02086</t>
  </si>
  <si>
    <t>INV-2026-02087</t>
  </si>
  <si>
    <t>INV-2026-02088</t>
  </si>
  <si>
    <t>INV-2026-02089</t>
  </si>
  <si>
    <t>INV-2026-02090</t>
  </si>
  <si>
    <t>INV-2026-02091</t>
  </si>
  <si>
    <t>INV-2026-02092</t>
  </si>
  <si>
    <t>INV-2026-02093</t>
  </si>
  <si>
    <t>INV-2026-02094</t>
  </si>
  <si>
    <t>INV-2026-02095</t>
  </si>
  <si>
    <t>INV-2026-02096</t>
  </si>
  <si>
    <t>INV-2026-02097</t>
  </si>
  <si>
    <t>INV-2026-02098</t>
  </si>
  <si>
    <t>INV-2026-02099</t>
  </si>
  <si>
    <t>INV-2026-02100</t>
  </si>
  <si>
    <t>INV-2026-02101</t>
  </si>
  <si>
    <t>INV-2026-02102</t>
  </si>
  <si>
    <t>INV-2026-02103</t>
  </si>
  <si>
    <t>INV-2026-02104</t>
  </si>
  <si>
    <t>INV-2026-02105</t>
  </si>
  <si>
    <t>INV-2026-02106</t>
  </si>
  <si>
    <t>INV-2026-02107</t>
  </si>
  <si>
    <t>INV-2026-02108</t>
  </si>
  <si>
    <t>INV-2026-02109</t>
  </si>
  <si>
    <t>INV-2026-02110</t>
  </si>
  <si>
    <t>INV-2026-02111</t>
  </si>
  <si>
    <t>INV-2026-02112</t>
  </si>
  <si>
    <t>INV-2026-02113</t>
  </si>
  <si>
    <t>INV-2026-02114</t>
  </si>
  <si>
    <t>INV-2026-02115</t>
  </si>
  <si>
    <t>INV-2026-02116</t>
  </si>
  <si>
    <t>INV-2026-02117</t>
  </si>
  <si>
    <t>INV-2026-02118</t>
  </si>
  <si>
    <t>INV-2026-02119</t>
  </si>
  <si>
    <t>INV-2026-02120</t>
  </si>
  <si>
    <t>INV-2026-02121</t>
  </si>
  <si>
    <t>INV-2026-02122</t>
  </si>
  <si>
    <t>INV-2026-02123</t>
  </si>
  <si>
    <t>INV-2026-02124</t>
  </si>
  <si>
    <t>INV-2026-02125</t>
  </si>
  <si>
    <t>INV-2026-02126</t>
  </si>
  <si>
    <t>INV-2026-02127</t>
  </si>
  <si>
    <t>INV-2026-02128</t>
  </si>
  <si>
    <t>INV-2026-02129</t>
  </si>
  <si>
    <t>INV-2026-02130</t>
  </si>
  <si>
    <t>INV-2026-02131</t>
  </si>
  <si>
    <t>INV-2026-02132</t>
  </si>
  <si>
    <t>INV-2026-02133</t>
  </si>
  <si>
    <t>INV-2026-02134</t>
  </si>
  <si>
    <t>INV-2026-02135</t>
  </si>
  <si>
    <t>INV-2026-02136</t>
  </si>
  <si>
    <t>INV-2026-02137</t>
  </si>
  <si>
    <t>INV-2026-02138</t>
  </si>
  <si>
    <t>INV-2026-02139</t>
  </si>
  <si>
    <t>INV-2026-02140</t>
  </si>
  <si>
    <t>INV-2026-02141</t>
  </si>
  <si>
    <t>INV-2026-02142</t>
  </si>
  <si>
    <t>INV-2026-02143</t>
  </si>
  <si>
    <t>INV-2026-02144</t>
  </si>
  <si>
    <t>INV-2026-02145</t>
  </si>
  <si>
    <t>INV-2026-02146</t>
  </si>
  <si>
    <t>INV-2026-02147</t>
  </si>
  <si>
    <t>INV-2026-02148</t>
  </si>
  <si>
    <t>INV-2026-02149</t>
  </si>
  <si>
    <t>INV-2026-02150</t>
  </si>
  <si>
    <t>INV-2026-02151</t>
  </si>
  <si>
    <t>INV-2026-02152</t>
  </si>
  <si>
    <t>INV-2026-02153</t>
  </si>
  <si>
    <t>INV-2026-02154</t>
  </si>
  <si>
    <t>INV-2026-02155</t>
  </si>
  <si>
    <t>INV-2026-02156</t>
  </si>
  <si>
    <t>INV-2026-02157</t>
  </si>
  <si>
    <t>INV-2026-02158</t>
  </si>
  <si>
    <t>INV-2026-02159</t>
  </si>
  <si>
    <t>INV-2026-02160</t>
  </si>
  <si>
    <t>INV-2026-02161</t>
  </si>
  <si>
    <t>INV-2026-02162</t>
  </si>
  <si>
    <t>INV-2026-02163</t>
  </si>
  <si>
    <t>INV-2026-02164</t>
  </si>
  <si>
    <t>INV-2026-02165</t>
  </si>
  <si>
    <t>INV-2026-02166</t>
  </si>
  <si>
    <t>INV-2026-02167</t>
  </si>
  <si>
    <t>INV-2026-02168</t>
  </si>
  <si>
    <t>INV-2026-02169</t>
  </si>
  <si>
    <t>INV-2026-02170</t>
  </si>
  <si>
    <t>INV-2026-02171</t>
  </si>
  <si>
    <t>INV-2026-02172</t>
  </si>
  <si>
    <t>INV-2026-02173</t>
  </si>
  <si>
    <t>INV-2026-02174</t>
  </si>
  <si>
    <t>INV-2026-02175</t>
  </si>
  <si>
    <t>INV-2026-02176</t>
  </si>
  <si>
    <t>INV-2026-02177</t>
  </si>
  <si>
    <t>INV-2026-02178</t>
  </si>
  <si>
    <t>INV-2026-02179</t>
  </si>
  <si>
    <t>INV-2026-02180</t>
  </si>
  <si>
    <t>INV-2026-02181</t>
  </si>
  <si>
    <t>INV-2026-02182</t>
  </si>
  <si>
    <t>INV-2026-02183</t>
  </si>
  <si>
    <t>INV-2026-02184</t>
  </si>
  <si>
    <t>INV-2026-02185</t>
  </si>
  <si>
    <t>INV-2026-02186</t>
  </si>
  <si>
    <t>INV-2026-02187</t>
  </si>
  <si>
    <t>INV-2026-02188</t>
  </si>
  <si>
    <t>INV-2026-02189</t>
  </si>
  <si>
    <t>INV-2026-02190</t>
  </si>
  <si>
    <t>INV-2026-02191</t>
  </si>
  <si>
    <t>INV-2026-02192</t>
  </si>
  <si>
    <t>INV-2026-02193</t>
  </si>
  <si>
    <t>INV-2026-02194</t>
  </si>
  <si>
    <t>INV-2026-02195</t>
  </si>
  <si>
    <t>INV-2026-02196</t>
  </si>
  <si>
    <t>INV-2026-02197</t>
  </si>
  <si>
    <t>INV-2026-02198</t>
  </si>
  <si>
    <t>INV-2026-02199</t>
  </si>
  <si>
    <t>INV-2026-02200</t>
  </si>
  <si>
    <t>INV-2026-02201</t>
  </si>
  <si>
    <t>INV-2026-02202</t>
  </si>
  <si>
    <t>INV-2026-02203</t>
  </si>
  <si>
    <t>INV-2026-02204</t>
  </si>
  <si>
    <t>INV-2026-02205</t>
  </si>
  <si>
    <t>INV-2026-02206</t>
  </si>
  <si>
    <t>INV-2026-02207</t>
  </si>
  <si>
    <t>INV-2026-02208</t>
  </si>
  <si>
    <t>INV-2026-02209</t>
  </si>
  <si>
    <t>INV-2026-02210</t>
  </si>
  <si>
    <t>INV-2026-02211</t>
  </si>
  <si>
    <t>INV-2026-02212</t>
  </si>
  <si>
    <t>INV-2026-02213</t>
  </si>
  <si>
    <t>INV-2026-02214</t>
  </si>
  <si>
    <t>INV-2026-02215</t>
  </si>
  <si>
    <t>INV-2026-02216</t>
  </si>
  <si>
    <t>INV-2026-02217</t>
  </si>
  <si>
    <t>INV-2026-02218</t>
  </si>
  <si>
    <t>INV-2026-02219</t>
  </si>
  <si>
    <t>INV-2026-02220</t>
  </si>
  <si>
    <t>INV-2026-02221</t>
  </si>
  <si>
    <t>INV-2026-02222</t>
  </si>
  <si>
    <t>INV-2026-02223</t>
  </si>
  <si>
    <t>INV-2026-02224</t>
  </si>
  <si>
    <t>INV-2026-02225</t>
  </si>
  <si>
    <t>INV-2026-02226</t>
  </si>
  <si>
    <t>INV-2026-02227</t>
  </si>
  <si>
    <t>INV-2026-02228</t>
  </si>
  <si>
    <t>INV-2026-02229</t>
  </si>
  <si>
    <t>INV-2026-02230</t>
  </si>
  <si>
    <t>INV-2026-02231</t>
  </si>
  <si>
    <t>INV-2026-02232</t>
  </si>
  <si>
    <t>INV-2026-02233</t>
  </si>
  <si>
    <t>INV-2026-02234</t>
  </si>
  <si>
    <t>INV-2026-02235</t>
  </si>
  <si>
    <t>INV-2026-02236</t>
  </si>
  <si>
    <t>INV-2026-02237</t>
  </si>
  <si>
    <t>INV-2026-02238</t>
  </si>
  <si>
    <t>INV-2026-02239</t>
  </si>
  <si>
    <t>INV-2026-02240</t>
  </si>
  <si>
    <t>INV-2026-02241</t>
  </si>
  <si>
    <t>INV-2026-02242</t>
  </si>
  <si>
    <t>INV-2026-02243</t>
  </si>
  <si>
    <t>INV-2026-02244</t>
  </si>
  <si>
    <t>INV-2026-02245</t>
  </si>
  <si>
    <t>INV-2026-02246</t>
  </si>
  <si>
    <t>INV-2026-02247</t>
  </si>
  <si>
    <t>INV-2026-02248</t>
  </si>
  <si>
    <t>INV-2026-02249</t>
  </si>
  <si>
    <t>INV-2026-02250</t>
  </si>
  <si>
    <t>INV-2026-02251</t>
  </si>
  <si>
    <t>INV-2026-02252</t>
  </si>
  <si>
    <t>INV-2026-02253</t>
  </si>
  <si>
    <t>INV-2026-02254</t>
  </si>
  <si>
    <t>INV-2026-02255</t>
  </si>
  <si>
    <t>INV-2026-02256</t>
  </si>
  <si>
    <t>INV-2026-02257</t>
  </si>
  <si>
    <t>INV-2026-02258</t>
  </si>
  <si>
    <t>INV-2026-02259</t>
  </si>
  <si>
    <t>INV-2026-02260</t>
  </si>
  <si>
    <t>INV-2026-02261</t>
  </si>
  <si>
    <t>INV-2026-02262</t>
  </si>
  <si>
    <t>INV-2026-02263</t>
  </si>
  <si>
    <t>INV-2026-02264</t>
  </si>
  <si>
    <t>INV-2026-02265</t>
  </si>
  <si>
    <t>INV-2026-02266</t>
  </si>
  <si>
    <t>INV-2026-02267</t>
  </si>
  <si>
    <t>INV-2026-02268</t>
  </si>
  <si>
    <t>INV-2026-02269</t>
  </si>
  <si>
    <t>INV-2026-02270</t>
  </si>
  <si>
    <t>INV-2026-02271</t>
  </si>
  <si>
    <t>INV-2026-02272</t>
  </si>
  <si>
    <t>INV-2026-02273</t>
  </si>
  <si>
    <t>INV-2026-02274</t>
  </si>
  <si>
    <t>INV-2026-02275</t>
  </si>
  <si>
    <t>INV-2026-02276</t>
  </si>
  <si>
    <t>INV-2026-02277</t>
  </si>
  <si>
    <t>INV-2026-02278</t>
  </si>
  <si>
    <t>INV-2026-02279</t>
  </si>
  <si>
    <t>INV-2026-02280</t>
  </si>
  <si>
    <t>INV-2026-02281</t>
  </si>
  <si>
    <t>INV-2026-02282</t>
  </si>
  <si>
    <t>INV-2026-02283</t>
  </si>
  <si>
    <t>INV-2026-02284</t>
  </si>
  <si>
    <t>INV-2026-02285</t>
  </si>
  <si>
    <t>INV-2026-02286</t>
  </si>
  <si>
    <t>INV-2026-02287</t>
  </si>
  <si>
    <t>INV-2026-02288</t>
  </si>
  <si>
    <t>INV-2026-02289</t>
  </si>
  <si>
    <t>INV-2026-02290</t>
  </si>
  <si>
    <t>INV-2026-02291</t>
  </si>
  <si>
    <t>INV-2026-02292</t>
  </si>
  <si>
    <t>INV-2026-02293</t>
  </si>
  <si>
    <t>INV-2026-02294</t>
  </si>
  <si>
    <t>INV-2026-02295</t>
  </si>
  <si>
    <t>INV-2026-02296</t>
  </si>
  <si>
    <t>INV-2026-02297</t>
  </si>
  <si>
    <t>INV-2026-02298</t>
  </si>
  <si>
    <t>INV-2026-02299</t>
  </si>
  <si>
    <t>INV-2026-02300</t>
  </si>
  <si>
    <t>INV-2026-02301</t>
  </si>
  <si>
    <t>INV-2026-02302</t>
  </si>
  <si>
    <t>INV-2026-02303</t>
  </si>
  <si>
    <t>INV-2026-02304</t>
  </si>
  <si>
    <t>INV-2026-02305</t>
  </si>
  <si>
    <t>INV-2026-02306</t>
  </si>
  <si>
    <t>INV-2026-02307</t>
  </si>
  <si>
    <t>INV-2026-02308</t>
  </si>
  <si>
    <t>INV-2026-02309</t>
  </si>
  <si>
    <t>INV-2026-02310</t>
  </si>
  <si>
    <t>INV-2026-02311</t>
  </si>
  <si>
    <t>INV-2026-02312</t>
  </si>
  <si>
    <t>INV-2026-02313</t>
  </si>
  <si>
    <t>INV-2026-02314</t>
  </si>
  <si>
    <t>INV-2026-02315</t>
  </si>
  <si>
    <t>INV-2026-02316</t>
  </si>
  <si>
    <t>INV-2026-02317</t>
  </si>
  <si>
    <t>INV-2026-02318</t>
  </si>
  <si>
    <t>INV-2026-02319</t>
  </si>
  <si>
    <t>INV-2026-02320</t>
  </si>
  <si>
    <t>INV-2026-02321</t>
  </si>
  <si>
    <t>INV-2026-02322</t>
  </si>
  <si>
    <t>INV-2026-02323</t>
  </si>
  <si>
    <t>INV-2026-02324</t>
  </si>
  <si>
    <t>INV-2026-02325</t>
  </si>
  <si>
    <t>INV-2026-02326</t>
  </si>
  <si>
    <t>INV-2026-02327</t>
  </si>
  <si>
    <t>INV-2026-02328</t>
  </si>
  <si>
    <t>INV-2026-02329</t>
  </si>
  <si>
    <t>INV-2026-02330</t>
  </si>
  <si>
    <t>INV-2026-02331</t>
  </si>
  <si>
    <t>INV-2026-02332</t>
  </si>
  <si>
    <t>INV-2026-02333</t>
  </si>
  <si>
    <t>INV-2026-02334</t>
  </si>
  <si>
    <t>INV-2026-02335</t>
  </si>
  <si>
    <t>INV-2026-02336</t>
  </si>
  <si>
    <t>INV-2026-02337</t>
  </si>
  <si>
    <t>INV-2026-02338</t>
  </si>
  <si>
    <t>INV-2026-02339</t>
  </si>
  <si>
    <t>INV-2026-02340</t>
  </si>
  <si>
    <t>INV-2026-02341</t>
  </si>
  <si>
    <t>INV-2026-02342</t>
  </si>
  <si>
    <t>INV-2026-02343</t>
  </si>
  <si>
    <t>INV-2026-02344</t>
  </si>
  <si>
    <t>INV-2026-02345</t>
  </si>
  <si>
    <t>INV-2026-02346</t>
  </si>
  <si>
    <t>INV-2026-02347</t>
  </si>
  <si>
    <t>INV-2026-02348</t>
  </si>
  <si>
    <t>INV-2026-02349</t>
  </si>
  <si>
    <t>INV-2026-02350</t>
  </si>
  <si>
    <t>INV-2026-02351</t>
  </si>
  <si>
    <t>INV-2026-02352</t>
  </si>
  <si>
    <t>INV-2026-02353</t>
  </si>
  <si>
    <t>INV-2026-02354</t>
  </si>
  <si>
    <t>INV-2026-02355</t>
  </si>
  <si>
    <t>INV-2026-02356</t>
  </si>
  <si>
    <t>INV-2026-02357</t>
  </si>
  <si>
    <t>INV-2026-02358</t>
  </si>
  <si>
    <t>INV-2026-02359</t>
  </si>
  <si>
    <t>INV-2026-02360</t>
  </si>
  <si>
    <t>INV-2026-02361</t>
  </si>
  <si>
    <t>INV-2026-02362</t>
  </si>
  <si>
    <t>INV-2026-02363</t>
  </si>
  <si>
    <t>INV-2026-02364</t>
  </si>
  <si>
    <t>INV-2026-02365</t>
  </si>
  <si>
    <t>INV-2026-02366</t>
  </si>
  <si>
    <t>INV-2026-02367</t>
  </si>
  <si>
    <t>INV-2026-02368</t>
  </si>
  <si>
    <t>INV-2026-02369</t>
  </si>
  <si>
    <t>INV-2026-02370</t>
  </si>
  <si>
    <t>INV-2026-02371</t>
  </si>
  <si>
    <t>INV-2026-02372</t>
  </si>
  <si>
    <t>INV-2026-02373</t>
  </si>
  <si>
    <t>INV-2026-02374</t>
  </si>
  <si>
    <t>INV-2026-02375</t>
  </si>
  <si>
    <t>INV-2026-02376</t>
  </si>
  <si>
    <t>INV-2026-02377</t>
  </si>
  <si>
    <t>INV-2026-02378</t>
  </si>
  <si>
    <t>INV-2026-02379</t>
  </si>
  <si>
    <t>INV-2026-02380</t>
  </si>
  <si>
    <t>INV-2026-02381</t>
  </si>
  <si>
    <t>INV-2026-02382</t>
  </si>
  <si>
    <t>INV-2026-02383</t>
  </si>
  <si>
    <t>INV-2026-02384</t>
  </si>
  <si>
    <t>INV-2026-02385</t>
  </si>
  <si>
    <t>INV-2026-02386</t>
  </si>
  <si>
    <t>INV-2026-02387</t>
  </si>
  <si>
    <t>INV-2026-02388</t>
  </si>
  <si>
    <t>INV-2026-02389</t>
  </si>
  <si>
    <t>INV-2026-02390</t>
  </si>
  <si>
    <t>INV-2026-02391</t>
  </si>
  <si>
    <t>INV-2026-02392</t>
  </si>
  <si>
    <t>INV-2026-02393</t>
  </si>
  <si>
    <t>INV-2026-02394</t>
  </si>
  <si>
    <t>INV-2026-02395</t>
  </si>
  <si>
    <t>INV-2026-02396</t>
  </si>
  <si>
    <t>INV-2026-02397</t>
  </si>
  <si>
    <t>INV-2026-02398</t>
  </si>
  <si>
    <t>INV-2026-02399</t>
  </si>
  <si>
    <t>INV-2026-02400</t>
  </si>
  <si>
    <t>INV-2026-02401</t>
  </si>
  <si>
    <t>INV-2026-02402</t>
  </si>
  <si>
    <t>INV-2026-02403</t>
  </si>
  <si>
    <t>INV-2026-02404</t>
  </si>
  <si>
    <t>INV-2026-02405</t>
  </si>
  <si>
    <t>INV-2026-02406</t>
  </si>
  <si>
    <t>INV-2026-02407</t>
  </si>
  <si>
    <t>INV-2026-02408</t>
  </si>
  <si>
    <t>INV-2026-02409</t>
  </si>
  <si>
    <t>INV-2026-02410</t>
  </si>
  <si>
    <t>INV-2026-02411</t>
  </si>
  <si>
    <t>INV-2026-02412</t>
  </si>
  <si>
    <t>INV-2026-02413</t>
  </si>
  <si>
    <t>INV-2026-02414</t>
  </si>
  <si>
    <t>INV-2026-02415</t>
  </si>
  <si>
    <t>INV-2026-02416</t>
  </si>
  <si>
    <t>INV-2026-02417</t>
  </si>
  <si>
    <t>INV-2026-02418</t>
  </si>
  <si>
    <t>INV-2026-02419</t>
  </si>
  <si>
    <t>INV-2026-02420</t>
  </si>
  <si>
    <t>INV-2026-02421</t>
  </si>
  <si>
    <t>INV-2026-02422</t>
  </si>
  <si>
    <t>INV-2026-02423</t>
  </si>
  <si>
    <t>INV-2026-02424</t>
  </si>
  <si>
    <t>INV-2026-02425</t>
  </si>
  <si>
    <t>INV-2026-02426</t>
  </si>
  <si>
    <t>INV-2026-02427</t>
  </si>
  <si>
    <t>INV-2026-02428</t>
  </si>
  <si>
    <t>INV-2026-02429</t>
  </si>
  <si>
    <t>INV-2026-02430</t>
  </si>
  <si>
    <t>INV-2026-02431</t>
  </si>
  <si>
    <t>INV-2026-02432</t>
  </si>
  <si>
    <t>INV-2026-02433</t>
  </si>
  <si>
    <t>INV-2026-02434</t>
  </si>
  <si>
    <t>INV-2026-02435</t>
  </si>
  <si>
    <t>INV-2026-02436</t>
  </si>
  <si>
    <t>INV-2026-02437</t>
  </si>
  <si>
    <t>INV-2026-02438</t>
  </si>
  <si>
    <t>INV-2026-02439</t>
  </si>
  <si>
    <t>INV-2026-02440</t>
  </si>
  <si>
    <t>INV-2026-02441</t>
  </si>
  <si>
    <t>INV-2026-02442</t>
  </si>
  <si>
    <t>INV-2026-02443</t>
  </si>
  <si>
    <t>INV-2026-02444</t>
  </si>
  <si>
    <t>INV-2026-02445</t>
  </si>
  <si>
    <t>INV-2026-02446</t>
  </si>
  <si>
    <t>INV-2026-02447</t>
  </si>
  <si>
    <t>INV-2026-02448</t>
  </si>
  <si>
    <t>INV-2026-02449</t>
  </si>
  <si>
    <t>INV-2026-02450</t>
  </si>
  <si>
    <t>INV-2026-02451</t>
  </si>
  <si>
    <t>INV-2026-02452</t>
  </si>
  <si>
    <t>INV-2026-02453</t>
  </si>
  <si>
    <t>INV-2026-02454</t>
  </si>
  <si>
    <t>INV-2026-02455</t>
  </si>
  <si>
    <t>INV-2026-02456</t>
  </si>
  <si>
    <t>INV-2026-02457</t>
  </si>
  <si>
    <t>INV-2026-02458</t>
  </si>
  <si>
    <t>INV-2026-02459</t>
  </si>
  <si>
    <t>INV-2026-02460</t>
  </si>
  <si>
    <t>INV-2026-02461</t>
  </si>
  <si>
    <t>INV-2026-02462</t>
  </si>
  <si>
    <t>INV-2026-02463</t>
  </si>
  <si>
    <t>INV-2026-02464</t>
  </si>
  <si>
    <t>INV-2026-02465</t>
  </si>
  <si>
    <t>INV-2026-02466</t>
  </si>
  <si>
    <t>INV-2026-02467</t>
  </si>
  <si>
    <t>INV-2026-02468</t>
  </si>
  <si>
    <t>INV-2026-02469</t>
  </si>
  <si>
    <t>INV-2026-02470</t>
  </si>
  <si>
    <t>INV-2026-02471</t>
  </si>
  <si>
    <t>INV-2026-02472</t>
  </si>
  <si>
    <t>INV-2026-02473</t>
  </si>
  <si>
    <t>INV-2026-02474</t>
  </si>
  <si>
    <t>INV-2026-02475</t>
  </si>
  <si>
    <t>INV-2026-02476</t>
  </si>
  <si>
    <t>INV-2026-02477</t>
  </si>
  <si>
    <t>INV-2026-02478</t>
  </si>
  <si>
    <t>INV-2026-02479</t>
  </si>
  <si>
    <t>INV-2026-02480</t>
  </si>
  <si>
    <t>INV-2026-02481</t>
  </si>
  <si>
    <t>INV-2026-02482</t>
  </si>
  <si>
    <t>INV-2026-02483</t>
  </si>
  <si>
    <t>INV-2026-02484</t>
  </si>
  <si>
    <t>INV-2026-02485</t>
  </si>
  <si>
    <t>INV-2026-02486</t>
  </si>
  <si>
    <t>INV-2026-02487</t>
  </si>
  <si>
    <t>INV-2026-02488</t>
  </si>
  <si>
    <t>INV-2026-02489</t>
  </si>
  <si>
    <t>INV-2026-02490</t>
  </si>
  <si>
    <t>INV-2026-02491</t>
  </si>
  <si>
    <t>INV-2026-02492</t>
  </si>
  <si>
    <t>INV-2026-02493</t>
  </si>
  <si>
    <t>INV-2026-02494</t>
  </si>
  <si>
    <t>INV-2026-02495</t>
  </si>
  <si>
    <t>INV-2026-02496</t>
  </si>
  <si>
    <t>INV-2026-02497</t>
  </si>
  <si>
    <t>INV-2026-02498</t>
  </si>
  <si>
    <t>INV-2026-02499</t>
  </si>
  <si>
    <t>INV-2026-02500</t>
  </si>
  <si>
    <t>INV-2026-02501</t>
  </si>
  <si>
    <t>INV-2026-02502</t>
  </si>
  <si>
    <t>INV-2026-02503</t>
  </si>
  <si>
    <t>INV-2026-02504</t>
  </si>
  <si>
    <t>INV-2026-02505</t>
  </si>
  <si>
    <t>INV-2026-02506</t>
  </si>
  <si>
    <t>INV-2026-02507</t>
  </si>
  <si>
    <t>INV-2026-02508</t>
  </si>
  <si>
    <t>INV-2026-02509</t>
  </si>
  <si>
    <t>INV-2026-02510</t>
  </si>
  <si>
    <t>INV-2026-02511</t>
  </si>
  <si>
    <t>INV-2026-02512</t>
  </si>
  <si>
    <t>INV-2026-02513</t>
  </si>
  <si>
    <t>INV-2026-02514</t>
  </si>
  <si>
    <t>INV-2026-02515</t>
  </si>
  <si>
    <t>INV-2026-02516</t>
  </si>
  <si>
    <t>INV-2026-02517</t>
  </si>
  <si>
    <t>INV-2026-02518</t>
  </si>
  <si>
    <t>INV-2026-02519</t>
  </si>
  <si>
    <t>INV-2026-02520</t>
  </si>
  <si>
    <t>INV-2026-02521</t>
  </si>
  <si>
    <t>INV-2026-02522</t>
  </si>
  <si>
    <t>INV-2026-02523</t>
  </si>
  <si>
    <t>INV-2026-02524</t>
  </si>
  <si>
    <t>INV-2026-02525</t>
  </si>
  <si>
    <t>INV-2026-02526</t>
  </si>
  <si>
    <t>INV-2026-02527</t>
  </si>
  <si>
    <t>INV-2026-02528</t>
  </si>
  <si>
    <t>INV-2026-02529</t>
  </si>
  <si>
    <t>INV-2026-02530</t>
  </si>
  <si>
    <t>INV-2026-02531</t>
  </si>
  <si>
    <t>INV-2026-02532</t>
  </si>
  <si>
    <t>INV-2026-02533</t>
  </si>
  <si>
    <t>INV-2026-02534</t>
  </si>
  <si>
    <t>INV-2026-02535</t>
  </si>
  <si>
    <t>INV-2026-02536</t>
  </si>
  <si>
    <t>INV-2026-02537</t>
  </si>
  <si>
    <t>INV-2026-02538</t>
  </si>
  <si>
    <t>INV-2026-02539</t>
  </si>
  <si>
    <t>INV-2026-02540</t>
  </si>
  <si>
    <t>INV-2026-02541</t>
  </si>
  <si>
    <t>INV-2026-02542</t>
  </si>
  <si>
    <t>INV-2026-02543</t>
  </si>
  <si>
    <t>INV-2026-02544</t>
  </si>
  <si>
    <t>INV-2026-02545</t>
  </si>
  <si>
    <t>INV-2026-02546</t>
  </si>
  <si>
    <t>INV-2026-02547</t>
  </si>
  <si>
    <t>INV-2026-02548</t>
  </si>
  <si>
    <t>INV-2026-02549</t>
  </si>
  <si>
    <t>INV-2026-02550</t>
  </si>
  <si>
    <t>INV-2026-02551</t>
  </si>
  <si>
    <t>INV-2026-02552</t>
  </si>
  <si>
    <t>INV-2026-02553</t>
  </si>
  <si>
    <t>INV-2026-02554</t>
  </si>
  <si>
    <t>INV-2026-02555</t>
  </si>
  <si>
    <t>INV-2026-02556</t>
  </si>
  <si>
    <t>INV-2026-02557</t>
  </si>
  <si>
    <t>INV-2026-02558</t>
  </si>
  <si>
    <t>INV-2026-02559</t>
  </si>
  <si>
    <t>INV-2026-02560</t>
  </si>
  <si>
    <t>INV-2026-02561</t>
  </si>
  <si>
    <t>INV-2026-02562</t>
  </si>
  <si>
    <t>INV-2026-02563</t>
  </si>
  <si>
    <t>INV-2026-02564</t>
  </si>
  <si>
    <t>INV-2026-02565</t>
  </si>
  <si>
    <t>INV-2026-02566</t>
  </si>
  <si>
    <t>INV-2026-02567</t>
  </si>
  <si>
    <t>INV-2026-02568</t>
  </si>
  <si>
    <t>INV-2026-02569</t>
  </si>
  <si>
    <t>INV-2026-02570</t>
  </si>
  <si>
    <t>INV-2026-02571</t>
  </si>
  <si>
    <t>INV-2026-02572</t>
  </si>
  <si>
    <t>INV-2026-02573</t>
  </si>
  <si>
    <t>INV-2026-02574</t>
  </si>
  <si>
    <t>INV-2026-02575</t>
  </si>
  <si>
    <t>INV-2026-02576</t>
  </si>
  <si>
    <t>INV-2026-02577</t>
  </si>
  <si>
    <t>INV-2026-02578</t>
  </si>
  <si>
    <t>INV-2026-02579</t>
  </si>
  <si>
    <t>INV-2026-02580</t>
  </si>
  <si>
    <t>INV-2026-02581</t>
  </si>
  <si>
    <t>INV-2026-02582</t>
  </si>
  <si>
    <t>INV-2026-02583</t>
  </si>
  <si>
    <t>INV-2026-02584</t>
  </si>
  <si>
    <t>INV-2026-02585</t>
  </si>
  <si>
    <t>INV-2026-02586</t>
  </si>
  <si>
    <t>INV-2026-02587</t>
  </si>
  <si>
    <t>INV-2026-02588</t>
  </si>
  <si>
    <t>INV-2026-02589</t>
  </si>
  <si>
    <t>INV-2026-02590</t>
  </si>
  <si>
    <t>INV-2026-02591</t>
  </si>
  <si>
    <t>INV-2026-02592</t>
  </si>
  <si>
    <t>INV-2026-02593</t>
  </si>
  <si>
    <t>INV-2026-02594</t>
  </si>
  <si>
    <t>INV-2026-02595</t>
  </si>
  <si>
    <t>INV-2026-02596</t>
  </si>
  <si>
    <t>INV-2026-02597</t>
  </si>
  <si>
    <t>INV-2026-02598</t>
  </si>
  <si>
    <t>INV-2026-02599</t>
  </si>
  <si>
    <t>INV-2026-02600</t>
  </si>
  <si>
    <t>INV-2026-02601</t>
  </si>
  <si>
    <t>INV-2026-02602</t>
  </si>
  <si>
    <t>INV-2026-02603</t>
  </si>
  <si>
    <t>INV-2026-02604</t>
  </si>
  <si>
    <t>INV-2026-02605</t>
  </si>
  <si>
    <t>INV-2026-02606</t>
  </si>
  <si>
    <t>INV-2026-02607</t>
  </si>
  <si>
    <t>INV-2026-02608</t>
  </si>
  <si>
    <t>INV-2026-02609</t>
  </si>
  <si>
    <t>INV-2026-02610</t>
  </si>
  <si>
    <t>INV-2026-02611</t>
  </si>
  <si>
    <t>INV-2026-02612</t>
  </si>
  <si>
    <t>INV-2026-02613</t>
  </si>
  <si>
    <t>INV-2026-02614</t>
  </si>
  <si>
    <t>INV-2026-02615</t>
  </si>
  <si>
    <t>INV-2026-02616</t>
  </si>
  <si>
    <t>INV-2026-02617</t>
  </si>
  <si>
    <t>INV-2026-02618</t>
  </si>
  <si>
    <t>INV-2026-02619</t>
  </si>
  <si>
    <t>INV-2026-02620</t>
  </si>
  <si>
    <t>INV-2026-02621</t>
  </si>
  <si>
    <t>INV-2026-02622</t>
  </si>
  <si>
    <t>INV-2026-02623</t>
  </si>
  <si>
    <t>INV-2026-02624</t>
  </si>
  <si>
    <t>INV-2026-02625</t>
  </si>
  <si>
    <t>INV-2026-02626</t>
  </si>
  <si>
    <t>INV-2026-02627</t>
  </si>
  <si>
    <t>INV-2026-02628</t>
  </si>
  <si>
    <t>INV-2026-02629</t>
  </si>
  <si>
    <t>INV-2026-02630</t>
  </si>
  <si>
    <t>INV-2026-02631</t>
  </si>
  <si>
    <t>INV-2026-02632</t>
  </si>
  <si>
    <t>INV-2026-02633</t>
  </si>
  <si>
    <t>INV-2026-02634</t>
  </si>
  <si>
    <t>INV-2026-02635</t>
  </si>
  <si>
    <t>INV-2026-02636</t>
  </si>
  <si>
    <t>INV-2026-02637</t>
  </si>
  <si>
    <t>INV-2026-02638</t>
  </si>
  <si>
    <t>INV-2026-02639</t>
  </si>
  <si>
    <t>INV-2026-02640</t>
  </si>
  <si>
    <t>INV-2026-02641</t>
  </si>
  <si>
    <t>INV-2026-02642</t>
  </si>
  <si>
    <t>INV-2026-02643</t>
  </si>
  <si>
    <t>INV-2026-02644</t>
  </si>
  <si>
    <t>INV-2026-02645</t>
  </si>
  <si>
    <t>INV-2026-02646</t>
  </si>
  <si>
    <t>INV-2026-02647</t>
  </si>
  <si>
    <t>INV-2026-02648</t>
  </si>
  <si>
    <t>INV-2026-02649</t>
  </si>
  <si>
    <t>INV-2026-02650</t>
  </si>
  <si>
    <t>INV-2026-02651</t>
  </si>
  <si>
    <t>INV-2026-02652</t>
  </si>
  <si>
    <t>INV-2026-02653</t>
  </si>
  <si>
    <t>INV-2026-02654</t>
  </si>
  <si>
    <t>INV-2026-02655</t>
  </si>
  <si>
    <t>INV-2026-02656</t>
  </si>
  <si>
    <t>INV-2026-02657</t>
  </si>
  <si>
    <t>INV-2026-02658</t>
  </si>
  <si>
    <t>INV-2026-02659</t>
  </si>
  <si>
    <t>INV-2026-02660</t>
  </si>
  <si>
    <t>INV-2026-02661</t>
  </si>
  <si>
    <t>INV-2026-02662</t>
  </si>
  <si>
    <t>INV-2026-02663</t>
  </si>
  <si>
    <t>INV-2026-02664</t>
  </si>
  <si>
    <t>INV-2026-02665</t>
  </si>
  <si>
    <t>INV-2026-02666</t>
  </si>
  <si>
    <t>INV-2026-02667</t>
  </si>
  <si>
    <t>INV-2026-02668</t>
  </si>
  <si>
    <t>INV-2026-02669</t>
  </si>
  <si>
    <t>INV-2026-02670</t>
  </si>
  <si>
    <t>INV-2026-02671</t>
  </si>
  <si>
    <t>INV-2026-02672</t>
  </si>
  <si>
    <t>INV-2026-02673</t>
  </si>
  <si>
    <t>INV-2026-02674</t>
  </si>
  <si>
    <t>INV-2026-02675</t>
  </si>
  <si>
    <t>INV-2026-02676</t>
  </si>
  <si>
    <t>INV-2026-02677</t>
  </si>
  <si>
    <t>INV-2026-02678</t>
  </si>
  <si>
    <t>INV-2026-02679</t>
  </si>
  <si>
    <t>INV-2026-02680</t>
  </si>
  <si>
    <t>INV-2026-02681</t>
  </si>
  <si>
    <t>INV-2026-02682</t>
  </si>
  <si>
    <t>INV-2026-02683</t>
  </si>
  <si>
    <t>INV-2026-02684</t>
  </si>
  <si>
    <t>INV-2026-02685</t>
  </si>
  <si>
    <t>INV-2026-02686</t>
  </si>
  <si>
    <t>INV-2026-02687</t>
  </si>
  <si>
    <t>INV-2026-02688</t>
  </si>
  <si>
    <t>INV-2026-02689</t>
  </si>
  <si>
    <t>INV-2026-02690</t>
  </si>
  <si>
    <t>INV-2026-02691</t>
  </si>
  <si>
    <t>INV-2026-02692</t>
  </si>
  <si>
    <t>INV-2026-02693</t>
  </si>
  <si>
    <t>INV-2026-02694</t>
  </si>
  <si>
    <t>INV-2026-02695</t>
  </si>
  <si>
    <t>INV-2026-02696</t>
  </si>
  <si>
    <t>INV-2026-02697</t>
  </si>
  <si>
    <t>INV-2026-02698</t>
  </si>
  <si>
    <t>INV-2026-02699</t>
  </si>
  <si>
    <t>INV-2026-02700</t>
  </si>
  <si>
    <t>INV-2026-02701</t>
  </si>
  <si>
    <t>INV-2026-02702</t>
  </si>
  <si>
    <t>INV-2026-02703</t>
  </si>
  <si>
    <t>INV-2026-02704</t>
  </si>
  <si>
    <t>INV-2026-02705</t>
  </si>
  <si>
    <t>INV-2026-02706</t>
  </si>
  <si>
    <t>INV-2026-02707</t>
  </si>
  <si>
    <t>INV-2026-02708</t>
  </si>
  <si>
    <t>INV-2026-02709</t>
  </si>
  <si>
    <t>INV-2026-02710</t>
  </si>
  <si>
    <t>INV-2026-02711</t>
  </si>
  <si>
    <t>INV-2026-02712</t>
  </si>
  <si>
    <t>INV-2026-02713</t>
  </si>
  <si>
    <t>INV-2026-02714</t>
  </si>
  <si>
    <t>INV-2026-02715</t>
  </si>
  <si>
    <t>INV-2026-02716</t>
  </si>
  <si>
    <t>INV-2026-02717</t>
  </si>
  <si>
    <t>INV-2026-02718</t>
  </si>
  <si>
    <t>INV-2026-02719</t>
  </si>
  <si>
    <t>INV-2026-02720</t>
  </si>
  <si>
    <t>INV-2026-02721</t>
  </si>
  <si>
    <t>INV-2026-02722</t>
  </si>
  <si>
    <t>INV-2026-02723</t>
  </si>
  <si>
    <t>INV-2026-02724</t>
  </si>
  <si>
    <t>INV-2026-02725</t>
  </si>
  <si>
    <t>INV-2026-02726</t>
  </si>
  <si>
    <t>INV-2026-02727</t>
  </si>
  <si>
    <t>INV-2026-02728</t>
  </si>
  <si>
    <t>INV-2026-02729</t>
  </si>
  <si>
    <t>INV-2026-02730</t>
  </si>
  <si>
    <t>INV-2026-02731</t>
  </si>
  <si>
    <t>INV-2026-02732</t>
  </si>
  <si>
    <t>INV-2026-02733</t>
  </si>
  <si>
    <t>INV-2026-02734</t>
  </si>
  <si>
    <t>INV-2026-02735</t>
  </si>
  <si>
    <t>INV-2026-02736</t>
  </si>
  <si>
    <t>INV-2026-02737</t>
  </si>
  <si>
    <t>INV-2026-02738</t>
  </si>
  <si>
    <t>INV-2026-02739</t>
  </si>
  <si>
    <t>INV-2026-02740</t>
  </si>
  <si>
    <t>INV-2026-02741</t>
  </si>
  <si>
    <t>INV-2026-02742</t>
  </si>
  <si>
    <t>INV-2026-02743</t>
  </si>
  <si>
    <t>INV-2026-02744</t>
  </si>
  <si>
    <t>INV-2026-02745</t>
  </si>
  <si>
    <t>INV-2026-02746</t>
  </si>
  <si>
    <t>INV-2026-02747</t>
  </si>
  <si>
    <t>INV-2026-02748</t>
  </si>
  <si>
    <t>INV-2026-02749</t>
  </si>
  <si>
    <t>INV-2026-02750</t>
  </si>
  <si>
    <t>INV-2026-02751</t>
  </si>
  <si>
    <t>INV-2026-02752</t>
  </si>
  <si>
    <t>INV-2026-02753</t>
  </si>
  <si>
    <t>INV-2026-02754</t>
  </si>
  <si>
    <t>INV-2026-02755</t>
  </si>
  <si>
    <t>INV-2026-02756</t>
  </si>
  <si>
    <t>INV-2026-02757</t>
  </si>
  <si>
    <t>INV-2026-02758</t>
  </si>
  <si>
    <t>INV-2026-02759</t>
  </si>
  <si>
    <t>INV-2026-02760</t>
  </si>
  <si>
    <t>INV-2026-02761</t>
  </si>
  <si>
    <t>INV-2026-02762</t>
  </si>
  <si>
    <t>INV-2026-02763</t>
  </si>
  <si>
    <t>INV-2026-02764</t>
  </si>
  <si>
    <t>INV-2026-02765</t>
  </si>
  <si>
    <t>INV-2026-02766</t>
  </si>
  <si>
    <t>INV-2026-02767</t>
  </si>
  <si>
    <t>INV-2026-02768</t>
  </si>
  <si>
    <t>INV-2026-02769</t>
  </si>
  <si>
    <t>INV-2026-02770</t>
  </si>
  <si>
    <t>INV-2026-02771</t>
  </si>
  <si>
    <t>INV-2026-02772</t>
  </si>
  <si>
    <t>INV-2026-02773</t>
  </si>
  <si>
    <t>INV-2026-02774</t>
  </si>
  <si>
    <t>INV-2026-02775</t>
  </si>
  <si>
    <t>INV-2026-02776</t>
  </si>
  <si>
    <t>INV-2026-02777</t>
  </si>
  <si>
    <t>INV-2026-02778</t>
  </si>
  <si>
    <t>INV-2026-02779</t>
  </si>
  <si>
    <t>INV-2026-02780</t>
  </si>
  <si>
    <t>INV-2026-02781</t>
  </si>
  <si>
    <t>INV-2026-02782</t>
  </si>
  <si>
    <t>INV-2026-02783</t>
  </si>
  <si>
    <t>INV-2026-02784</t>
  </si>
  <si>
    <t>INV-2026-02785</t>
  </si>
  <si>
    <t>INV-2026-02786</t>
  </si>
  <si>
    <t>INV-2026-02787</t>
  </si>
  <si>
    <t>INV-2026-02788</t>
  </si>
  <si>
    <t>INV-2026-02789</t>
  </si>
  <si>
    <t>INV-2026-02790</t>
  </si>
  <si>
    <t>INV-2026-02791</t>
  </si>
  <si>
    <t>INV-2026-02792</t>
  </si>
  <si>
    <t>INV-2026-02793</t>
  </si>
  <si>
    <t>INV-2026-02794</t>
  </si>
  <si>
    <t>INV-2026-02795</t>
  </si>
  <si>
    <t>INV-2026-02796</t>
  </si>
  <si>
    <t>INV-2026-02797</t>
  </si>
  <si>
    <t>INV-2026-02798</t>
  </si>
  <si>
    <t>INV-2026-02799</t>
  </si>
  <si>
    <t>INV-2026-02800</t>
  </si>
  <si>
    <t>INV-2026-02801</t>
  </si>
  <si>
    <t>INV-2026-02802</t>
  </si>
  <si>
    <t>INV-2026-02803</t>
  </si>
  <si>
    <t>INV-2026-02804</t>
  </si>
  <si>
    <t>INV-2026-02805</t>
  </si>
  <si>
    <t>INV-2026-02806</t>
  </si>
  <si>
    <t>INV-2026-02807</t>
  </si>
  <si>
    <t>INV-2026-02808</t>
  </si>
  <si>
    <t>INV-2026-02809</t>
  </si>
  <si>
    <t>INV-2026-02810</t>
  </si>
  <si>
    <t>INV-2026-02811</t>
  </si>
  <si>
    <t>INV-2026-02812</t>
  </si>
  <si>
    <t>INV-2026-02813</t>
  </si>
  <si>
    <t>INV-2026-02814</t>
  </si>
  <si>
    <t>INV-2026-02815</t>
  </si>
  <si>
    <t>INV-2026-02816</t>
  </si>
  <si>
    <t>INV-2026-02817</t>
  </si>
  <si>
    <t>INV-2026-02818</t>
  </si>
  <si>
    <t>INV-2026-02819</t>
  </si>
  <si>
    <t>INV-2026-02820</t>
  </si>
  <si>
    <t>INV-2026-02821</t>
  </si>
  <si>
    <t>INV-2026-02822</t>
  </si>
  <si>
    <t>INV-2026-02823</t>
  </si>
  <si>
    <t>INV-2026-02824</t>
  </si>
  <si>
    <t>INV-2026-02825</t>
  </si>
  <si>
    <t>INV-2026-02826</t>
  </si>
  <si>
    <t>INV-2026-02827</t>
  </si>
  <si>
    <t>INV-2026-02828</t>
  </si>
  <si>
    <t>INV-2026-02829</t>
  </si>
  <si>
    <t>INV-2026-02830</t>
  </si>
  <si>
    <t>INV-2026-02831</t>
  </si>
  <si>
    <t>INV-2026-02832</t>
  </si>
  <si>
    <t>INV-2026-02833</t>
  </si>
  <si>
    <t>INV-2026-02834</t>
  </si>
  <si>
    <t>INV-2026-02835</t>
  </si>
  <si>
    <t>INV-2026-02836</t>
  </si>
  <si>
    <t>INV-2026-02837</t>
  </si>
  <si>
    <t>INV-2026-02838</t>
  </si>
  <si>
    <t>INV-2026-02839</t>
  </si>
  <si>
    <t>INV-2026-02840</t>
  </si>
  <si>
    <t>INV-2026-02841</t>
  </si>
  <si>
    <t>INV-2026-02842</t>
  </si>
  <si>
    <t>INV-2026-02843</t>
  </si>
  <si>
    <t>INV-2026-02844</t>
  </si>
  <si>
    <t>INV-2026-02845</t>
  </si>
  <si>
    <t>INV-2026-02846</t>
  </si>
  <si>
    <t>INV-2026-02847</t>
  </si>
  <si>
    <t>INV-2026-02848</t>
  </si>
  <si>
    <t>INV-2026-02849</t>
  </si>
  <si>
    <t>INV-2026-02850</t>
  </si>
  <si>
    <t>INV-2026-02851</t>
  </si>
  <si>
    <t>INV-2026-02852</t>
  </si>
  <si>
    <t>INV-2026-02853</t>
  </si>
  <si>
    <t>INV-2026-02854</t>
  </si>
  <si>
    <t>INV-2026-02855</t>
  </si>
  <si>
    <t>INV-2026-02856</t>
  </si>
  <si>
    <t>INV-2026-02857</t>
  </si>
  <si>
    <t>INV-2026-02858</t>
  </si>
  <si>
    <t>INV-2026-02859</t>
  </si>
  <si>
    <t>INV-2026-02860</t>
  </si>
  <si>
    <t>INV-2026-02861</t>
  </si>
  <si>
    <t>INV-2026-02862</t>
  </si>
  <si>
    <t>INV-2026-02863</t>
  </si>
  <si>
    <t>INV-2026-02864</t>
  </si>
  <si>
    <t>INV-2026-02865</t>
  </si>
  <si>
    <t>INV-2026-02866</t>
  </si>
  <si>
    <t>INV-2026-02867</t>
  </si>
  <si>
    <t>INV-2026-02868</t>
  </si>
  <si>
    <t>INV-2026-02869</t>
  </si>
  <si>
    <t>INV-2026-02870</t>
  </si>
  <si>
    <t>INV-2026-02871</t>
  </si>
  <si>
    <t>INV-2026-02872</t>
  </si>
  <si>
    <t>INV-2026-02873</t>
  </si>
  <si>
    <t>INV-2026-02874</t>
  </si>
  <si>
    <t>INV-2026-02875</t>
  </si>
  <si>
    <t>INV-2026-02876</t>
  </si>
  <si>
    <t>INV-2026-02877</t>
  </si>
  <si>
    <t>INV-2026-02878</t>
  </si>
  <si>
    <t>INV-2026-02879</t>
  </si>
  <si>
    <t>INV-2026-02880</t>
  </si>
  <si>
    <t>INV-2026-02881</t>
  </si>
  <si>
    <t>INV-2026-02882</t>
  </si>
  <si>
    <t>INV-2026-02883</t>
  </si>
  <si>
    <t>INV-2026-02884</t>
  </si>
  <si>
    <t>INV-2026-02885</t>
  </si>
  <si>
    <t>INV-2026-02886</t>
  </si>
  <si>
    <t>INV-2026-02887</t>
  </si>
  <si>
    <t>INV-2026-02888</t>
  </si>
  <si>
    <t>INV-2026-02889</t>
  </si>
  <si>
    <t>INV-2026-02890</t>
  </si>
  <si>
    <t>INV-2026-02891</t>
  </si>
  <si>
    <t>INV-2026-02892</t>
  </si>
  <si>
    <t>INV-2026-02893</t>
  </si>
  <si>
    <t>INV-2026-02894</t>
  </si>
  <si>
    <t>INV-2026-02895</t>
  </si>
  <si>
    <t>INV-2026-02896</t>
  </si>
  <si>
    <t>INV-2026-02897</t>
  </si>
  <si>
    <t>INV-2026-02898</t>
  </si>
  <si>
    <t>INV-2026-02899</t>
  </si>
  <si>
    <t>INV-2026-02900</t>
  </si>
  <si>
    <t>INV-2026-02901</t>
  </si>
  <si>
    <t>INV-2026-02902</t>
  </si>
  <si>
    <t>INV-2026-02903</t>
  </si>
  <si>
    <t>INV-2026-02904</t>
  </si>
  <si>
    <t>INV-2026-02905</t>
  </si>
  <si>
    <t>INV-2026-02906</t>
  </si>
  <si>
    <t>INV-2026-02907</t>
  </si>
  <si>
    <t>INV-2026-02908</t>
  </si>
  <si>
    <t>INV-2026-02909</t>
  </si>
  <si>
    <t>INV-2026-02910</t>
  </si>
  <si>
    <t>INV-2026-02911</t>
  </si>
  <si>
    <t>INV-2026-02912</t>
  </si>
  <si>
    <t>INV-2026-02913</t>
  </si>
  <si>
    <t>INV-2026-02914</t>
  </si>
  <si>
    <t>INV-2026-02915</t>
  </si>
  <si>
    <t>INV-2026-02916</t>
  </si>
  <si>
    <t>INV-2026-02917</t>
  </si>
  <si>
    <t>INV-2026-02918</t>
  </si>
  <si>
    <t>INV-2026-02919</t>
  </si>
  <si>
    <t>INV-2026-02920</t>
  </si>
  <si>
    <t>INV-2026-02921</t>
  </si>
  <si>
    <t>INV-2026-02922</t>
  </si>
  <si>
    <t>INV-2026-02923</t>
  </si>
  <si>
    <t>INV-2026-02924</t>
  </si>
  <si>
    <t>INV-2026-02925</t>
  </si>
  <si>
    <t>INV-2026-02926</t>
  </si>
  <si>
    <t>INV-2026-02927</t>
  </si>
  <si>
    <t>INV-2026-02928</t>
  </si>
  <si>
    <t>INV-2026-02929</t>
  </si>
  <si>
    <t>INV-2026-02930</t>
  </si>
  <si>
    <t>INV-2026-02931</t>
  </si>
  <si>
    <t>INV-2026-02932</t>
  </si>
  <si>
    <t>INV-2026-02933</t>
  </si>
  <si>
    <t>INV-2026-02934</t>
  </si>
  <si>
    <t>INV-2026-02935</t>
  </si>
  <si>
    <t>INV-2026-02936</t>
  </si>
  <si>
    <t>INV-2026-02937</t>
  </si>
  <si>
    <t>INV-2026-02938</t>
  </si>
  <si>
    <t>INV-2026-02939</t>
  </si>
  <si>
    <t>INV-2026-02940</t>
  </si>
  <si>
    <t>INV-2026-02941</t>
  </si>
  <si>
    <t>INV-2026-02942</t>
  </si>
  <si>
    <t>INV-2026-02943</t>
  </si>
  <si>
    <t>INV-2026-02944</t>
  </si>
  <si>
    <t>INV-2026-02945</t>
  </si>
  <si>
    <t>INV-2026-02946</t>
  </si>
  <si>
    <t>INV-2026-02947</t>
  </si>
  <si>
    <t>INV-2026-02948</t>
  </si>
  <si>
    <t>INV-2026-02949</t>
  </si>
  <si>
    <t>INV-2026-02950</t>
  </si>
  <si>
    <t>INV-2026-02951</t>
  </si>
  <si>
    <t>INV-2026-02952</t>
  </si>
  <si>
    <t>INV-2026-02953</t>
  </si>
  <si>
    <t>INV-2026-02954</t>
  </si>
  <si>
    <t>INV-2026-02955</t>
  </si>
  <si>
    <t>INV-2026-02956</t>
  </si>
  <si>
    <t>INV-2026-02957</t>
  </si>
  <si>
    <t>INV-2026-02958</t>
  </si>
  <si>
    <t>INV-2026-02959</t>
  </si>
  <si>
    <t>INV-2026-02960</t>
  </si>
  <si>
    <t>INV-2026-02961</t>
  </si>
  <si>
    <t>INV-2026-02962</t>
  </si>
  <si>
    <t>INV-2026-02963</t>
  </si>
  <si>
    <t>INV-2026-02964</t>
  </si>
  <si>
    <t>INV-2026-02965</t>
  </si>
  <si>
    <t>INV-2026-02966</t>
  </si>
  <si>
    <t>INV-2026-02967</t>
  </si>
  <si>
    <t>INV-2026-02968</t>
  </si>
  <si>
    <t>INV-2026-02969</t>
  </si>
  <si>
    <t>INV-2026-02970</t>
  </si>
  <si>
    <t>INV-2026-02971</t>
  </si>
  <si>
    <t>INV-2026-02972</t>
  </si>
  <si>
    <t>INV-2026-02973</t>
  </si>
  <si>
    <t>INV-2026-02974</t>
  </si>
  <si>
    <t>INV-2026-02975</t>
  </si>
  <si>
    <t>INV-2026-02976</t>
  </si>
  <si>
    <t>INV-2026-02977</t>
  </si>
  <si>
    <t>INV-2026-02978</t>
  </si>
  <si>
    <t>INV-2026-02979</t>
  </si>
  <si>
    <t>INV-2026-02980</t>
  </si>
  <si>
    <t>INV-2026-02981</t>
  </si>
  <si>
    <t>INV-2026-02982</t>
  </si>
  <si>
    <t>INV-2026-02983</t>
  </si>
  <si>
    <t>INV-2026-02984</t>
  </si>
  <si>
    <t>INV-2026-02985</t>
  </si>
  <si>
    <t>INV-2026-02986</t>
  </si>
  <si>
    <t>INV-2026-02987</t>
  </si>
  <si>
    <t>INV-2026-02988</t>
  </si>
  <si>
    <t>INV-2026-02989</t>
  </si>
  <si>
    <t>INV-2026-02990</t>
  </si>
  <si>
    <t>INV-2026-02991</t>
  </si>
  <si>
    <t>INV-2026-02992</t>
  </si>
  <si>
    <t>INV-2026-02993</t>
  </si>
  <si>
    <t>INV-2026-02994</t>
  </si>
  <si>
    <t>INV-2026-02995</t>
  </si>
  <si>
    <t>INV-2026-02996</t>
  </si>
  <si>
    <t>INV-2026-02997</t>
  </si>
  <si>
    <t>INV-2026-02998</t>
  </si>
  <si>
    <t>INV-2026-02999</t>
  </si>
  <si>
    <t>INV-2026-03000</t>
  </si>
  <si>
    <t>INV-2026-03001</t>
  </si>
  <si>
    <t>INV-2026-03002</t>
  </si>
  <si>
    <t>INV-2026-03003</t>
  </si>
  <si>
    <t>INV-2026-03004</t>
  </si>
  <si>
    <t>INV-2026-03005</t>
  </si>
  <si>
    <t>INV-2026-03006</t>
  </si>
  <si>
    <t>INV-2026-03007</t>
  </si>
  <si>
    <t>INV-2026-03008</t>
  </si>
  <si>
    <t>INV-2026-03009</t>
  </si>
  <si>
    <t>INV-2026-03010</t>
  </si>
  <si>
    <t>INV-2026-03011</t>
  </si>
  <si>
    <t>INV-2026-03012</t>
  </si>
  <si>
    <t>INV-2026-03013</t>
  </si>
  <si>
    <t>INV-2026-03014</t>
  </si>
  <si>
    <t>INV-2026-03015</t>
  </si>
  <si>
    <t>INV-2026-03016</t>
  </si>
  <si>
    <t>INV-2026-03017</t>
  </si>
  <si>
    <t>INV-2026-03018</t>
  </si>
  <si>
    <t>INV-2026-03019</t>
  </si>
  <si>
    <t>INV-2026-03020</t>
  </si>
  <si>
    <t>INV-2026-03021</t>
  </si>
  <si>
    <t>INV-2026-03022</t>
  </si>
  <si>
    <t>INV-2026-03023</t>
  </si>
  <si>
    <t>INV-2026-03024</t>
  </si>
  <si>
    <t>INV-2026-03025</t>
  </si>
  <si>
    <t>INV-2026-03026</t>
  </si>
  <si>
    <t>INV-2026-03027</t>
  </si>
  <si>
    <t>INV-2026-03028</t>
  </si>
  <si>
    <t>INV-2026-03029</t>
  </si>
  <si>
    <t>INV-2026-03030</t>
  </si>
  <si>
    <t>INV-2026-03031</t>
  </si>
  <si>
    <t>INV-2026-03032</t>
  </si>
  <si>
    <t>INV-2026-03033</t>
  </si>
  <si>
    <t>INV-2026-03034</t>
  </si>
  <si>
    <t>INV-2026-03035</t>
  </si>
  <si>
    <t>INV-2026-03036</t>
  </si>
  <si>
    <t>INV-2026-03037</t>
  </si>
  <si>
    <t>INV-2026-03038</t>
  </si>
  <si>
    <t>INV-2026-03039</t>
  </si>
  <si>
    <t>INV-2026-03040</t>
  </si>
  <si>
    <t>INV-2026-03041</t>
  </si>
  <si>
    <t>INV-2026-03042</t>
  </si>
  <si>
    <t>INV-2026-03043</t>
  </si>
  <si>
    <t>INV-2026-03044</t>
  </si>
  <si>
    <t>INV-2026-03045</t>
  </si>
  <si>
    <t>INV-2026-03046</t>
  </si>
  <si>
    <t>INV-2026-03047</t>
  </si>
  <si>
    <t>INV-2026-03048</t>
  </si>
  <si>
    <t>INV-2026-03049</t>
  </si>
  <si>
    <t>INV-2026-03050</t>
  </si>
  <si>
    <t>INV-2026-03051</t>
  </si>
  <si>
    <t>INV-2026-03052</t>
  </si>
  <si>
    <t>INV-2026-03053</t>
  </si>
  <si>
    <t>INV-2026-03054</t>
  </si>
  <si>
    <t>INV-2026-03055</t>
  </si>
  <si>
    <t>INV-2026-03056</t>
  </si>
  <si>
    <t>INV-2026-03057</t>
  </si>
  <si>
    <t>INV-2026-03058</t>
  </si>
  <si>
    <t>INV-2026-03059</t>
  </si>
  <si>
    <t>INV-2026-03060</t>
  </si>
  <si>
    <t>INV-2026-03061</t>
  </si>
  <si>
    <t>INV-2026-03062</t>
  </si>
  <si>
    <t>INV-2026-03063</t>
  </si>
  <si>
    <t>INV-2026-03064</t>
  </si>
  <si>
    <t>INV-2026-03065</t>
  </si>
  <si>
    <t>INV-2026-03066</t>
  </si>
  <si>
    <t>INV-2026-03067</t>
  </si>
  <si>
    <t>INV-2026-03068</t>
  </si>
  <si>
    <t>INV-2026-03069</t>
  </si>
  <si>
    <t>INV-2026-03070</t>
  </si>
  <si>
    <t>INV-2026-03071</t>
  </si>
  <si>
    <t>INV-2026-03072</t>
  </si>
  <si>
    <t>INV-2026-03073</t>
  </si>
  <si>
    <t>INV-2026-03074</t>
  </si>
  <si>
    <t>INV-2026-03075</t>
  </si>
  <si>
    <t>INV-2026-03076</t>
  </si>
  <si>
    <t>INV-2026-03077</t>
  </si>
  <si>
    <t>INV-2026-03078</t>
  </si>
  <si>
    <t>INV-2026-03079</t>
  </si>
  <si>
    <t>INV-2026-03080</t>
  </si>
  <si>
    <t>INV-2026-03081</t>
  </si>
  <si>
    <t>INV-2026-03082</t>
  </si>
  <si>
    <t>INV-2026-03083</t>
  </si>
  <si>
    <t>INV-2026-03084</t>
  </si>
  <si>
    <t>INV-2026-03085</t>
  </si>
  <si>
    <t>INV-2026-03086</t>
  </si>
  <si>
    <t>INV-2026-03087</t>
  </si>
  <si>
    <t>INV-2026-03088</t>
  </si>
  <si>
    <t>INV-2026-03089</t>
  </si>
  <si>
    <t>INV-2026-03090</t>
  </si>
  <si>
    <t>INV-2026-03091</t>
  </si>
  <si>
    <t>INV-2026-03092</t>
  </si>
  <si>
    <t>INV-2026-03093</t>
  </si>
  <si>
    <t>INV-2026-03094</t>
  </si>
  <si>
    <t>INV-2026-03095</t>
  </si>
  <si>
    <t>INV-2026-03096</t>
  </si>
  <si>
    <t>INV-2026-03097</t>
  </si>
  <si>
    <t>INV-2026-03098</t>
  </si>
  <si>
    <t>INV-2026-03099</t>
  </si>
  <si>
    <t>INV-2026-03100</t>
  </si>
  <si>
    <t>INV-2026-03101</t>
  </si>
  <si>
    <t>INV-2026-03102</t>
  </si>
  <si>
    <t>INV-2026-03103</t>
  </si>
  <si>
    <t>INV-2026-03104</t>
  </si>
  <si>
    <t>INV-2026-03105</t>
  </si>
  <si>
    <t>INV-2026-03106</t>
  </si>
  <si>
    <t>INV-2026-03107</t>
  </si>
  <si>
    <t>INV-2026-03108</t>
  </si>
  <si>
    <t>INV-2026-03109</t>
  </si>
  <si>
    <t>INV-2026-03110</t>
  </si>
  <si>
    <t>INV-2026-03111</t>
  </si>
  <si>
    <t>INV-2026-03112</t>
  </si>
  <si>
    <t>INV-2026-03113</t>
  </si>
  <si>
    <t>INV-2026-03114</t>
  </si>
  <si>
    <t>INV-2026-03115</t>
  </si>
  <si>
    <t>INV-2026-03116</t>
  </si>
  <si>
    <t>INV-2026-03117</t>
  </si>
  <si>
    <t>INV-2026-03118</t>
  </si>
  <si>
    <t>INV-2026-03119</t>
  </si>
  <si>
    <t>INV-2026-03120</t>
  </si>
  <si>
    <t>INV-2026-03121</t>
  </si>
  <si>
    <t>INV-2026-03122</t>
  </si>
  <si>
    <t>INV-2026-03123</t>
  </si>
  <si>
    <t>INV-2026-03124</t>
  </si>
  <si>
    <t>INV-2026-03125</t>
  </si>
  <si>
    <t>INV-2026-03126</t>
  </si>
  <si>
    <t>INV-2026-03127</t>
  </si>
  <si>
    <t>INV-2026-03128</t>
  </si>
  <si>
    <t>INV-2026-03129</t>
  </si>
  <si>
    <t>INV-2026-03130</t>
  </si>
  <si>
    <t>INV-2026-03131</t>
  </si>
  <si>
    <t>INV-2026-03132</t>
  </si>
  <si>
    <t>INV-2026-03133</t>
  </si>
  <si>
    <t>INV-2026-03134</t>
  </si>
  <si>
    <t>INV-2026-03135</t>
  </si>
  <si>
    <t>INV-2026-03136</t>
  </si>
  <si>
    <t>INV-2026-03137</t>
  </si>
  <si>
    <t>INV-2026-03138</t>
  </si>
  <si>
    <t>INV-2026-03139</t>
  </si>
  <si>
    <t>INV-2026-03140</t>
  </si>
  <si>
    <t>INV-2026-03141</t>
  </si>
  <si>
    <t>INV-2026-03142</t>
  </si>
  <si>
    <t>INV-2026-03143</t>
  </si>
  <si>
    <t>INV-2026-03144</t>
  </si>
  <si>
    <t>INV-2026-03145</t>
  </si>
  <si>
    <t>INV-2026-03146</t>
  </si>
  <si>
    <t>INV-2026-03147</t>
  </si>
  <si>
    <t>INV-2026-03148</t>
  </si>
  <si>
    <t>INV-2026-03149</t>
  </si>
  <si>
    <t>INV-2026-03150</t>
  </si>
  <si>
    <t>INV-2026-03151</t>
  </si>
  <si>
    <t>INV-2026-03152</t>
  </si>
  <si>
    <t>INV-2026-03153</t>
  </si>
  <si>
    <t>INV-2026-03154</t>
  </si>
  <si>
    <t>INV-2026-03155</t>
  </si>
  <si>
    <t>INV-2026-03156</t>
  </si>
  <si>
    <t>INV-2026-03157</t>
  </si>
  <si>
    <t>INV-2026-03158</t>
  </si>
  <si>
    <t>INV-2026-03159</t>
  </si>
  <si>
    <t>INV-2026-03160</t>
  </si>
  <si>
    <t>INV-2026-03161</t>
  </si>
  <si>
    <t>INV-2026-03162</t>
  </si>
  <si>
    <t>INV-2026-03163</t>
  </si>
  <si>
    <t>INV-2026-03164</t>
  </si>
  <si>
    <t>INV-2026-03165</t>
  </si>
  <si>
    <t>INV-2026-03166</t>
  </si>
  <si>
    <t>INV-2026-03167</t>
  </si>
  <si>
    <t>INV-2026-03168</t>
  </si>
  <si>
    <t>INV-2026-03169</t>
  </si>
  <si>
    <t>INV-2026-03170</t>
  </si>
  <si>
    <t>INV-2026-03171</t>
  </si>
  <si>
    <t>INV-2026-03172</t>
  </si>
  <si>
    <t>INV-2026-03173</t>
  </si>
  <si>
    <t>INV-2026-03174</t>
  </si>
  <si>
    <t>INV-2026-03175</t>
  </si>
  <si>
    <t>INV-2026-03176</t>
  </si>
  <si>
    <t>INV-2026-03177</t>
  </si>
  <si>
    <t>INV-2026-03178</t>
  </si>
  <si>
    <t>INV-2026-03179</t>
  </si>
  <si>
    <t>INV-2026-03180</t>
  </si>
  <si>
    <t>INV-2026-03181</t>
  </si>
  <si>
    <t>INV-2026-03182</t>
  </si>
  <si>
    <t>INV-2026-03183</t>
  </si>
  <si>
    <t>INV-2026-03184</t>
  </si>
  <si>
    <t>INV-2026-03185</t>
  </si>
  <si>
    <t>INV-2026-03186</t>
  </si>
  <si>
    <t>INV-2026-03187</t>
  </si>
  <si>
    <t>INV-2026-03188</t>
  </si>
  <si>
    <t>INV-2026-03189</t>
  </si>
  <si>
    <t>INV-2026-03190</t>
  </si>
  <si>
    <t>INV-2026-03191</t>
  </si>
  <si>
    <t>INV-2026-03192</t>
  </si>
  <si>
    <t>INV-2026-03193</t>
  </si>
  <si>
    <t>INV-2026-03194</t>
  </si>
  <si>
    <t>INV-2026-03195</t>
  </si>
  <si>
    <t>INV-2026-03196</t>
  </si>
  <si>
    <t>INV-2026-03197</t>
  </si>
  <si>
    <t>INV-2026-03198</t>
  </si>
  <si>
    <t>INV-2026-03199</t>
  </si>
  <si>
    <t>INV-2026-03200</t>
  </si>
  <si>
    <t>INV-2026-03201</t>
  </si>
  <si>
    <t>INV-2026-03202</t>
  </si>
  <si>
    <t>INV-2026-03203</t>
  </si>
  <si>
    <t>INV-2026-03204</t>
  </si>
  <si>
    <t>INV-2026-03205</t>
  </si>
  <si>
    <t>INV-2026-03206</t>
  </si>
  <si>
    <t>INV-2026-03207</t>
  </si>
  <si>
    <t>INV-2026-03208</t>
  </si>
  <si>
    <t>INV-2026-03209</t>
  </si>
  <si>
    <t>INV-2026-03210</t>
  </si>
  <si>
    <t>INV-2026-03211</t>
  </si>
  <si>
    <t>INV-2026-03212</t>
  </si>
  <si>
    <t>INV-2026-03213</t>
  </si>
  <si>
    <t>INV-2026-03214</t>
  </si>
  <si>
    <t>INV-2026-03215</t>
  </si>
  <si>
    <t>INV-2026-03216</t>
  </si>
  <si>
    <t>INV-2026-03217</t>
  </si>
  <si>
    <t>INV-2026-03218</t>
  </si>
  <si>
    <t>INV-2026-03219</t>
  </si>
  <si>
    <t>INV-2026-03220</t>
  </si>
  <si>
    <t>INV-2026-03221</t>
  </si>
  <si>
    <t>INV-2026-03222</t>
  </si>
  <si>
    <t>INV-2026-03223</t>
  </si>
  <si>
    <t>INV-2026-03224</t>
  </si>
  <si>
    <t>INV-2026-03225</t>
  </si>
  <si>
    <t>INV-2026-03226</t>
  </si>
  <si>
    <t>INV-2026-03227</t>
  </si>
  <si>
    <t>INV-2026-03228</t>
  </si>
  <si>
    <t>INV-2026-03229</t>
  </si>
  <si>
    <t>INV-2026-03230</t>
  </si>
  <si>
    <t>INV-2026-03231</t>
  </si>
  <si>
    <t>INV-2026-03232</t>
  </si>
  <si>
    <t>INV-2026-03233</t>
  </si>
  <si>
    <t>INV-2026-03234</t>
  </si>
  <si>
    <t>INV-2026-03235</t>
  </si>
  <si>
    <t>INV-2026-03236</t>
  </si>
  <si>
    <t>INV-2026-03237</t>
  </si>
  <si>
    <t>INV-2026-03238</t>
  </si>
  <si>
    <t>INV-2026-03239</t>
  </si>
  <si>
    <t>INV-2026-03240</t>
  </si>
  <si>
    <t>INV-2026-03241</t>
  </si>
  <si>
    <t>INV-2026-03242</t>
  </si>
  <si>
    <t>INV-2026-03243</t>
  </si>
  <si>
    <t>INV-2026-03244</t>
  </si>
  <si>
    <t>INV-2026-03245</t>
  </si>
  <si>
    <t>INV-2026-03246</t>
  </si>
  <si>
    <t>INV-2026-03247</t>
  </si>
  <si>
    <t>INV-2026-03248</t>
  </si>
  <si>
    <t>INV-2026-03249</t>
  </si>
  <si>
    <t>INV-2026-03250</t>
  </si>
  <si>
    <t>INV-2026-03251</t>
  </si>
  <si>
    <t>INV-2026-03252</t>
  </si>
  <si>
    <t>INV-2026-03253</t>
  </si>
  <si>
    <t>INV-2026-03254</t>
  </si>
  <si>
    <t>INV-2026-03255</t>
  </si>
  <si>
    <t>INV-2026-03256</t>
  </si>
  <si>
    <t>INV-2026-03257</t>
  </si>
  <si>
    <t>INV-2026-03258</t>
  </si>
  <si>
    <t>INV-2026-03259</t>
  </si>
  <si>
    <t>INV-2026-03260</t>
  </si>
  <si>
    <t>INV-2026-03261</t>
  </si>
  <si>
    <t>INV-2026-03262</t>
  </si>
  <si>
    <t>INV-2026-03263</t>
  </si>
  <si>
    <t>INV-2026-03264</t>
  </si>
  <si>
    <t>INV-2026-03265</t>
  </si>
  <si>
    <t>INV-2026-03266</t>
  </si>
  <si>
    <t>INV-2026-03267</t>
  </si>
  <si>
    <t>INV-2026-03268</t>
  </si>
  <si>
    <t>INV-2026-03269</t>
  </si>
  <si>
    <t>INV-2026-03270</t>
  </si>
  <si>
    <t>INV-2026-03271</t>
  </si>
  <si>
    <t>INV-2026-03272</t>
  </si>
  <si>
    <t>INV-2026-03273</t>
  </si>
  <si>
    <t>INV-2026-03274</t>
  </si>
  <si>
    <t>INV-2026-03275</t>
  </si>
  <si>
    <t>INV-2026-03276</t>
  </si>
  <si>
    <t>INV-2026-03277</t>
  </si>
  <si>
    <t>INV-2026-03278</t>
  </si>
  <si>
    <t>INV-2026-03279</t>
  </si>
  <si>
    <t>INV-2026-03280</t>
  </si>
  <si>
    <t>INV-2026-03281</t>
  </si>
  <si>
    <t>INV-2026-03282</t>
  </si>
  <si>
    <t>INV-2026-03283</t>
  </si>
  <si>
    <t>INV-2026-03284</t>
  </si>
  <si>
    <t>INV-2026-03285</t>
  </si>
  <si>
    <t>INV-2026-03286</t>
  </si>
  <si>
    <t>INV-2026-03287</t>
  </si>
  <si>
    <t>INV-2026-03288</t>
  </si>
  <si>
    <t>INV-2026-03289</t>
  </si>
  <si>
    <t>INV-2026-03290</t>
  </si>
  <si>
    <t>INV-2026-03291</t>
  </si>
  <si>
    <t>INV-2026-03292</t>
  </si>
  <si>
    <t>INV-2026-03293</t>
  </si>
  <si>
    <t>INV-2026-03294</t>
  </si>
  <si>
    <t>INV-2026-03295</t>
  </si>
  <si>
    <t>INV-2026-03296</t>
  </si>
  <si>
    <t>INV-2026-03297</t>
  </si>
  <si>
    <t>INV-2026-03298</t>
  </si>
  <si>
    <t>INV-2026-03299</t>
  </si>
  <si>
    <t>INV-2026-03300</t>
  </si>
  <si>
    <t>INV-2026-03301</t>
  </si>
  <si>
    <t>INV-2026-03302</t>
  </si>
  <si>
    <t>INV-2026-03303</t>
  </si>
  <si>
    <t>INV-2026-03304</t>
  </si>
  <si>
    <t>INV-2026-03305</t>
  </si>
  <si>
    <t>INV-2026-03306</t>
  </si>
  <si>
    <t>INV-2026-03307</t>
  </si>
  <si>
    <t>INV-2026-03308</t>
  </si>
  <si>
    <t>INV-2026-03309</t>
  </si>
  <si>
    <t>INV-2026-03310</t>
  </si>
  <si>
    <t>INV-2026-03311</t>
  </si>
  <si>
    <t>INV-2026-03312</t>
  </si>
  <si>
    <t>INV-2026-03313</t>
  </si>
  <si>
    <t>INV-2026-03314</t>
  </si>
  <si>
    <t>INV-2026-03315</t>
  </si>
  <si>
    <t>INV-2026-03316</t>
  </si>
  <si>
    <t>INV-2026-03317</t>
  </si>
  <si>
    <t>INV-2026-03318</t>
  </si>
  <si>
    <t>INV-2026-03319</t>
  </si>
  <si>
    <t>INV-2026-03320</t>
  </si>
  <si>
    <t>INV-2026-03321</t>
  </si>
  <si>
    <t>INV-2026-03322</t>
  </si>
  <si>
    <t>INV-2026-03323</t>
  </si>
  <si>
    <t>INV-2026-03324</t>
  </si>
  <si>
    <t>INV-2026-03325</t>
  </si>
  <si>
    <t>INV-2026-03326</t>
  </si>
  <si>
    <t>INV-2026-03327</t>
  </si>
  <si>
    <t>INV-2026-03328</t>
  </si>
  <si>
    <t>INV-2026-03329</t>
  </si>
  <si>
    <t>INV-2026-03330</t>
  </si>
  <si>
    <t>INV-2026-03331</t>
  </si>
  <si>
    <t>INV-2026-03332</t>
  </si>
  <si>
    <t>INV-2026-03333</t>
  </si>
  <si>
    <t>INV-2026-03334</t>
  </si>
  <si>
    <t>INV-2026-03335</t>
  </si>
  <si>
    <t>INV-2026-03336</t>
  </si>
  <si>
    <t>INV-2026-03337</t>
  </si>
  <si>
    <t>INV-2026-03338</t>
  </si>
  <si>
    <t>INV-2026-03339</t>
  </si>
  <si>
    <t>INV-2026-03340</t>
  </si>
  <si>
    <t>INV-2026-03341</t>
  </si>
  <si>
    <t>INV-2026-03342</t>
  </si>
  <si>
    <t>INV-2026-03343</t>
  </si>
  <si>
    <t>INV-2026-03344</t>
  </si>
  <si>
    <t>INV-2026-03345</t>
  </si>
  <si>
    <t>INV-2026-03346</t>
  </si>
  <si>
    <t>INV-2026-03347</t>
  </si>
  <si>
    <t>INV-2026-03348</t>
  </si>
  <si>
    <t>INV-2026-03349</t>
  </si>
  <si>
    <t>INV-2026-03350</t>
  </si>
  <si>
    <t>INV-2026-03351</t>
  </si>
  <si>
    <t>INV-2026-03352</t>
  </si>
  <si>
    <t>INV-2026-03353</t>
  </si>
  <si>
    <t>INV-2026-03354</t>
  </si>
  <si>
    <t>INV-2026-03355</t>
  </si>
  <si>
    <t>INV-2026-03356</t>
  </si>
  <si>
    <t>INV-2026-03357</t>
  </si>
  <si>
    <t>INV-2026-03358</t>
  </si>
  <si>
    <t>INV-2026-03359</t>
  </si>
  <si>
    <t>INV-2026-03360</t>
  </si>
  <si>
    <t>INV-2026-03361</t>
  </si>
  <si>
    <t>INV-2026-03362</t>
  </si>
  <si>
    <t>INV-2026-03363</t>
  </si>
  <si>
    <t>INV-2026-03364</t>
  </si>
  <si>
    <t>INV-2026-03365</t>
  </si>
  <si>
    <t>INV-2026-03366</t>
  </si>
  <si>
    <t>INV-2026-03367</t>
  </si>
  <si>
    <t>INV-2026-03368</t>
  </si>
  <si>
    <t>INV-2026-03369</t>
  </si>
  <si>
    <t>INV-2026-03370</t>
  </si>
  <si>
    <t>INV-2026-03371</t>
  </si>
  <si>
    <t>INV-2026-03372</t>
  </si>
  <si>
    <t>INV-2026-03373</t>
  </si>
  <si>
    <t>INV-2026-03374</t>
  </si>
  <si>
    <t>INV-2026-03375</t>
  </si>
  <si>
    <t>INV-2026-03376</t>
  </si>
  <si>
    <t>INV-2026-03377</t>
  </si>
  <si>
    <t>INV-2026-03378</t>
  </si>
  <si>
    <t>INV-2026-03379</t>
  </si>
  <si>
    <t>INV-2026-03380</t>
  </si>
  <si>
    <t>INV-2026-03381</t>
  </si>
  <si>
    <t>INV-2026-03382</t>
  </si>
  <si>
    <t>INV-2026-03383</t>
  </si>
  <si>
    <t>INV-2026-03384</t>
  </si>
  <si>
    <t>INV-2026-03385</t>
  </si>
  <si>
    <t>INV-2026-03386</t>
  </si>
  <si>
    <t>INV-2026-03387</t>
  </si>
  <si>
    <t>INV-2026-03388</t>
  </si>
  <si>
    <t>INV-2026-03389</t>
  </si>
  <si>
    <t>INV-2026-03390</t>
  </si>
  <si>
    <t>INV-2026-03391</t>
  </si>
  <si>
    <t>INV-2026-03392</t>
  </si>
  <si>
    <t>INV-2026-03393</t>
  </si>
  <si>
    <t>INV-2026-03394</t>
  </si>
  <si>
    <t>INV-2026-03395</t>
  </si>
  <si>
    <t>INV-2026-03396</t>
  </si>
  <si>
    <t>INV-2026-03397</t>
  </si>
  <si>
    <t>INV-2026-03398</t>
  </si>
  <si>
    <t>INV-2026-03399</t>
  </si>
  <si>
    <t>INV-2026-03400</t>
  </si>
  <si>
    <t>INV-2026-03401</t>
  </si>
  <si>
    <t>INV-2026-03402</t>
  </si>
  <si>
    <t>INV-2026-03403</t>
  </si>
  <si>
    <t>INV-2026-03404</t>
  </si>
  <si>
    <t>INV-2026-03405</t>
  </si>
  <si>
    <t>INV-2026-03406</t>
  </si>
  <si>
    <t>INV-2026-03407</t>
  </si>
  <si>
    <t>INV-2026-03408</t>
  </si>
  <si>
    <t>INV-2026-03409</t>
  </si>
  <si>
    <t>INV-2026-03410</t>
  </si>
  <si>
    <t>INV-2026-03411</t>
  </si>
  <si>
    <t>INV-2026-03412</t>
  </si>
  <si>
    <t>INV-2026-03413</t>
  </si>
  <si>
    <t>INV-2026-03414</t>
  </si>
  <si>
    <t>INV-2026-03415</t>
  </si>
  <si>
    <t>INV-2026-03416</t>
  </si>
  <si>
    <t>INV-2026-03417</t>
  </si>
  <si>
    <t>INV-2026-03418</t>
  </si>
  <si>
    <t>INV-2026-03419</t>
  </si>
  <si>
    <t>INV-2026-03420</t>
  </si>
  <si>
    <t>INV-2026-03421</t>
  </si>
  <si>
    <t>INV-2026-03422</t>
  </si>
  <si>
    <t>INV-2026-03423</t>
  </si>
  <si>
    <t>INV-2026-03424</t>
  </si>
  <si>
    <t>INV-2026-03425</t>
  </si>
  <si>
    <t>INV-2026-03426</t>
  </si>
  <si>
    <t>INV-2026-03427</t>
  </si>
  <si>
    <t>INV-2026-03428</t>
  </si>
  <si>
    <t>INV-2026-03429</t>
  </si>
  <si>
    <t>INV-2026-03430</t>
  </si>
  <si>
    <t>INV-2026-03431</t>
  </si>
  <si>
    <t>INV-2026-03432</t>
  </si>
  <si>
    <t>INV-2026-03433</t>
  </si>
  <si>
    <t>INV-2026-03434</t>
  </si>
  <si>
    <t>INV-2026-03435</t>
  </si>
  <si>
    <t>INV-2026-03436</t>
  </si>
  <si>
    <t>INV-2026-03437</t>
  </si>
  <si>
    <t>INV-2026-03438</t>
  </si>
  <si>
    <t>INV-2026-03439</t>
  </si>
  <si>
    <t>INV-2026-03440</t>
  </si>
  <si>
    <t>INV-2026-03441</t>
  </si>
  <si>
    <t>INV-2026-03442</t>
  </si>
  <si>
    <t>INV-2026-03443</t>
  </si>
  <si>
    <t>INV-2026-03444</t>
  </si>
  <si>
    <t>INV-2026-03445</t>
  </si>
  <si>
    <t>INV-2026-03446</t>
  </si>
  <si>
    <t>INV-2026-03447</t>
  </si>
  <si>
    <t>INV-2026-03448</t>
  </si>
  <si>
    <t>INV-2026-03449</t>
  </si>
  <si>
    <t>INV-2026-03450</t>
  </si>
  <si>
    <t>INV-2026-03451</t>
  </si>
  <si>
    <t>INV-2026-03452</t>
  </si>
  <si>
    <t>INV-2026-03453</t>
  </si>
  <si>
    <t>INV-2026-03454</t>
  </si>
  <si>
    <t>INV-2026-03455</t>
  </si>
  <si>
    <t>INV-2026-03456</t>
  </si>
  <si>
    <t>INV-2026-03457</t>
  </si>
  <si>
    <t>INV-2026-03458</t>
  </si>
  <si>
    <t>INV-2026-03459</t>
  </si>
  <si>
    <t>INV-2026-03460</t>
  </si>
  <si>
    <t>INV-2026-03461</t>
  </si>
  <si>
    <t>INV-2026-03462</t>
  </si>
  <si>
    <t>INV-2026-03463</t>
  </si>
  <si>
    <t>INV-2026-03464</t>
  </si>
  <si>
    <t>INV-2026-03465</t>
  </si>
  <si>
    <t>INV-2026-03466</t>
  </si>
  <si>
    <t>INV-2026-03467</t>
  </si>
  <si>
    <t>INV-2026-03468</t>
  </si>
  <si>
    <t>INV-2026-03469</t>
  </si>
  <si>
    <t>INV-2026-03470</t>
  </si>
  <si>
    <t>INV-2026-03471</t>
  </si>
  <si>
    <t>INV-2026-03472</t>
  </si>
  <si>
    <t>INV-2026-03473</t>
  </si>
  <si>
    <t>INV-2026-03474</t>
  </si>
  <si>
    <t>INV-2026-03475</t>
  </si>
  <si>
    <t>INV-2026-03476</t>
  </si>
  <si>
    <t>INV-2026-03477</t>
  </si>
  <si>
    <t>INV-2026-03478</t>
  </si>
  <si>
    <t>INV-2026-03479</t>
  </si>
  <si>
    <t>INV-2026-03480</t>
  </si>
  <si>
    <t>INV-2026-03481</t>
  </si>
  <si>
    <t>INV-2026-03482</t>
  </si>
  <si>
    <t>INV-2026-03483</t>
  </si>
  <si>
    <t>INV-2026-03484</t>
  </si>
  <si>
    <t>INV-2026-03485</t>
  </si>
  <si>
    <t>INV-2026-03486</t>
  </si>
  <si>
    <t>INV-2026-03487</t>
  </si>
  <si>
    <t>INV-2026-03488</t>
  </si>
  <si>
    <t>INV-2026-03489</t>
  </si>
  <si>
    <t>INV-2026-03490</t>
  </si>
  <si>
    <t>INV-2026-03491</t>
  </si>
  <si>
    <t>INV-2026-03492</t>
  </si>
  <si>
    <t>INV-2026-03493</t>
  </si>
  <si>
    <t>INV-2026-03494</t>
  </si>
  <si>
    <t>INV-2026-03495</t>
  </si>
  <si>
    <t>INV-2026-03496</t>
  </si>
  <si>
    <t>INV-2026-03497</t>
  </si>
  <si>
    <t>INV-2026-03498</t>
  </si>
  <si>
    <t>INV-2026-03499</t>
  </si>
  <si>
    <t>INV-2026-03500</t>
  </si>
  <si>
    <t>Overall Sale Snapshot</t>
  </si>
  <si>
    <t>Particulars</t>
  </si>
  <si>
    <t>Yesterday</t>
  </si>
  <si>
    <t>MTD</t>
  </si>
  <si>
    <t>Gross Sales</t>
  </si>
  <si>
    <t>Sales Return</t>
  </si>
  <si>
    <t>Net Sales</t>
  </si>
  <si>
    <t>Target</t>
  </si>
  <si>
    <t>Achievment (%)</t>
  </si>
  <si>
    <t>Date/Month</t>
  </si>
  <si>
    <t>Target_Value</t>
  </si>
  <si>
    <t xml:space="preserve">EAST </t>
  </si>
  <si>
    <t>WEST</t>
  </si>
  <si>
    <t>NORTH</t>
  </si>
  <si>
    <t>SOUTH</t>
  </si>
  <si>
    <t>Electronic</t>
  </si>
  <si>
    <t>stationery</t>
  </si>
  <si>
    <t>Region / Branch Wise Sales</t>
  </si>
  <si>
    <t>Region / Branch</t>
  </si>
  <si>
    <t>Yesterday Sales</t>
  </si>
  <si>
    <t>MTD Sales</t>
  </si>
  <si>
    <t>Variance</t>
  </si>
  <si>
    <t>Contribution</t>
  </si>
  <si>
    <t>Total</t>
  </si>
  <si>
    <t>Channel Wise Sales</t>
  </si>
  <si>
    <t>Sales Channel</t>
  </si>
  <si>
    <t>% Share</t>
  </si>
  <si>
    <t>Product / Category Wise Sales</t>
  </si>
  <si>
    <t>Product / Category</t>
  </si>
  <si>
    <t>QTY Sold</t>
  </si>
  <si>
    <t xml:space="preserve"> Sales Value</t>
  </si>
  <si>
    <t>Margin</t>
  </si>
  <si>
    <t>Row Labels</t>
  </si>
  <si>
    <t>Grand Total</t>
  </si>
  <si>
    <t>Sum of Quantity</t>
  </si>
  <si>
    <t>Sum of Net_Sales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</si>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</sst>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7" fontId="0" fillId="0" borderId="2" xfId="0" applyNumberFormat="1" applyBorder="1"/>
    <xf numFmtId="14" fontId="2" fillId="0" borderId="0" xfId="0" applyNumberFormat="1" applyFont="1"/>
    <xf numFmtId="1" fontId="3" fillId="0" borderId="2" xfId="0" applyNumberFormat="1" applyFont="1" applyBorder="1"/>
    <xf numFmtId="0" fontId="3" fillId="0" borderId="2" xfId="0" applyFont="1" applyBorder="1"/>
    <xf numFmtId="9" fontId="3" fillId="0" borderId="3" xfId="1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1" fontId="3" fillId="0" borderId="8" xfId="0" applyNumberFormat="1" applyFont="1" applyBorder="1"/>
    <xf numFmtId="0" fontId="8" fillId="0" borderId="9" xfId="0" applyFont="1" applyBorder="1" applyAlignment="1">
      <alignment horizontal="left"/>
    </xf>
    <xf numFmtId="9" fontId="3" fillId="0" borderId="10" xfId="1" applyFont="1" applyBorder="1"/>
    <xf numFmtId="0" fontId="0" fillId="0" borderId="1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0" fillId="0" borderId="0" xfId="1" applyFont="1"/>
    <xf numFmtId="0" fontId="2" fillId="0" borderId="7" xfId="0" applyFont="1" applyBorder="1" applyAlignment="1">
      <alignment horizontal="center"/>
    </xf>
    <xf numFmtId="9" fontId="3" fillId="0" borderId="8" xfId="1" applyFont="1" applyBorder="1"/>
    <xf numFmtId="0" fontId="7" fillId="0" borderId="9" xfId="0" applyFont="1" applyBorder="1" applyAlignment="1">
      <alignment horizontal="center"/>
    </xf>
    <xf numFmtId="1" fontId="3" fillId="0" borderId="3" xfId="0" applyNumberFormat="1" applyFont="1" applyBorder="1"/>
    <xf numFmtId="0" fontId="0" fillId="0" borderId="3" xfId="0" applyBorder="1"/>
    <xf numFmtId="0" fontId="3" fillId="0" borderId="7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1" fontId="3" fillId="0" borderId="2" xfId="1" applyNumberFormat="1" applyFont="1" applyBorder="1"/>
    <xf numFmtId="0" fontId="3" fillId="0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REPORTS!$E$16</c:f>
              <c:strCache>
                <c:ptCount val="1"/>
                <c:pt idx="0">
                  <c:v>MTD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REPORTS!$C$17:$C$21</c:f>
              <c:strCache>
                <c:ptCount val="5"/>
                <c:pt idx="0">
                  <c:v>EAST 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Total</c:v>
                </c:pt>
              </c:strCache>
            </c:strRef>
          </c:cat>
          <c:val>
            <c:numRef>
              <c:f>REPORTS!$E$17:$E$21</c:f>
              <c:numCache>
                <c:formatCode>0</c:formatCode>
                <c:ptCount val="5"/>
                <c:pt idx="0">
                  <c:v>105373866.54000004</c:v>
                </c:pt>
                <c:pt idx="1">
                  <c:v>108830298.42999998</c:v>
                </c:pt>
                <c:pt idx="2">
                  <c:v>117651702.56</c:v>
                </c:pt>
                <c:pt idx="3">
                  <c:v>111651153.93999994</c:v>
                </c:pt>
                <c:pt idx="4">
                  <c:v>443507021.46999997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2-41B7-8598-4EDD4AE76C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4130784"/>
        <c:axId val="1804126944"/>
      </c:barChart>
      <c:catAx>
        <c:axId val="180413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126944"/>
        <c:crosses val="autoZero"/>
        <c:auto val="1"/>
        <c:lblAlgn val="ctr"/>
        <c:lblOffset val="100"/>
        <c:noMultiLvlLbl val="0"/>
      </c:catAx>
      <c:valAx>
        <c:axId val="180412694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180413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REPORTS!$E$5</c:f>
              <c:strCache>
                <c:ptCount val="1"/>
                <c:pt idx="0">
                  <c:v>MTD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REPORTS!$C$6:$C$10</c:f>
              <c:strCache>
                <c:ptCount val="5"/>
                <c:pt idx="0">
                  <c:v>Gross Sales</c:v>
                </c:pt>
                <c:pt idx="1">
                  <c:v>Sales Return</c:v>
                </c:pt>
                <c:pt idx="2">
                  <c:v>Net Sales</c:v>
                </c:pt>
                <c:pt idx="3">
                  <c:v>Target</c:v>
                </c:pt>
                <c:pt idx="4">
                  <c:v>Achievment (%)</c:v>
                </c:pt>
              </c:strCache>
            </c:strRef>
          </c:cat>
          <c:val>
            <c:numRef>
              <c:f>REPORTS!$E$6:$E$10</c:f>
              <c:numCache>
                <c:formatCode>0</c:formatCode>
                <c:ptCount val="5"/>
                <c:pt idx="0">
                  <c:v>554732641.94999957</c:v>
                </c:pt>
                <c:pt idx="1">
                  <c:v>12548926.619999999</c:v>
                </c:pt>
                <c:pt idx="2">
                  <c:v>506129510.77999955</c:v>
                </c:pt>
                <c:pt idx="3">
                  <c:v>532500000</c:v>
                </c:pt>
                <c:pt idx="4" formatCode="0%">
                  <c:v>0.95047795451643113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E-4F3A-951F-E3554F8698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REPORTS!$D$28</c:f>
              <c:strCache>
                <c:ptCount val="1"/>
                <c:pt idx="0">
                  <c:v>Yesterday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REPORTS!$C$29:$C$33</c:f>
              <c:strCache>
                <c:ptCount val="5"/>
                <c:pt idx="0">
                  <c:v>Online</c:v>
                </c:pt>
                <c:pt idx="1">
                  <c:v>Retail Store</c:v>
                </c:pt>
                <c:pt idx="2">
                  <c:v>Distributor</c:v>
                </c:pt>
                <c:pt idx="3">
                  <c:v>Direct Sales</c:v>
                </c:pt>
                <c:pt idx="4">
                  <c:v>Total</c:v>
                </c:pt>
              </c:strCache>
            </c:strRef>
          </c:cat>
          <c:val>
            <c:numRef>
              <c:f>REPORTS!$D$29:$D$33</c:f>
              <c:numCache>
                <c:formatCode>0</c:formatCode>
                <c:ptCount val="5"/>
                <c:pt idx="0">
                  <c:v>9564642.4399999995</c:v>
                </c:pt>
                <c:pt idx="1">
                  <c:v>4400555.290000001</c:v>
                </c:pt>
                <c:pt idx="2">
                  <c:v>5792820.5299999993</c:v>
                </c:pt>
                <c:pt idx="3">
                  <c:v>5621517.0899999999</c:v>
                </c:pt>
                <c:pt idx="4">
                  <c:v>25379535.349999998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F-497B-A8C3-DD408D39B3E4}"/>
            </c:ext>
          </c:extLst>
        </c:ser>
        <c:ser>
          <c:idx val="1"/>
          <c:order val="1"/>
          <c:tx>
            <c:strRef>
              <c:f>REPORTS!$E$28</c:f>
              <c:strCache>
                <c:ptCount val="1"/>
                <c:pt idx="0">
                  <c:v>MTD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REPORTS!$C$29:$C$33</c:f>
              <c:strCache>
                <c:ptCount val="5"/>
                <c:pt idx="0">
                  <c:v>Online</c:v>
                </c:pt>
                <c:pt idx="1">
                  <c:v>Retail Store</c:v>
                </c:pt>
                <c:pt idx="2">
                  <c:v>Distributor</c:v>
                </c:pt>
                <c:pt idx="3">
                  <c:v>Direct Sales</c:v>
                </c:pt>
                <c:pt idx="4">
                  <c:v>Total</c:v>
                </c:pt>
              </c:strCache>
            </c:strRef>
          </c:cat>
          <c:val>
            <c:numRef>
              <c:f>REPORTS!$E$29:$E$33</c:f>
              <c:numCache>
                <c:formatCode>0</c:formatCode>
                <c:ptCount val="5"/>
                <c:pt idx="0">
                  <c:v>120479567.63999997</c:v>
                </c:pt>
                <c:pt idx="1">
                  <c:v>113364360.86999997</c:v>
                </c:pt>
                <c:pt idx="2">
                  <c:v>140970851.33000004</c:v>
                </c:pt>
                <c:pt idx="3">
                  <c:v>131314730.93999998</c:v>
                </c:pt>
                <c:pt idx="4">
                  <c:v>506129510.77999997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F-497B-A8C3-DD408D39B3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4114128"/>
        <c:axId val="1804111248"/>
      </c:barChart>
      <c:catAx>
        <c:axId val="180411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804111248"/>
        <c:crosses val="autoZero"/>
        <c:auto val="1"/>
        <c:lblAlgn val="ctr"/>
        <c:lblOffset val="100"/>
        <c:noMultiLvlLbl val="0"/>
      </c:catAx>
      <c:valAx>
        <c:axId val="180411124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18041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621828521434823"/>
          <c:y val="5.0925925925925923E-2"/>
          <c:w val="0.63011504811898511"/>
          <c:h val="0.92500801983085446"/>
        </c:manualLayout>
      </c:layout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REPORTS!$C$40:$C$46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 Equipment</c:v>
                </c:pt>
                <c:pt idx="5">
                  <c:v>stationery</c:v>
                </c:pt>
                <c:pt idx="6">
                  <c:v>Total</c:v>
                </c:pt>
              </c:strCache>
            </c:strRef>
          </c:cat>
          <c:val>
            <c:numRef>
              <c:f>REPORTS!$F$40:$F$46</c:f>
              <c:numCache>
                <c:formatCode>0</c:formatCode>
                <c:ptCount val="7"/>
                <c:pt idx="0">
                  <c:v>65595447.499999993</c:v>
                </c:pt>
                <c:pt idx="1">
                  <c:v>85140544.010000005</c:v>
                </c:pt>
                <c:pt idx="2">
                  <c:v>92893075.529999986</c:v>
                </c:pt>
                <c:pt idx="3">
                  <c:v>91090345.780000016</c:v>
                </c:pt>
                <c:pt idx="4">
                  <c:v>81933252.480000019</c:v>
                </c:pt>
                <c:pt idx="5">
                  <c:v>89476845.480000004</c:v>
                </c:pt>
                <c:pt idx="6">
                  <c:v>506129510.78000003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1-45B5-86AF-877311ECCD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321965392"/>
        <c:axId val="157215296"/>
      </c:barChart>
      <c:catAx>
        <c:axId val="32196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5296"/>
        <c:crosses val="autoZero"/>
        <c:auto val="1"/>
        <c:lblAlgn val="ctr"/>
        <c:lblOffset val="100"/>
        <c:noMultiLvlLbl val="0"/>
      </c:catAx>
      <c:valAx>
        <c:axId val="15721529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32196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9525</xdr:rowOff>
    </xdr:from>
    <xdr:to>
      <xdr:col>20</xdr:col>
      <xdr:colOff>95250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3E834-534B-429B-BE18-7B77FC1D1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533399</xdr:colOff>
      <xdr:row>0</xdr:row>
      <xdr:rowOff>66675</xdr:rowOff>
    </xdr:from>
    <xdr:to>
      <xdr:col>20</xdr:col>
      <xdr:colOff>47624</xdr:colOff>
      <xdr:row>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DA4832-2FDA-0621-FC57-8B42C9D09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</xdr:colOff>
      <xdr:row>25</xdr:row>
      <xdr:rowOff>28575</xdr:rowOff>
    </xdr:from>
    <xdr:to>
      <xdr:col>20</xdr:col>
      <xdr:colOff>109537</xdr:colOff>
      <xdr:row>33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DF46E6-ABB6-40D7-0321-483FF0D43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</xdr:colOff>
      <xdr:row>36</xdr:row>
      <xdr:rowOff>180974</xdr:rowOff>
    </xdr:from>
    <xdr:to>
      <xdr:col>20</xdr:col>
      <xdr:colOff>85725</xdr:colOff>
      <xdr:row>45</xdr:row>
      <xdr:rowOff>276224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87F0E6-1913-957D-ACD7-46748D6EF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AR GOSWAMI" refreshedDate="46047.470380902778" createdVersion="8" refreshedVersion="8" minRefreshableVersion="3" recordCount="3500" xr:uid="{B33D468F-E82B-4B96-BABC-1C646CA0448A}">
  <cacheSource type="worksheet">
    <worksheetSource name="sales_order_tracking_data"/>
  </cacheSource>
  <cacheFields count="17">
    <cacheField name="Invoice_Number" numFmtId="0">
      <sharedItems/>
    </cacheField>
    <cacheField name="Invoice_Date" numFmtId="14">
      <sharedItems containsSemiMixedTypes="0" containsNonDate="0" containsDate="1" containsString="0" minDate="2025-10-24T00:00:00" maxDate="2026-01-24T00:00:00" count="92">
        <d v="2026-01-16T00:00:00"/>
        <d v="2025-11-05T00:00:00"/>
        <d v="2025-12-29T00:00:00"/>
        <d v="2026-01-23T00:00:00"/>
        <d v="2026-01-05T00:00:00"/>
        <d v="2026-01-18T00:00:00"/>
        <d v="2025-11-18T00:00:00"/>
        <d v="2026-01-02T00:00:00"/>
        <d v="2025-11-19T00:00:00"/>
        <d v="2025-12-16T00:00:00"/>
        <d v="2025-12-11T00:00:00"/>
        <d v="2025-12-01T00:00:00"/>
        <d v="2025-11-22T00:00:00"/>
        <d v="2026-01-17T00:00:00"/>
        <d v="2025-11-24T00:00:00"/>
        <d v="2025-11-21T00:00:00"/>
        <d v="2026-01-09T00:00:00"/>
        <d v="2025-11-20T00:00:00"/>
        <d v="2025-12-06T00:00:00"/>
        <d v="2025-12-22T00:00:00"/>
        <d v="2025-12-03T00:00:00"/>
        <d v="2025-11-08T00:00:00"/>
        <d v="2025-12-31T00:00:00"/>
        <d v="2025-10-24T00:00:00"/>
        <d v="2025-11-01T00:00:00"/>
        <d v="2025-11-07T00:00:00"/>
        <d v="2025-12-04T00:00:00"/>
        <d v="2025-11-06T00:00:00"/>
        <d v="2025-12-25T00:00:00"/>
        <d v="2025-10-27T00:00:00"/>
        <d v="2025-12-14T00:00:00"/>
        <d v="2025-11-12T00:00:00"/>
        <d v="2025-12-12T00:00:00"/>
        <d v="2025-12-19T00:00:00"/>
        <d v="2025-12-02T00:00:00"/>
        <d v="2025-11-17T00:00:00"/>
        <d v="2025-11-29T00:00:00"/>
        <d v="2025-11-09T00:00:00"/>
        <d v="2025-11-04T00:00:00"/>
        <d v="2025-12-23T00:00:00"/>
        <d v="2025-12-05T00:00:00"/>
        <d v="2025-12-24T00:00:00"/>
        <d v="2026-01-13T00:00:00"/>
        <d v="2025-11-02T00:00:00"/>
        <d v="2026-01-14T00:00:00"/>
        <d v="2025-10-25T00:00:00"/>
        <d v="2025-11-11T00:00:00"/>
        <d v="2026-01-11T00:00:00"/>
        <d v="2025-12-18T00:00:00"/>
        <d v="2025-10-28T00:00:00"/>
        <d v="2025-12-20T00:00:00"/>
        <d v="2025-12-15T00:00:00"/>
        <d v="2025-11-03T00:00:00"/>
        <d v="2026-01-03T00:00:00"/>
        <d v="2025-11-23T00:00:00"/>
        <d v="2026-01-22T00:00:00"/>
        <d v="2025-11-13T00:00:00"/>
        <d v="2025-12-27T00:00:00"/>
        <d v="2025-11-30T00:00:00"/>
        <d v="2026-01-15T00:00:00"/>
        <d v="2025-12-28T00:00:00"/>
        <d v="2025-12-21T00:00:00"/>
        <d v="2025-12-13T00:00:00"/>
        <d v="2026-01-10T00:00:00"/>
        <d v="2026-01-04T00:00:00"/>
        <d v="2025-11-10T00:00:00"/>
        <d v="2026-01-20T00:00:00"/>
        <d v="2025-11-16T00:00:00"/>
        <d v="2025-12-07T00:00:00"/>
        <d v="2025-12-26T00:00:00"/>
        <d v="2025-12-09T00:00:00"/>
        <d v="2026-01-06T00:00:00"/>
        <d v="2025-11-14T00:00:00"/>
        <d v="2025-12-17T00:00:00"/>
        <d v="2025-10-26T00:00:00"/>
        <d v="2025-11-27T00:00:00"/>
        <d v="2026-01-07T00:00:00"/>
        <d v="2025-11-26T00:00:00"/>
        <d v="2025-10-31T00:00:00"/>
        <d v="2026-01-12T00:00:00"/>
        <d v="2025-12-10T00:00:00"/>
        <d v="2026-01-01T00:00:00"/>
        <d v="2026-01-08T00:00:00"/>
        <d v="2025-11-25T00:00:00"/>
        <d v="2025-12-08T00:00:00"/>
        <d v="2025-12-30T00:00:00"/>
        <d v="2025-10-29T00:00:00"/>
        <d v="2025-10-30T00:00:00"/>
        <d v="2025-11-28T00:00:00"/>
        <d v="2026-01-19T00:00:00"/>
        <d v="2025-11-15T00:00:00"/>
        <d v="2026-01-21T00:00:00"/>
      </sharedItems>
    </cacheField>
    <cacheField name="Region" numFmtId="0">
      <sharedItems/>
    </cacheField>
    <cacheField name="Branch" numFmtId="0">
      <sharedItems/>
    </cacheField>
    <cacheField name="Sales_Channel" numFmtId="0">
      <sharedItems/>
    </cacheField>
    <cacheField name="Sales_Executive" numFmtId="0">
      <sharedItems/>
    </cacheField>
    <cacheField name="Customer_Name" numFmtId="0">
      <sharedItems/>
    </cacheField>
    <cacheField name="Product_Category" numFmtId="0">
      <sharedItems count="6">
        <s v="Stationery"/>
        <s v="Furniture"/>
        <s v="Sports Equipment"/>
        <s v="Electronics"/>
        <s v="Clothing"/>
        <s v="Home Appliance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minValue="530.16" maxValue="50486.93"/>
    </cacheField>
    <cacheField name="Gross_Sales" numFmtId="0">
      <sharedItems containsSemiMixedTypes="0" containsString="0" containsNumber="1" minValue="1364.64" maxValue="2524346.5"/>
    </cacheField>
    <cacheField name="Discount_Amount" numFmtId="0">
      <sharedItems containsSemiMixedTypes="0" containsString="0" containsNumber="1" minValue="0" maxValue="446819.66"/>
    </cacheField>
    <cacheField name="Return_Amount" numFmtId="0">
      <sharedItems containsSemiMixedTypes="0" containsString="0" containsNumber="1" minValue="0" maxValue="664536.52"/>
    </cacheField>
    <cacheField name="Net_Sales" numFmtId="0">
      <sharedItems containsSemiMixedTypes="0" containsString="0" containsNumber="1" minValue="1157.71" maxValue="2505322"/>
    </cacheField>
    <cacheField name="Order_Status" numFmtId="0">
      <sharedItems/>
    </cacheField>
    <cacheField name="Payme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INV-2026-00001"/>
    <x v="0"/>
    <s v="East"/>
    <s v="Guwahati"/>
    <s v="Direct Sales"/>
    <s v="Anita Desai"/>
    <s v="Urban Store"/>
    <x v="0"/>
    <s v="Notebook"/>
    <n v="1"/>
    <n v="46265.74"/>
    <n v="46265.74"/>
    <n v="32.979999999999997"/>
    <n v="0"/>
    <n v="46232.76"/>
    <s v="Completed"/>
    <s v="Paid"/>
  </r>
  <r>
    <s v="INV-2026-00002"/>
    <x v="1"/>
    <s v="East"/>
    <s v="Bhubaneswar"/>
    <s v="Direct Sales"/>
    <s v="Anita Desai"/>
    <s v="Skyline Corp"/>
    <x v="0"/>
    <s v="File Folder"/>
    <n v="30"/>
    <n v="34151.269999999997"/>
    <n v="1024538.1"/>
    <n v="0"/>
    <n v="0"/>
    <n v="1024538.1"/>
    <s v="Cancelled"/>
    <s v="Pending"/>
  </r>
  <r>
    <s v="INV-2026-00003"/>
    <x v="2"/>
    <s v="East"/>
    <s v="Kolkata"/>
    <s v="Retail Store"/>
    <s v="Priya Patel"/>
    <s v="Prime Retail"/>
    <x v="1"/>
    <s v="Cabinet"/>
    <n v="48"/>
    <n v="40373.07"/>
    <n v="1937907.36"/>
    <n v="233252.17"/>
    <n v="0"/>
    <n v="1704655.19"/>
    <s v="Completed"/>
    <s v="Paid"/>
  </r>
  <r>
    <s v="INV-2026-00004"/>
    <x v="3"/>
    <s v="East"/>
    <s v="Bhubaneswar"/>
    <s v="Online"/>
    <s v="Amit Kumar"/>
    <s v="Nexus Ltd"/>
    <x v="2"/>
    <s v="Cricket Bat"/>
    <n v="21"/>
    <n v="14989.13"/>
    <n v="314771.73"/>
    <n v="0"/>
    <n v="0"/>
    <n v="314771.73"/>
    <s v="Completed"/>
    <s v="Paid"/>
  </r>
  <r>
    <s v="INV-2026-00005"/>
    <x v="4"/>
    <s v="South"/>
    <s v="Hyderabad"/>
    <s v="Distributor"/>
    <s v="Rajesh Verma"/>
    <s v="Future Tech"/>
    <x v="0"/>
    <s v="Desk Organizer"/>
    <n v="40"/>
    <n v="22865.77"/>
    <n v="914630.8"/>
    <n v="108718.05"/>
    <n v="0"/>
    <n v="805912.75"/>
    <s v="Cancelled"/>
    <s v="Pending"/>
  </r>
  <r>
    <s v="INV-2026-00006"/>
    <x v="5"/>
    <s v="Central"/>
    <s v="Bhopal"/>
    <s v="Direct Sales"/>
    <s v="Priya Patel"/>
    <s v="Omega Stores"/>
    <x v="3"/>
    <s v="Headphones"/>
    <n v="35"/>
    <n v="6211.86"/>
    <n v="217415.1"/>
    <n v="0"/>
    <n v="0"/>
    <n v="217415.1"/>
    <s v="Completed"/>
    <s v="Paid"/>
  </r>
  <r>
    <s v="INV-2026-00007"/>
    <x v="6"/>
    <s v="West"/>
    <s v="Pune"/>
    <s v="Online"/>
    <s v="Sneha Reddy"/>
    <s v="Smart Systems"/>
    <x v="1"/>
    <s v="Cabinet"/>
    <n v="46"/>
    <n v="20624.28"/>
    <n v="948716.88"/>
    <n v="133776.12"/>
    <n v="0"/>
    <n v="814940.76"/>
    <s v="Cancelled"/>
    <s v="Pending"/>
  </r>
  <r>
    <s v="INV-2026-00008"/>
    <x v="7"/>
    <s v="West"/>
    <s v="Surat"/>
    <s v="Distributor"/>
    <s v="Sneha Reddy"/>
    <s v="Elite Enterprises"/>
    <x v="4"/>
    <s v="Formal Shirt"/>
    <n v="37"/>
    <n v="10597.89"/>
    <n v="392121.93"/>
    <n v="0"/>
    <n v="0"/>
    <n v="392121.93"/>
    <s v="Pending"/>
    <s v="Pending"/>
  </r>
  <r>
    <s v="INV-2026-00009"/>
    <x v="8"/>
    <s v="Central"/>
    <s v="Indore"/>
    <s v="Direct Sales"/>
    <s v="Suresh Gupta"/>
    <s v="Future Tech"/>
    <x v="3"/>
    <s v="Tablet"/>
    <n v="18"/>
    <n v="30923.14"/>
    <n v="556616.52"/>
    <n v="0"/>
    <n v="63437.49"/>
    <n v="493179.03"/>
    <s v="Processing"/>
    <s v="Paid"/>
  </r>
  <r>
    <s v="INV-2026-00010"/>
    <x v="9"/>
    <s v="East"/>
    <s v="Patna"/>
    <s v="Retail Store"/>
    <s v="Sneha Reddy"/>
    <s v="Smart Systems"/>
    <x v="0"/>
    <s v="Desk Organizer"/>
    <n v="2"/>
    <n v="16277.16"/>
    <n v="32554.32"/>
    <n v="3619.01"/>
    <n v="0"/>
    <n v="28935.31"/>
    <s v="Processing"/>
    <s v="Pending"/>
  </r>
  <r>
    <s v="INV-2026-00011"/>
    <x v="10"/>
    <s v="Central"/>
    <s v="Bhopal"/>
    <s v="Distributor"/>
    <s v="Amit Kumar"/>
    <s v="Prime Retail"/>
    <x v="4"/>
    <s v="Dress"/>
    <n v="15"/>
    <n v="42354.93"/>
    <n v="635323.94999999995"/>
    <n v="5670.76"/>
    <n v="4182.74"/>
    <n v="625470.44999999995"/>
    <s v="Processing"/>
    <s v="Pending"/>
  </r>
  <r>
    <s v="INV-2026-00012"/>
    <x v="1"/>
    <s v="North"/>
    <s v="Jaipur"/>
    <s v="Distributor"/>
    <s v="Amit Kumar"/>
    <s v="Metro Mart"/>
    <x v="1"/>
    <s v="Office Chair"/>
    <n v="23"/>
    <n v="49392.26"/>
    <n v="1136021.98"/>
    <n v="188661.91"/>
    <n v="0"/>
    <n v="947360.07"/>
    <s v="Pending"/>
    <s v="Pending"/>
  </r>
  <r>
    <s v="INV-2026-00013"/>
    <x v="11"/>
    <s v="East"/>
    <s v="Patna"/>
    <s v="Retail Store"/>
    <s v="Vijay Singh"/>
    <s v="Alpha Trading"/>
    <x v="1"/>
    <s v="Sofa"/>
    <n v="22"/>
    <n v="33104.03"/>
    <n v="728288.66"/>
    <n v="102395.1"/>
    <n v="0"/>
    <n v="625893.56000000006"/>
    <s v="Pending"/>
    <s v="Paid"/>
  </r>
  <r>
    <s v="INV-2026-00014"/>
    <x v="12"/>
    <s v="South"/>
    <s v="Bangalore"/>
    <s v="Online"/>
    <s v="Anita Desai"/>
    <s v="XYZ Ltd"/>
    <x v="0"/>
    <s v="File Folder"/>
    <n v="39"/>
    <n v="49310.05"/>
    <n v="1923091.95"/>
    <n v="0"/>
    <n v="0"/>
    <n v="1923091.95"/>
    <s v="Cancelled"/>
    <s v="Pending"/>
  </r>
  <r>
    <s v="INV-2026-00015"/>
    <x v="13"/>
    <s v="North"/>
    <s v="Lucknow"/>
    <s v="Online"/>
    <s v="Rajesh Verma"/>
    <s v="Metro Mart"/>
    <x v="3"/>
    <s v="Camera"/>
    <n v="4"/>
    <n v="32634.95"/>
    <n v="130539.8"/>
    <n v="0"/>
    <n v="0"/>
    <n v="130539.8"/>
    <s v="Processing"/>
    <s v="Paid"/>
  </r>
  <r>
    <s v="INV-2026-00016"/>
    <x v="14"/>
    <s v="North"/>
    <s v="Lucknow"/>
    <s v="Online"/>
    <s v="Amit Kumar"/>
    <s v="Urban Store"/>
    <x v="5"/>
    <s v="Microwave"/>
    <n v="41"/>
    <n v="27702.26"/>
    <n v="1135792.6599999999"/>
    <n v="109164.83"/>
    <n v="0"/>
    <n v="1026627.83"/>
    <s v="Pending"/>
    <s v="Paid"/>
  </r>
  <r>
    <s v="INV-2026-00017"/>
    <x v="15"/>
    <s v="Central"/>
    <s v="Raipur"/>
    <s v="Direct Sales"/>
    <s v="Amit Kumar"/>
    <s v="Tech Solutions"/>
    <x v="0"/>
    <s v="Whiteboard"/>
    <n v="23"/>
    <n v="10083.469999999999"/>
    <n v="231919.81"/>
    <n v="0"/>
    <n v="0"/>
    <n v="231919.81"/>
    <s v="Completed"/>
    <s v="Paid"/>
  </r>
  <r>
    <s v="INV-2026-00018"/>
    <x v="16"/>
    <s v="North"/>
    <s v="Chandigarh"/>
    <s v="Direct Sales"/>
    <s v="Priya Patel"/>
    <s v="Global Traders"/>
    <x v="4"/>
    <s v="Shoes"/>
    <n v="6"/>
    <n v="1549"/>
    <n v="9294"/>
    <n v="1534.89"/>
    <n v="0"/>
    <n v="7759.11"/>
    <s v="Cancelled"/>
    <s v="Pending"/>
  </r>
  <r>
    <s v="INV-2026-00019"/>
    <x v="17"/>
    <s v="West"/>
    <s v="Pune"/>
    <s v="Retail Store"/>
    <s v="Rahul Sharma"/>
    <s v="Alpha Trading"/>
    <x v="1"/>
    <s v="Cabinet"/>
    <n v="40"/>
    <n v="32660.63"/>
    <n v="1306425.2"/>
    <n v="0"/>
    <n v="0"/>
    <n v="1306425.2"/>
    <s v="Pending"/>
    <s v="Pending"/>
  </r>
  <r>
    <s v="INV-2026-00020"/>
    <x v="18"/>
    <s v="North"/>
    <s v="Delhi"/>
    <s v="Distributor"/>
    <s v="Priya Patel"/>
    <s v="Tech Solutions"/>
    <x v="1"/>
    <s v="Bookshelf"/>
    <n v="33"/>
    <n v="28594.17"/>
    <n v="943607.61"/>
    <n v="0"/>
    <n v="0"/>
    <n v="943607.61"/>
    <s v="Pending"/>
    <s v="Paid"/>
  </r>
  <r>
    <s v="INV-2026-00021"/>
    <x v="9"/>
    <s v="North"/>
    <s v="Lucknow"/>
    <s v="Online"/>
    <s v="Rahul Sharma"/>
    <s v="XYZ Ltd"/>
    <x v="0"/>
    <s v="Pen Set"/>
    <n v="38"/>
    <n v="24201.51"/>
    <n v="919657.38"/>
    <n v="0"/>
    <n v="0"/>
    <n v="919657.38"/>
    <s v="Processing"/>
    <s v="Pending"/>
  </r>
  <r>
    <s v="INV-2026-00022"/>
    <x v="19"/>
    <s v="East"/>
    <s v="Patna"/>
    <s v="Direct Sales"/>
    <s v="Kavita Nair"/>
    <s v="Tech Solutions"/>
    <x v="0"/>
    <s v="Desk Organizer"/>
    <n v="1"/>
    <n v="26871.66"/>
    <n v="26871.66"/>
    <n v="0"/>
    <n v="0"/>
    <n v="26871.66"/>
    <s v="Completed"/>
    <s v="Paid"/>
  </r>
  <r>
    <s v="INV-2026-00023"/>
    <x v="20"/>
    <s v="South"/>
    <s v="Chennai"/>
    <s v="Direct Sales"/>
    <s v="Sneha Reddy"/>
    <s v="Alpha Trading"/>
    <x v="5"/>
    <s v="Vacuum Cleaner"/>
    <n v="3"/>
    <n v="11433.47"/>
    <n v="34300.410000000003"/>
    <n v="3036.49"/>
    <n v="1305.2"/>
    <n v="29958.720000000001"/>
    <s v="Processing"/>
    <s v="Paid"/>
  </r>
  <r>
    <s v="INV-2026-00024"/>
    <x v="21"/>
    <s v="East"/>
    <s v="Bhubaneswar"/>
    <s v="Online"/>
    <s v="Sneha Reddy"/>
    <s v="Skyline Corp"/>
    <x v="3"/>
    <s v="Camera"/>
    <n v="27"/>
    <n v="45421.760000000002"/>
    <n v="1226387.52"/>
    <n v="163657.59"/>
    <n v="0"/>
    <n v="1062729.93"/>
    <s v="Pending"/>
    <s v="Pending"/>
  </r>
  <r>
    <s v="INV-2026-00025"/>
    <x v="12"/>
    <s v="East"/>
    <s v="Bhubaneswar"/>
    <s v="Retail Store"/>
    <s v="Kavita Nair"/>
    <s v="Omega Stores"/>
    <x v="3"/>
    <s v="Smart Watch"/>
    <n v="47"/>
    <n v="44465.96"/>
    <n v="2089900.12"/>
    <n v="0"/>
    <n v="0"/>
    <n v="2089900.12"/>
    <s v="Completed"/>
    <s v="Paid"/>
  </r>
  <r>
    <s v="INV-2026-00026"/>
    <x v="22"/>
    <s v="North"/>
    <s v="Jaipur"/>
    <s v="Direct Sales"/>
    <s v="Anita Desai"/>
    <s v="XYZ Ltd"/>
    <x v="1"/>
    <s v="Desk"/>
    <n v="14"/>
    <n v="11666.96"/>
    <n v="163337.44"/>
    <n v="7261.88"/>
    <n v="0"/>
    <n v="156075.56"/>
    <s v="Cancelled"/>
    <s v="Pending"/>
  </r>
  <r>
    <s v="INV-2026-00027"/>
    <x v="23"/>
    <s v="South"/>
    <s v="Bangalore"/>
    <s v="Distributor"/>
    <s v="Kavita Nair"/>
    <s v="Metro Mart"/>
    <x v="0"/>
    <s v="Pen Set"/>
    <n v="17"/>
    <n v="48299.98"/>
    <n v="821099.66"/>
    <n v="93674.91"/>
    <n v="0"/>
    <n v="727424.75"/>
    <s v="Cancelled"/>
    <s v="Pending"/>
  </r>
  <r>
    <s v="INV-2026-00028"/>
    <x v="24"/>
    <s v="West"/>
    <s v="Mumbai"/>
    <s v="Online"/>
    <s v="Anita Desai"/>
    <s v="Global Traders"/>
    <x v="2"/>
    <s v="Yoga Mat"/>
    <n v="4"/>
    <n v="12024.23"/>
    <n v="48096.92"/>
    <n v="8638.8700000000008"/>
    <n v="0"/>
    <n v="39458.050000000003"/>
    <s v="Cancelled"/>
    <s v="Pending"/>
  </r>
  <r>
    <s v="INV-2026-00029"/>
    <x v="25"/>
    <s v="West"/>
    <s v="Surat"/>
    <s v="Direct Sales"/>
    <s v="Sneha Reddy"/>
    <s v="Alpha Trading"/>
    <x v="3"/>
    <s v="Headphones"/>
    <n v="24"/>
    <n v="21266.6"/>
    <n v="510398.4"/>
    <n v="31442.51"/>
    <n v="0"/>
    <n v="478955.89"/>
    <s v="Pending"/>
    <s v="Pending"/>
  </r>
  <r>
    <s v="INV-2026-00030"/>
    <x v="26"/>
    <s v="South"/>
    <s v="Kochi"/>
    <s v="Online"/>
    <s v="Anita Desai"/>
    <s v="Nexus Ltd"/>
    <x v="4"/>
    <s v="Shoes"/>
    <n v="5"/>
    <n v="36753.040000000001"/>
    <n v="183765.2"/>
    <n v="16865.37"/>
    <n v="0"/>
    <n v="166899.82999999999"/>
    <s v="Completed"/>
    <s v="Overdue"/>
  </r>
  <r>
    <s v="INV-2026-00031"/>
    <x v="2"/>
    <s v="South"/>
    <s v="Bangalore"/>
    <s v="Retail Store"/>
    <s v="Rajesh Verma"/>
    <s v="Alpha Trading"/>
    <x v="3"/>
    <s v="Headphones"/>
    <n v="15"/>
    <n v="25157.09"/>
    <n v="377356.35"/>
    <n v="1501.2"/>
    <n v="0"/>
    <n v="375855.15"/>
    <s v="Pending"/>
    <s v="Pending"/>
  </r>
  <r>
    <s v="INV-2026-00032"/>
    <x v="12"/>
    <s v="East"/>
    <s v="Bhubaneswar"/>
    <s v="Retail Store"/>
    <s v="Anita Desai"/>
    <s v="Prime Retail"/>
    <x v="0"/>
    <s v="Printer Paper"/>
    <n v="17"/>
    <n v="34037.15"/>
    <n v="578631.55000000005"/>
    <n v="69892.45"/>
    <n v="139811.56"/>
    <n v="368927.54"/>
    <s v="Pending"/>
    <s v="Paid"/>
  </r>
  <r>
    <s v="INV-2026-00033"/>
    <x v="11"/>
    <s v="Central"/>
    <s v="Nagpur"/>
    <s v="Distributor"/>
    <s v="Anita Desai"/>
    <s v="Tech Solutions"/>
    <x v="1"/>
    <s v="Cabinet"/>
    <n v="32"/>
    <n v="20286.5"/>
    <n v="649168"/>
    <n v="92995.38"/>
    <n v="0"/>
    <n v="556172.62"/>
    <s v="Completed"/>
    <s v="Paid"/>
  </r>
  <r>
    <s v="INV-2026-00034"/>
    <x v="27"/>
    <s v="North"/>
    <s v="Chandigarh"/>
    <s v="Direct Sales"/>
    <s v="Rajesh Verma"/>
    <s v="Prime Retail"/>
    <x v="2"/>
    <s v="Bicycle"/>
    <n v="6"/>
    <n v="7270.14"/>
    <n v="43620.84"/>
    <n v="5223.53"/>
    <n v="0"/>
    <n v="38397.31"/>
    <s v="Cancelled"/>
    <s v="Pending"/>
  </r>
  <r>
    <s v="INV-2026-00035"/>
    <x v="28"/>
    <s v="West"/>
    <s v="Pune"/>
    <s v="Online"/>
    <s v="Meera Joshi"/>
    <s v="ABC Corp"/>
    <x v="3"/>
    <s v="Smart Watch"/>
    <n v="8"/>
    <n v="29664.07"/>
    <n v="237312.56"/>
    <n v="33736.78"/>
    <n v="0"/>
    <n v="203575.78"/>
    <s v="Completed"/>
    <s v="Paid"/>
  </r>
  <r>
    <s v="INV-2026-00036"/>
    <x v="29"/>
    <s v="South"/>
    <s v="Chennai"/>
    <s v="Retail Store"/>
    <s v="Suresh Gupta"/>
    <s v="Digital Hub"/>
    <x v="2"/>
    <s v="Tennis Racket"/>
    <n v="6"/>
    <n v="39451.18"/>
    <n v="236707.08"/>
    <n v="0"/>
    <n v="0"/>
    <n v="236707.08"/>
    <s v="Completed"/>
    <s v="Pending"/>
  </r>
  <r>
    <s v="INV-2026-00037"/>
    <x v="6"/>
    <s v="North"/>
    <s v="Jaipur"/>
    <s v="Retail Store"/>
    <s v="Anita Desai"/>
    <s v="Alpha Trading"/>
    <x v="3"/>
    <s v="Headphones"/>
    <n v="41"/>
    <n v="17198.439999999999"/>
    <n v="705136.04"/>
    <n v="0"/>
    <n v="0"/>
    <n v="705136.04"/>
    <s v="Completed"/>
    <s v="Paid"/>
  </r>
  <r>
    <s v="INV-2026-00038"/>
    <x v="28"/>
    <s v="South"/>
    <s v="Hyderabad"/>
    <s v="Online"/>
    <s v="Vijay Singh"/>
    <s v="Metro Mart"/>
    <x v="5"/>
    <s v="Washing Machine"/>
    <n v="7"/>
    <n v="43289.25"/>
    <n v="303024.75"/>
    <n v="617.46"/>
    <n v="0"/>
    <n v="302407.28999999998"/>
    <s v="Processing"/>
    <s v="Paid"/>
  </r>
  <r>
    <s v="INV-2026-00039"/>
    <x v="30"/>
    <s v="East"/>
    <s v="Bhubaneswar"/>
    <s v="Retail Store"/>
    <s v="Kavita Nair"/>
    <s v="XYZ Ltd"/>
    <x v="3"/>
    <s v="Camera"/>
    <n v="11"/>
    <n v="33089.86"/>
    <n v="363988.46"/>
    <n v="0"/>
    <n v="0"/>
    <n v="363988.46"/>
    <s v="Cancelled"/>
    <s v="Pending"/>
  </r>
  <r>
    <s v="INV-2026-00040"/>
    <x v="31"/>
    <s v="East"/>
    <s v="Patna"/>
    <s v="Online"/>
    <s v="Sneha Reddy"/>
    <s v="ABC Corp"/>
    <x v="5"/>
    <s v="Microwave"/>
    <n v="3"/>
    <n v="34111.25"/>
    <n v="102333.75"/>
    <n v="0"/>
    <n v="0"/>
    <n v="102333.75"/>
    <s v="Cancelled"/>
    <s v="Pending"/>
  </r>
  <r>
    <s v="INV-2026-00041"/>
    <x v="32"/>
    <s v="North"/>
    <s v="Lucknow"/>
    <s v="Online"/>
    <s v="Sneha Reddy"/>
    <s v="Tech Solutions"/>
    <x v="3"/>
    <s v="Laptop"/>
    <n v="49"/>
    <n v="24031.97"/>
    <n v="1177566.53"/>
    <n v="143315.4"/>
    <n v="0"/>
    <n v="1034251.13"/>
    <s v="Pending"/>
    <s v="Pending"/>
  </r>
  <r>
    <s v="INV-2026-00042"/>
    <x v="33"/>
    <s v="South"/>
    <s v="Kochi"/>
    <s v="Retail Store"/>
    <s v="Priya Patel"/>
    <s v="Future Tech"/>
    <x v="3"/>
    <s v="Camera"/>
    <n v="24"/>
    <n v="37923.269999999997"/>
    <n v="910158.48"/>
    <n v="35240.36"/>
    <n v="30825.66"/>
    <n v="844092.46"/>
    <s v="Processing"/>
    <s v="Paid"/>
  </r>
  <r>
    <s v="INV-2026-00043"/>
    <x v="34"/>
    <s v="West"/>
    <s v="Ahmedabad"/>
    <s v="Online"/>
    <s v="Meera Joshi"/>
    <s v="Metro Mart"/>
    <x v="2"/>
    <s v="Gym Equipment"/>
    <n v="22"/>
    <n v="11666.14"/>
    <n v="256655.08"/>
    <n v="11210.73"/>
    <n v="0"/>
    <n v="245444.35"/>
    <s v="Cancelled"/>
    <s v="Pending"/>
  </r>
  <r>
    <s v="INV-2026-00044"/>
    <x v="35"/>
    <s v="East"/>
    <s v="Kolkata"/>
    <s v="Retail Store"/>
    <s v="Rajesh Verma"/>
    <s v="Tech Solutions"/>
    <x v="4"/>
    <s v="Jacket"/>
    <n v="49"/>
    <n v="31704.86"/>
    <n v="1553538.14"/>
    <n v="82095.77"/>
    <n v="85672.95"/>
    <n v="1385769.42"/>
    <s v="Cancelled"/>
    <s v="Pending"/>
  </r>
  <r>
    <s v="INV-2026-00045"/>
    <x v="27"/>
    <s v="North"/>
    <s v="Lucknow"/>
    <s v="Retail Store"/>
    <s v="Suresh Gupta"/>
    <s v="Metro Mart"/>
    <x v="5"/>
    <s v="Microwave"/>
    <n v="20"/>
    <n v="39841.96"/>
    <n v="796839.2"/>
    <n v="0"/>
    <n v="0"/>
    <n v="796839.2"/>
    <s v="Processing"/>
    <s v="Pending"/>
  </r>
  <r>
    <s v="INV-2026-00046"/>
    <x v="36"/>
    <s v="Central"/>
    <s v="Nagpur"/>
    <s v="Direct Sales"/>
    <s v="Meera Joshi"/>
    <s v="Skyline Corp"/>
    <x v="5"/>
    <s v="Vacuum Cleaner"/>
    <n v="2"/>
    <n v="34864.83"/>
    <n v="69729.66"/>
    <n v="0"/>
    <n v="0"/>
    <n v="69729.66"/>
    <s v="Cancelled"/>
    <s v="Pending"/>
  </r>
  <r>
    <s v="INV-2026-00047"/>
    <x v="22"/>
    <s v="North"/>
    <s v="Chandigarh"/>
    <s v="Distributor"/>
    <s v="Vijay Singh"/>
    <s v="XYZ Ltd"/>
    <x v="0"/>
    <s v="Notebook"/>
    <n v="15"/>
    <n v="34625.79"/>
    <n v="519386.85"/>
    <n v="97860.39"/>
    <n v="0"/>
    <n v="421526.46"/>
    <s v="Completed"/>
    <s v="Paid"/>
  </r>
  <r>
    <s v="INV-2026-00048"/>
    <x v="37"/>
    <s v="South"/>
    <s v="Hyderabad"/>
    <s v="Distributor"/>
    <s v="Sneha Reddy"/>
    <s v="Metro Mart"/>
    <x v="0"/>
    <s v="File Folder"/>
    <n v="27"/>
    <n v="33180.74"/>
    <n v="895879.98"/>
    <n v="0"/>
    <n v="0"/>
    <n v="895879.98"/>
    <s v="Processing"/>
    <s v="Paid"/>
  </r>
  <r>
    <s v="INV-2026-00049"/>
    <x v="38"/>
    <s v="North"/>
    <s v="Lucknow"/>
    <s v="Online"/>
    <s v="Sneha Reddy"/>
    <s v="Tech Solutions"/>
    <x v="3"/>
    <s v="Smartphone"/>
    <n v="22"/>
    <n v="14927.89"/>
    <n v="328413.58"/>
    <n v="36181.96"/>
    <n v="0"/>
    <n v="292231.62"/>
    <s v="Pending"/>
    <s v="Pending"/>
  </r>
  <r>
    <s v="INV-2026-00050"/>
    <x v="39"/>
    <s v="South"/>
    <s v="Kochi"/>
    <s v="Direct Sales"/>
    <s v="Meera Joshi"/>
    <s v="Future Tech"/>
    <x v="3"/>
    <s v="Smartphone"/>
    <n v="32"/>
    <n v="18050.54"/>
    <n v="577617.28"/>
    <n v="0"/>
    <n v="103283.04"/>
    <n v="474334.24"/>
    <s v="Processing"/>
    <s v="Paid"/>
  </r>
  <r>
    <s v="INV-2026-00051"/>
    <x v="27"/>
    <s v="South"/>
    <s v="Kochi"/>
    <s v="Retail Store"/>
    <s v="Suresh Gupta"/>
    <s v="ABC Corp"/>
    <x v="5"/>
    <s v="TV"/>
    <n v="12"/>
    <n v="29830.16"/>
    <n v="357961.92"/>
    <n v="0"/>
    <n v="0"/>
    <n v="357961.92"/>
    <s v="Pending"/>
    <s v="Pending"/>
  </r>
  <r>
    <s v="INV-2026-00052"/>
    <x v="18"/>
    <s v="East"/>
    <s v="Bhubaneswar"/>
    <s v="Online"/>
    <s v="Amit Kumar"/>
    <s v="Future Tech"/>
    <x v="5"/>
    <s v="Washing Machine"/>
    <n v="49"/>
    <n v="50324.61"/>
    <n v="2465905.89"/>
    <n v="229672.02"/>
    <n v="0"/>
    <n v="2236233.87"/>
    <s v="Pending"/>
    <s v="Pending"/>
  </r>
  <r>
    <s v="INV-2026-00053"/>
    <x v="40"/>
    <s v="South"/>
    <s v="Hyderabad"/>
    <s v="Online"/>
    <s v="Amit Kumar"/>
    <s v="Prime Retail"/>
    <x v="1"/>
    <s v="Sofa"/>
    <n v="43"/>
    <n v="37937.089999999997"/>
    <n v="1631294.87"/>
    <n v="0"/>
    <n v="0"/>
    <n v="1631294.87"/>
    <s v="Completed"/>
    <s v="Paid"/>
  </r>
  <r>
    <s v="INV-2026-00054"/>
    <x v="41"/>
    <s v="North"/>
    <s v="Jaipur"/>
    <s v="Direct Sales"/>
    <s v="Priya Patel"/>
    <s v="Digital Hub"/>
    <x v="4"/>
    <s v="Jacket"/>
    <n v="17"/>
    <n v="41697.89"/>
    <n v="708864.13"/>
    <n v="128332.07"/>
    <n v="0"/>
    <n v="580532.06000000006"/>
    <s v="Pending"/>
    <s v="Paid"/>
  </r>
  <r>
    <s v="INV-2026-00055"/>
    <x v="22"/>
    <s v="East"/>
    <s v="Bhubaneswar"/>
    <s v="Direct Sales"/>
    <s v="Suresh Gupta"/>
    <s v="XYZ Ltd"/>
    <x v="1"/>
    <s v="Sofa"/>
    <n v="39"/>
    <n v="10615.27"/>
    <n v="413995.53"/>
    <n v="0"/>
    <n v="0"/>
    <n v="413995.53"/>
    <s v="Processing"/>
    <s v="Pending"/>
  </r>
  <r>
    <s v="INV-2026-00056"/>
    <x v="42"/>
    <s v="West"/>
    <s v="Mumbai"/>
    <s v="Online"/>
    <s v="Sneha Reddy"/>
    <s v="XYZ Ltd"/>
    <x v="2"/>
    <s v="Yoga Mat"/>
    <n v="13"/>
    <n v="11271.03"/>
    <n v="146523.39000000001"/>
    <n v="0"/>
    <n v="0"/>
    <n v="146523.39000000001"/>
    <s v="Processing"/>
    <s v="Pending"/>
  </r>
  <r>
    <s v="INV-2026-00057"/>
    <x v="43"/>
    <s v="East"/>
    <s v="Guwahati"/>
    <s v="Distributor"/>
    <s v="Meera Joshi"/>
    <s v="Omega Stores"/>
    <x v="4"/>
    <s v="T-Shirt"/>
    <n v="27"/>
    <n v="40229.06"/>
    <n v="1086184.6200000001"/>
    <n v="0"/>
    <n v="76319.520000000004"/>
    <n v="1009865.1"/>
    <s v="Completed"/>
    <s v="Paid"/>
  </r>
  <r>
    <s v="INV-2026-00058"/>
    <x v="14"/>
    <s v="South"/>
    <s v="Hyderabad"/>
    <s v="Distributor"/>
    <s v="Sneha Reddy"/>
    <s v="Alpha Trading"/>
    <x v="1"/>
    <s v="Cabinet"/>
    <n v="31"/>
    <n v="20949.79"/>
    <n v="649443.49"/>
    <n v="60163.62"/>
    <n v="0"/>
    <n v="589279.87"/>
    <s v="Pending"/>
    <s v="Pending"/>
  </r>
  <r>
    <s v="INV-2026-00059"/>
    <x v="44"/>
    <s v="East"/>
    <s v="Guwahati"/>
    <s v="Direct Sales"/>
    <s v="Sneha Reddy"/>
    <s v="Elite Enterprises"/>
    <x v="1"/>
    <s v="Desk"/>
    <n v="39"/>
    <n v="9630.43"/>
    <n v="375586.77"/>
    <n v="34233.839999999997"/>
    <n v="0"/>
    <n v="341352.93"/>
    <s v="Cancelled"/>
    <s v="Pending"/>
  </r>
  <r>
    <s v="INV-2026-00060"/>
    <x v="39"/>
    <s v="North"/>
    <s v="Jaipur"/>
    <s v="Online"/>
    <s v="Meera Joshi"/>
    <s v="ABC Corp"/>
    <x v="0"/>
    <s v="Printer Paper"/>
    <n v="42"/>
    <n v="48364.27"/>
    <n v="2031299.34"/>
    <n v="35031.699999999997"/>
    <n v="0"/>
    <n v="1996267.64"/>
    <s v="Pending"/>
    <s v="Paid"/>
  </r>
  <r>
    <s v="INV-2026-00061"/>
    <x v="22"/>
    <s v="Central"/>
    <s v="Raipur"/>
    <s v="Distributor"/>
    <s v="Rahul Sharma"/>
    <s v="Nexus Ltd"/>
    <x v="1"/>
    <s v="Conference Table"/>
    <n v="29"/>
    <n v="11088.78"/>
    <n v="321574.62"/>
    <n v="0"/>
    <n v="0"/>
    <n v="321574.62"/>
    <s v="Cancelled"/>
    <s v="Pending"/>
  </r>
  <r>
    <s v="INV-2026-00062"/>
    <x v="21"/>
    <s v="West"/>
    <s v="Mumbai"/>
    <s v="Retail Store"/>
    <s v="Rahul Sharma"/>
    <s v="Alpha Trading"/>
    <x v="5"/>
    <s v="Air Conditioner"/>
    <n v="47"/>
    <n v="30029.82"/>
    <n v="1411401.54"/>
    <n v="0"/>
    <n v="0"/>
    <n v="1411401.54"/>
    <s v="Cancelled"/>
    <s v="Pending"/>
  </r>
  <r>
    <s v="INV-2026-00063"/>
    <x v="24"/>
    <s v="West"/>
    <s v="Mumbai"/>
    <s v="Distributor"/>
    <s v="Amit Kumar"/>
    <s v="Nexus Ltd"/>
    <x v="2"/>
    <s v="Gym Equipment"/>
    <n v="20"/>
    <n v="12158.26"/>
    <n v="243165.2"/>
    <n v="46362.99"/>
    <n v="0"/>
    <n v="196802.21"/>
    <s v="Pending"/>
    <s v="Pending"/>
  </r>
  <r>
    <s v="INV-2026-00064"/>
    <x v="34"/>
    <s v="West"/>
    <s v="Surat"/>
    <s v="Distributor"/>
    <s v="Priya Patel"/>
    <s v="Prime Retail"/>
    <x v="2"/>
    <s v="Bicycle"/>
    <n v="33"/>
    <n v="39778.589999999997"/>
    <n v="1312693.47"/>
    <n v="0"/>
    <n v="0"/>
    <n v="1312693.47"/>
    <s v="Processing"/>
    <s v="Paid"/>
  </r>
  <r>
    <s v="INV-2026-00065"/>
    <x v="45"/>
    <s v="Central"/>
    <s v="Indore"/>
    <s v="Online"/>
    <s v="Suresh Gupta"/>
    <s v="Nexus Ltd"/>
    <x v="1"/>
    <s v="Office Chair"/>
    <n v="7"/>
    <n v="50147.55"/>
    <n v="351032.85"/>
    <n v="46191.67"/>
    <n v="0"/>
    <n v="304841.18"/>
    <s v="Completed"/>
    <s v="Paid"/>
  </r>
  <r>
    <s v="INV-2026-00066"/>
    <x v="46"/>
    <s v="North"/>
    <s v="Lucknow"/>
    <s v="Online"/>
    <s v="Priya Patel"/>
    <s v="Nexus Ltd"/>
    <x v="0"/>
    <s v="File Folder"/>
    <n v="4"/>
    <n v="42002.21"/>
    <n v="168008.84"/>
    <n v="15451.31"/>
    <n v="0"/>
    <n v="152557.53"/>
    <s v="Processing"/>
    <s v="Paid"/>
  </r>
  <r>
    <s v="INV-2026-00067"/>
    <x v="47"/>
    <s v="North"/>
    <s v="Chandigarh"/>
    <s v="Direct Sales"/>
    <s v="Anita Desai"/>
    <s v="Tech Solutions"/>
    <x v="1"/>
    <s v="Bookshelf"/>
    <n v="16"/>
    <n v="34017.96"/>
    <n v="544287.36"/>
    <n v="0"/>
    <n v="0"/>
    <n v="544287.36"/>
    <s v="Completed"/>
    <s v="Paid"/>
  </r>
  <r>
    <s v="INV-2026-00068"/>
    <x v="17"/>
    <s v="East"/>
    <s v="Guwahati"/>
    <s v="Direct Sales"/>
    <s v="Rajesh Verma"/>
    <s v="Elite Enterprises"/>
    <x v="3"/>
    <s v="Camera"/>
    <n v="17"/>
    <n v="40447.050000000003"/>
    <n v="687599.85"/>
    <n v="57610.67"/>
    <n v="0"/>
    <n v="629989.18000000005"/>
    <s v="Pending"/>
    <s v="Pending"/>
  </r>
  <r>
    <s v="INV-2026-00069"/>
    <x v="1"/>
    <s v="Central"/>
    <s v="Indore"/>
    <s v="Retail Store"/>
    <s v="Rajesh Verma"/>
    <s v="XYZ Ltd"/>
    <x v="1"/>
    <s v="Sofa"/>
    <n v="50"/>
    <n v="11929.84"/>
    <n v="596492"/>
    <n v="0"/>
    <n v="0"/>
    <n v="596492"/>
    <s v="Processing"/>
    <s v="Pending"/>
  </r>
  <r>
    <s v="INV-2026-00070"/>
    <x v="2"/>
    <s v="South"/>
    <s v="Hyderabad"/>
    <s v="Distributor"/>
    <s v="Suresh Gupta"/>
    <s v="Global Traders"/>
    <x v="5"/>
    <s v="Washing Machine"/>
    <n v="2"/>
    <n v="41084.79"/>
    <n v="82169.58"/>
    <n v="14870.59"/>
    <n v="0"/>
    <n v="67298.990000000005"/>
    <s v="Completed"/>
    <s v="Paid"/>
  </r>
  <r>
    <s v="INV-2026-00071"/>
    <x v="48"/>
    <s v="North"/>
    <s v="Jaipur"/>
    <s v="Retail Store"/>
    <s v="Rahul Sharma"/>
    <s v="Metro Mart"/>
    <x v="4"/>
    <s v="T-Shirt"/>
    <n v="40"/>
    <n v="30894.53"/>
    <n v="1235781.2"/>
    <n v="212665.8"/>
    <n v="193610.62"/>
    <n v="829504.78"/>
    <s v="Pending"/>
    <s v="Pending"/>
  </r>
  <r>
    <s v="INV-2026-00072"/>
    <x v="49"/>
    <s v="South"/>
    <s v="Chennai"/>
    <s v="Online"/>
    <s v="Vijay Singh"/>
    <s v="Digital Hub"/>
    <x v="5"/>
    <s v="Air Conditioner"/>
    <n v="46"/>
    <n v="35658.78"/>
    <n v="1640303.88"/>
    <n v="0"/>
    <n v="0"/>
    <n v="1640303.88"/>
    <s v="Cancelled"/>
    <s v="Pending"/>
  </r>
  <r>
    <s v="INV-2026-00073"/>
    <x v="33"/>
    <s v="Central"/>
    <s v="Raipur"/>
    <s v="Retail Store"/>
    <s v="Amit Kumar"/>
    <s v="Metro Mart"/>
    <x v="5"/>
    <s v="TV"/>
    <n v="5"/>
    <n v="33409.980000000003"/>
    <n v="167049.9"/>
    <n v="0"/>
    <n v="0"/>
    <n v="167049.9"/>
    <s v="Cancelled"/>
    <s v="Pending"/>
  </r>
  <r>
    <s v="INV-2026-00074"/>
    <x v="50"/>
    <s v="West"/>
    <s v="Mumbai"/>
    <s v="Online"/>
    <s v="Rajesh Verma"/>
    <s v="Alpha Trading"/>
    <x v="2"/>
    <s v="Cricket Bat"/>
    <n v="10"/>
    <n v="33466.79"/>
    <n v="334667.90000000002"/>
    <n v="63445.85"/>
    <n v="0"/>
    <n v="271222.05"/>
    <s v="Completed"/>
    <s v="Paid"/>
  </r>
  <r>
    <s v="INV-2026-00075"/>
    <x v="51"/>
    <s v="West"/>
    <s v="Surat"/>
    <s v="Direct Sales"/>
    <s v="Vijay Singh"/>
    <s v="Digital Hub"/>
    <x v="5"/>
    <s v="TV"/>
    <n v="28"/>
    <n v="47796.29"/>
    <n v="1338296.1200000001"/>
    <n v="0"/>
    <n v="0"/>
    <n v="1338296.1200000001"/>
    <s v="Pending"/>
    <s v="Paid"/>
  </r>
  <r>
    <s v="INV-2026-00076"/>
    <x v="12"/>
    <s v="Central"/>
    <s v="Bhopal"/>
    <s v="Distributor"/>
    <s v="Meera Joshi"/>
    <s v="Skyline Corp"/>
    <x v="1"/>
    <s v="Office Chair"/>
    <n v="42"/>
    <n v="7360.23"/>
    <n v="309129.65999999997"/>
    <n v="21797.74"/>
    <n v="0"/>
    <n v="287331.92"/>
    <s v="Cancelled"/>
    <s v="Pending"/>
  </r>
  <r>
    <s v="INV-2026-00077"/>
    <x v="18"/>
    <s v="West"/>
    <s v="Pune"/>
    <s v="Distributor"/>
    <s v="Amit Kumar"/>
    <s v="Future Tech"/>
    <x v="5"/>
    <s v="Refrigerator"/>
    <n v="6"/>
    <n v="49167.71"/>
    <n v="295006.26"/>
    <n v="4363.34"/>
    <n v="0"/>
    <n v="290642.92"/>
    <s v="Cancelled"/>
    <s v="Pending"/>
  </r>
  <r>
    <s v="INV-2026-00078"/>
    <x v="17"/>
    <s v="South"/>
    <s v="Bangalore"/>
    <s v="Distributor"/>
    <s v="Vijay Singh"/>
    <s v="Urban Store"/>
    <x v="1"/>
    <s v="Bookshelf"/>
    <n v="37"/>
    <n v="8079.19"/>
    <n v="298930.03000000003"/>
    <n v="50212.4"/>
    <n v="0"/>
    <n v="248717.63"/>
    <s v="Completed"/>
    <s v="Paid"/>
  </r>
  <r>
    <s v="INV-2026-00079"/>
    <x v="52"/>
    <s v="North"/>
    <s v="Jaipur"/>
    <s v="Distributor"/>
    <s v="Meera Joshi"/>
    <s v="Smart Systems"/>
    <x v="2"/>
    <s v="Cricket Bat"/>
    <n v="37"/>
    <n v="11033.69"/>
    <n v="408246.53"/>
    <n v="0"/>
    <n v="0"/>
    <n v="408246.53"/>
    <s v="Completed"/>
    <s v="Paid"/>
  </r>
  <r>
    <s v="INV-2026-00080"/>
    <x v="53"/>
    <s v="East"/>
    <s v="Kolkata"/>
    <s v="Retail Store"/>
    <s v="Amit Kumar"/>
    <s v="Smart Systems"/>
    <x v="1"/>
    <s v="Bookshelf"/>
    <n v="5"/>
    <n v="40329.870000000003"/>
    <n v="201649.35"/>
    <n v="0"/>
    <n v="0"/>
    <n v="201649.35"/>
    <s v="Pending"/>
    <s v="Pending"/>
  </r>
  <r>
    <s v="INV-2026-00081"/>
    <x v="51"/>
    <s v="Central"/>
    <s v="Raipur"/>
    <s v="Retail Store"/>
    <s v="Rahul Sharma"/>
    <s v="Smart Systems"/>
    <x v="4"/>
    <s v="Jacket"/>
    <n v="44"/>
    <n v="37312.67"/>
    <n v="1641757.48"/>
    <n v="0"/>
    <n v="0"/>
    <n v="1641757.48"/>
    <s v="Processing"/>
    <s v="Paid"/>
  </r>
  <r>
    <s v="INV-2026-00082"/>
    <x v="54"/>
    <s v="West"/>
    <s v="Pune"/>
    <s v="Direct Sales"/>
    <s v="Anita Desai"/>
    <s v="Urban Store"/>
    <x v="5"/>
    <s v="TV"/>
    <n v="32"/>
    <n v="49181.56"/>
    <n v="1573809.92"/>
    <n v="0"/>
    <n v="0"/>
    <n v="1573809.92"/>
    <s v="Completed"/>
    <s v="Paid"/>
  </r>
  <r>
    <s v="INV-2026-00083"/>
    <x v="55"/>
    <s v="West"/>
    <s v="Ahmedabad"/>
    <s v="Distributor"/>
    <s v="Rajesh Verma"/>
    <s v="Tech Solutions"/>
    <x v="5"/>
    <s v="TV"/>
    <n v="41"/>
    <n v="43838.239999999998"/>
    <n v="1797367.84"/>
    <n v="0"/>
    <n v="0"/>
    <n v="1797367.84"/>
    <s v="Completed"/>
    <s v="Paid"/>
  </r>
  <r>
    <s v="INV-2026-00084"/>
    <x v="26"/>
    <s v="North"/>
    <s v="Delhi"/>
    <s v="Direct Sales"/>
    <s v="Rahul Sharma"/>
    <s v="Smart Systems"/>
    <x v="4"/>
    <s v="Jeans"/>
    <n v="15"/>
    <n v="23905.82"/>
    <n v="358587.3"/>
    <n v="71671.34"/>
    <n v="8983.69"/>
    <n v="277932.27"/>
    <s v="Completed"/>
    <s v="Paid"/>
  </r>
  <r>
    <s v="INV-2026-00085"/>
    <x v="46"/>
    <s v="South"/>
    <s v="Bangalore"/>
    <s v="Distributor"/>
    <s v="Sneha Reddy"/>
    <s v="Smart Systems"/>
    <x v="3"/>
    <s v="Smart Watch"/>
    <n v="23"/>
    <n v="4394.59"/>
    <n v="101075.57"/>
    <n v="15095.74"/>
    <n v="0"/>
    <n v="85979.83"/>
    <s v="Processing"/>
    <s v="Pending"/>
  </r>
  <r>
    <s v="INV-2026-00086"/>
    <x v="54"/>
    <s v="West"/>
    <s v="Surat"/>
    <s v="Direct Sales"/>
    <s v="Suresh Gupta"/>
    <s v="ABC Corp"/>
    <x v="1"/>
    <s v="Bookshelf"/>
    <n v="18"/>
    <n v="24556.43"/>
    <n v="442015.74"/>
    <n v="0"/>
    <n v="0"/>
    <n v="442015.74"/>
    <s v="Processing"/>
    <s v="Pending"/>
  </r>
  <r>
    <s v="INV-2026-00087"/>
    <x v="42"/>
    <s v="East"/>
    <s v="Kolkata"/>
    <s v="Distributor"/>
    <s v="Rajesh Verma"/>
    <s v="Metro Mart"/>
    <x v="1"/>
    <s v="Office Chair"/>
    <n v="27"/>
    <n v="4901.17"/>
    <n v="132331.59"/>
    <n v="0"/>
    <n v="0"/>
    <n v="132331.59"/>
    <s v="Pending"/>
    <s v="Pending"/>
  </r>
  <r>
    <s v="INV-2026-00088"/>
    <x v="56"/>
    <s v="East"/>
    <s v="Kolkata"/>
    <s v="Retail Store"/>
    <s v="Vijay Singh"/>
    <s v="Digital Hub"/>
    <x v="1"/>
    <s v="Bookshelf"/>
    <n v="13"/>
    <n v="7685.82"/>
    <n v="99915.66"/>
    <n v="0"/>
    <n v="0"/>
    <n v="99915.66"/>
    <s v="Completed"/>
    <s v="Paid"/>
  </r>
  <r>
    <s v="INV-2026-00089"/>
    <x v="34"/>
    <s v="North"/>
    <s v="Chandigarh"/>
    <s v="Online"/>
    <s v="Amit Kumar"/>
    <s v="Nexus Ltd"/>
    <x v="2"/>
    <s v="Tennis Racket"/>
    <n v="17"/>
    <n v="37026.11"/>
    <n v="629443.87"/>
    <n v="108715.39"/>
    <n v="0"/>
    <n v="520728.48"/>
    <s v="Completed"/>
    <s v="Pending"/>
  </r>
  <r>
    <s v="INV-2026-00090"/>
    <x v="46"/>
    <s v="North"/>
    <s v="Chandigarh"/>
    <s v="Retail Store"/>
    <s v="Vijay Singh"/>
    <s v="Prime Retail"/>
    <x v="5"/>
    <s v="Air Conditioner"/>
    <n v="9"/>
    <n v="11785.14"/>
    <n v="106066.26"/>
    <n v="1593.44"/>
    <n v="0"/>
    <n v="104472.82"/>
    <s v="Pending"/>
    <s v="Pending"/>
  </r>
  <r>
    <s v="INV-2026-00091"/>
    <x v="6"/>
    <s v="Central"/>
    <s v="Indore"/>
    <s v="Direct Sales"/>
    <s v="Kavita Nair"/>
    <s v="Smart Systems"/>
    <x v="0"/>
    <s v="Printer Paper"/>
    <n v="15"/>
    <n v="26131.25"/>
    <n v="391968.75"/>
    <n v="63834.7"/>
    <n v="0"/>
    <n v="328134.05"/>
    <s v="Processing"/>
    <s v="Paid"/>
  </r>
  <r>
    <s v="INV-2026-00092"/>
    <x v="55"/>
    <s v="South"/>
    <s v="Chennai"/>
    <s v="Online"/>
    <s v="Rajesh Verma"/>
    <s v="Future Tech"/>
    <x v="0"/>
    <s v="Notebook"/>
    <n v="1"/>
    <n v="45777.27"/>
    <n v="45777.27"/>
    <n v="8668.48"/>
    <n v="0"/>
    <n v="37108.79"/>
    <s v="Cancelled"/>
    <s v="Pending"/>
  </r>
  <r>
    <s v="INV-2026-00093"/>
    <x v="57"/>
    <s v="North"/>
    <s v="Lucknow"/>
    <s v="Retail Store"/>
    <s v="Anita Desai"/>
    <s v="Skyline Corp"/>
    <x v="0"/>
    <s v="Desk Organizer"/>
    <n v="46"/>
    <n v="6919.67"/>
    <n v="318304.82"/>
    <n v="1407.19"/>
    <n v="0"/>
    <n v="316897.63"/>
    <s v="Completed"/>
    <s v="Paid"/>
  </r>
  <r>
    <s v="INV-2026-00094"/>
    <x v="42"/>
    <s v="South"/>
    <s v="Bangalore"/>
    <s v="Online"/>
    <s v="Kavita Nair"/>
    <s v="Smart Systems"/>
    <x v="4"/>
    <s v="T-Shirt"/>
    <n v="17"/>
    <n v="33913.31"/>
    <n v="576526.27"/>
    <n v="0"/>
    <n v="0"/>
    <n v="576526.27"/>
    <s v="Completed"/>
    <s v="Paid"/>
  </r>
  <r>
    <s v="INV-2026-00095"/>
    <x v="26"/>
    <s v="North"/>
    <s v="Lucknow"/>
    <s v="Direct Sales"/>
    <s v="Vijay Singh"/>
    <s v="Global Traders"/>
    <x v="1"/>
    <s v="Bookshelf"/>
    <n v="38"/>
    <n v="33166.339999999997"/>
    <n v="1260320.92"/>
    <n v="1645.88"/>
    <n v="0"/>
    <n v="1258675.04"/>
    <s v="Pending"/>
    <s v="Pending"/>
  </r>
  <r>
    <s v="INV-2026-00096"/>
    <x v="11"/>
    <s v="North"/>
    <s v="Delhi"/>
    <s v="Direct Sales"/>
    <s v="Rahul Sharma"/>
    <s v="Smart Systems"/>
    <x v="0"/>
    <s v="File Folder"/>
    <n v="20"/>
    <n v="5438.17"/>
    <n v="108763.4"/>
    <n v="0"/>
    <n v="16214.77"/>
    <n v="92548.63"/>
    <s v="Pending"/>
    <s v="Pending"/>
  </r>
  <r>
    <s v="INV-2026-00097"/>
    <x v="3"/>
    <s v="North"/>
    <s v="Lucknow"/>
    <s v="Online"/>
    <s v="Kavita Nair"/>
    <s v="Nexus Ltd"/>
    <x v="1"/>
    <s v="Sofa"/>
    <n v="20"/>
    <n v="3729.61"/>
    <n v="74592.2"/>
    <n v="0"/>
    <n v="0"/>
    <n v="74592.2"/>
    <s v="Cancelled"/>
    <s v="Pending"/>
  </r>
  <r>
    <s v="INV-2026-00098"/>
    <x v="49"/>
    <s v="South"/>
    <s v="Kochi"/>
    <s v="Online"/>
    <s v="Amit Kumar"/>
    <s v="Global Traders"/>
    <x v="1"/>
    <s v="Office Chair"/>
    <n v="16"/>
    <n v="2179.09"/>
    <n v="34865.440000000002"/>
    <n v="0"/>
    <n v="0"/>
    <n v="34865.440000000002"/>
    <s v="Pending"/>
    <s v="Paid"/>
  </r>
  <r>
    <s v="INV-2026-00099"/>
    <x v="58"/>
    <s v="East"/>
    <s v="Bhubaneswar"/>
    <s v="Online"/>
    <s v="Kavita Nair"/>
    <s v="Skyline Corp"/>
    <x v="4"/>
    <s v="Formal Shirt"/>
    <n v="39"/>
    <n v="3413.32"/>
    <n v="133119.48000000001"/>
    <n v="24716.28"/>
    <n v="0"/>
    <n v="108403.2"/>
    <s v="Processing"/>
    <s v="Pending"/>
  </r>
  <r>
    <s v="INV-2026-00100"/>
    <x v="59"/>
    <s v="Central"/>
    <s v="Bhopal"/>
    <s v="Distributor"/>
    <s v="Anita Desai"/>
    <s v="Omega Stores"/>
    <x v="1"/>
    <s v="Sofa"/>
    <n v="17"/>
    <n v="15636.07"/>
    <n v="265813.19"/>
    <n v="0"/>
    <n v="0"/>
    <n v="265813.19"/>
    <s v="Completed"/>
    <s v="Pending"/>
  </r>
  <r>
    <s v="INV-2026-00101"/>
    <x v="10"/>
    <s v="Central"/>
    <s v="Raipur"/>
    <s v="Online"/>
    <s v="Rahul Sharma"/>
    <s v="ABC Corp"/>
    <x v="3"/>
    <s v="Smartphone"/>
    <n v="10"/>
    <n v="42929.59"/>
    <n v="429295.9"/>
    <n v="12862.14"/>
    <n v="0"/>
    <n v="416433.76"/>
    <s v="Processing"/>
    <s v="Pending"/>
  </r>
  <r>
    <s v="INV-2026-00102"/>
    <x v="4"/>
    <s v="West"/>
    <s v="Pune"/>
    <s v="Distributor"/>
    <s v="Sneha Reddy"/>
    <s v="Prime Retail"/>
    <x v="0"/>
    <s v="Whiteboard"/>
    <n v="36"/>
    <n v="45543.6"/>
    <n v="1639569.6"/>
    <n v="10355.030000000001"/>
    <n v="0"/>
    <n v="1629214.57"/>
    <s v="Completed"/>
    <s v="Paid"/>
  </r>
  <r>
    <s v="INV-2026-00103"/>
    <x v="60"/>
    <s v="Central"/>
    <s v="Raipur"/>
    <s v="Retail Store"/>
    <s v="Rajesh Verma"/>
    <s v="Alpha Trading"/>
    <x v="3"/>
    <s v="Smartphone"/>
    <n v="30"/>
    <n v="37480.050000000003"/>
    <n v="1124401.5"/>
    <n v="128389.35"/>
    <n v="0"/>
    <n v="996012.15"/>
    <s v="Processing"/>
    <s v="Pending"/>
  </r>
  <r>
    <s v="INV-2026-00104"/>
    <x v="61"/>
    <s v="South"/>
    <s v="Kochi"/>
    <s v="Direct Sales"/>
    <s v="Suresh Gupta"/>
    <s v="Omega Stores"/>
    <x v="3"/>
    <s v="Headphones"/>
    <n v="27"/>
    <n v="23649.66"/>
    <n v="638540.81999999995"/>
    <n v="0"/>
    <n v="22061.59"/>
    <n v="616479.23"/>
    <s v="Processing"/>
    <s v="Pending"/>
  </r>
  <r>
    <s v="INV-2026-00105"/>
    <x v="62"/>
    <s v="South"/>
    <s v="Kochi"/>
    <s v="Retail Store"/>
    <s v="Vijay Singh"/>
    <s v="Tech Solutions"/>
    <x v="5"/>
    <s v="Microwave"/>
    <n v="13"/>
    <n v="45515.17"/>
    <n v="591697.21"/>
    <n v="0"/>
    <n v="0"/>
    <n v="591697.21"/>
    <s v="Cancelled"/>
    <s v="Pending"/>
  </r>
  <r>
    <s v="INV-2026-00106"/>
    <x v="38"/>
    <s v="South"/>
    <s v="Bangalore"/>
    <s v="Retail Store"/>
    <s v="Rajesh Verma"/>
    <s v="Alpha Trading"/>
    <x v="4"/>
    <s v="Jacket"/>
    <n v="32"/>
    <n v="44799.61"/>
    <n v="1433587.52"/>
    <n v="73307.75"/>
    <n v="0"/>
    <n v="1360279.77"/>
    <s v="Processing"/>
    <s v="Pending"/>
  </r>
  <r>
    <s v="INV-2026-00107"/>
    <x v="1"/>
    <s v="West"/>
    <s v="Ahmedabad"/>
    <s v="Distributor"/>
    <s v="Vijay Singh"/>
    <s v="Smart Systems"/>
    <x v="1"/>
    <s v="Office Chair"/>
    <n v="19"/>
    <n v="24529.48"/>
    <n v="466060.12"/>
    <n v="0"/>
    <n v="47516.67"/>
    <n v="418543.45"/>
    <s v="Pending"/>
    <s v="Pending"/>
  </r>
  <r>
    <s v="INV-2026-00108"/>
    <x v="54"/>
    <s v="Central"/>
    <s v="Indore"/>
    <s v="Retail Store"/>
    <s v="Suresh Gupta"/>
    <s v="Nexus Ltd"/>
    <x v="5"/>
    <s v="TV"/>
    <n v="33"/>
    <n v="21839.31"/>
    <n v="720697.23"/>
    <n v="0"/>
    <n v="0"/>
    <n v="720697.23"/>
    <s v="Cancelled"/>
    <s v="Pending"/>
  </r>
  <r>
    <s v="INV-2026-00109"/>
    <x v="38"/>
    <s v="South"/>
    <s v="Chennai"/>
    <s v="Online"/>
    <s v="Vijay Singh"/>
    <s v="XYZ Ltd"/>
    <x v="2"/>
    <s v="Tennis Racket"/>
    <n v="46"/>
    <n v="24706.400000000001"/>
    <n v="1136494.3999999999"/>
    <n v="92607.38"/>
    <n v="0"/>
    <n v="1043887.02"/>
    <s v="Pending"/>
    <s v="Pending"/>
  </r>
  <r>
    <s v="INV-2026-00110"/>
    <x v="12"/>
    <s v="North"/>
    <s v="Chandigarh"/>
    <s v="Direct Sales"/>
    <s v="Rahul Sharma"/>
    <s v="Omega Stores"/>
    <x v="5"/>
    <s v="Microwave"/>
    <n v="45"/>
    <n v="33887.760000000002"/>
    <n v="1524949.2"/>
    <n v="0"/>
    <n v="0"/>
    <n v="1524949.2"/>
    <s v="Pending"/>
    <s v="Pending"/>
  </r>
  <r>
    <s v="INV-2026-00111"/>
    <x v="63"/>
    <s v="East"/>
    <s v="Kolkata"/>
    <s v="Online"/>
    <s v="Suresh Gupta"/>
    <s v="Smart Systems"/>
    <x v="3"/>
    <s v="Headphones"/>
    <n v="9"/>
    <n v="39653.75"/>
    <n v="356883.75"/>
    <n v="8950.16"/>
    <n v="0"/>
    <n v="347933.59"/>
    <s v="Completed"/>
    <s v="Paid"/>
  </r>
  <r>
    <s v="INV-2026-00112"/>
    <x v="45"/>
    <s v="West"/>
    <s v="Ahmedabad"/>
    <s v="Distributor"/>
    <s v="Amit Kumar"/>
    <s v="Future Tech"/>
    <x v="0"/>
    <s v="Printer Paper"/>
    <n v="35"/>
    <n v="42657.77"/>
    <n v="1493021.95"/>
    <n v="122906.02"/>
    <n v="0"/>
    <n v="1370115.93"/>
    <s v="Cancelled"/>
    <s v="Pending"/>
  </r>
  <r>
    <s v="INV-2026-00113"/>
    <x v="26"/>
    <s v="North"/>
    <s v="Chandigarh"/>
    <s v="Direct Sales"/>
    <s v="Amit Kumar"/>
    <s v="ABC Corp"/>
    <x v="1"/>
    <s v="Bookshelf"/>
    <n v="9"/>
    <n v="28594.01"/>
    <n v="257346.09"/>
    <n v="16724.22"/>
    <n v="0"/>
    <n v="240621.87"/>
    <s v="Completed"/>
    <s v="Paid"/>
  </r>
  <r>
    <s v="INV-2026-00114"/>
    <x v="26"/>
    <s v="North"/>
    <s v="Jaipur"/>
    <s v="Online"/>
    <s v="Anita Desai"/>
    <s v="Omega Stores"/>
    <x v="2"/>
    <s v="Tennis Racket"/>
    <n v="29"/>
    <n v="27277.43"/>
    <n v="791045.47"/>
    <n v="11672.57"/>
    <n v="0"/>
    <n v="779372.9"/>
    <s v="Pending"/>
    <s v="Pending"/>
  </r>
  <r>
    <s v="INV-2026-00115"/>
    <x v="64"/>
    <s v="Central"/>
    <s v="Indore"/>
    <s v="Direct Sales"/>
    <s v="Amit Kumar"/>
    <s v="Global Traders"/>
    <x v="1"/>
    <s v="Desk"/>
    <n v="1"/>
    <n v="33815.410000000003"/>
    <n v="33815.410000000003"/>
    <n v="4961.3900000000003"/>
    <n v="0"/>
    <n v="28854.02"/>
    <s v="Cancelled"/>
    <s v="Pending"/>
  </r>
  <r>
    <s v="INV-2026-00116"/>
    <x v="24"/>
    <s v="North"/>
    <s v="Lucknow"/>
    <s v="Retail Store"/>
    <s v="Suresh Gupta"/>
    <s v="Urban Store"/>
    <x v="1"/>
    <s v="Cabinet"/>
    <n v="19"/>
    <n v="9615.56"/>
    <n v="182695.64"/>
    <n v="10302.59"/>
    <n v="0"/>
    <n v="172393.05"/>
    <s v="Processing"/>
    <s v="Pending"/>
  </r>
  <r>
    <s v="INV-2026-00117"/>
    <x v="65"/>
    <s v="West"/>
    <s v="Pune"/>
    <s v="Retail Store"/>
    <s v="Vijay Singh"/>
    <s v="Metro Mart"/>
    <x v="0"/>
    <s v="Pen Set"/>
    <n v="31"/>
    <n v="17212.62"/>
    <n v="533591.22"/>
    <n v="28433.19"/>
    <n v="0"/>
    <n v="505158.03"/>
    <s v="Pending"/>
    <s v="Paid"/>
  </r>
  <r>
    <s v="INV-2026-00118"/>
    <x v="18"/>
    <s v="South"/>
    <s v="Chennai"/>
    <s v="Distributor"/>
    <s v="Suresh Gupta"/>
    <s v="Future Tech"/>
    <x v="3"/>
    <s v="Camera"/>
    <n v="24"/>
    <n v="45909.66"/>
    <n v="1101831.8400000001"/>
    <n v="163310.04"/>
    <n v="0"/>
    <n v="938521.8"/>
    <s v="Processing"/>
    <s v="Pending"/>
  </r>
  <r>
    <s v="INV-2026-00119"/>
    <x v="22"/>
    <s v="East"/>
    <s v="Bhubaneswar"/>
    <s v="Retail Store"/>
    <s v="Priya Patel"/>
    <s v="Elite Enterprises"/>
    <x v="3"/>
    <s v="Smart Watch"/>
    <n v="3"/>
    <n v="35267.18"/>
    <n v="105801.54"/>
    <n v="16353.49"/>
    <n v="0"/>
    <n v="89448.05"/>
    <s v="Cancelled"/>
    <s v="Pending"/>
  </r>
  <r>
    <s v="INV-2026-00120"/>
    <x v="63"/>
    <s v="North"/>
    <s v="Lucknow"/>
    <s v="Retail Store"/>
    <s v="Amit Kumar"/>
    <s v="Digital Hub"/>
    <x v="2"/>
    <s v="Bicycle"/>
    <n v="17"/>
    <n v="44662.29"/>
    <n v="759258.93"/>
    <n v="0"/>
    <n v="0"/>
    <n v="759258.93"/>
    <s v="Processing"/>
    <s v="Pending"/>
  </r>
  <r>
    <s v="INV-2026-00121"/>
    <x v="66"/>
    <s v="North"/>
    <s v="Chandigarh"/>
    <s v="Distributor"/>
    <s v="Rajesh Verma"/>
    <s v="Smart Systems"/>
    <x v="3"/>
    <s v="Smartphone"/>
    <n v="38"/>
    <n v="30157"/>
    <n v="1145966"/>
    <n v="0"/>
    <n v="10243.41"/>
    <n v="1135722.5900000001"/>
    <s v="Cancelled"/>
    <s v="Pending"/>
  </r>
  <r>
    <s v="INV-2026-00122"/>
    <x v="20"/>
    <s v="South"/>
    <s v="Chennai"/>
    <s v="Online"/>
    <s v="Rahul Sharma"/>
    <s v="Global Traders"/>
    <x v="0"/>
    <s v="Notebook"/>
    <n v="2"/>
    <n v="9137.23"/>
    <n v="18274.46"/>
    <n v="3587.46"/>
    <n v="0"/>
    <n v="14687"/>
    <s v="Pending"/>
    <s v="Pending"/>
  </r>
  <r>
    <s v="INV-2026-00123"/>
    <x v="58"/>
    <s v="West"/>
    <s v="Pune"/>
    <s v="Direct Sales"/>
    <s v="Kavita Nair"/>
    <s v="Tech Solutions"/>
    <x v="5"/>
    <s v="Washing Machine"/>
    <n v="5"/>
    <n v="3727.77"/>
    <n v="18638.849999999999"/>
    <n v="2594.6"/>
    <n v="0"/>
    <n v="16044.25"/>
    <s v="Cancelled"/>
    <s v="Pending"/>
  </r>
  <r>
    <s v="INV-2026-00124"/>
    <x v="67"/>
    <s v="South"/>
    <s v="Kochi"/>
    <s v="Direct Sales"/>
    <s v="Meera Joshi"/>
    <s v="Global Traders"/>
    <x v="0"/>
    <s v="File Folder"/>
    <n v="17"/>
    <n v="34148.57"/>
    <n v="580525.68999999994"/>
    <n v="0"/>
    <n v="0"/>
    <n v="580525.68999999994"/>
    <s v="Processing"/>
    <s v="Pending"/>
  </r>
  <r>
    <s v="INV-2026-00125"/>
    <x v="29"/>
    <s v="Central"/>
    <s v="Nagpur"/>
    <s v="Distributor"/>
    <s v="Suresh Gupta"/>
    <s v="Urban Store"/>
    <x v="5"/>
    <s v="Refrigerator"/>
    <n v="18"/>
    <n v="16405.09"/>
    <n v="295291.62"/>
    <n v="49187.83"/>
    <n v="0"/>
    <n v="246103.79"/>
    <s v="Cancelled"/>
    <s v="Pending"/>
  </r>
  <r>
    <s v="INV-2026-00126"/>
    <x v="68"/>
    <s v="East"/>
    <s v="Guwahati"/>
    <s v="Direct Sales"/>
    <s v="Amit Kumar"/>
    <s v="Nexus Ltd"/>
    <x v="5"/>
    <s v="Air Conditioner"/>
    <n v="49"/>
    <n v="19702.099999999999"/>
    <n v="965402.9"/>
    <n v="0"/>
    <n v="0"/>
    <n v="965402.9"/>
    <s v="Completed"/>
    <s v="Paid"/>
  </r>
  <r>
    <s v="INV-2026-00127"/>
    <x v="30"/>
    <s v="North"/>
    <s v="Chandigarh"/>
    <s v="Online"/>
    <s v="Anita Desai"/>
    <s v="Nexus Ltd"/>
    <x v="4"/>
    <s v="T-Shirt"/>
    <n v="17"/>
    <n v="17425.580000000002"/>
    <n v="296234.86"/>
    <n v="51372.1"/>
    <n v="695.14"/>
    <n v="244167.62"/>
    <s v="Completed"/>
    <s v="Paid"/>
  </r>
  <r>
    <s v="INV-2026-00128"/>
    <x v="45"/>
    <s v="East"/>
    <s v="Kolkata"/>
    <s v="Retail Store"/>
    <s v="Priya Patel"/>
    <s v="Digital Hub"/>
    <x v="1"/>
    <s v="Bookshelf"/>
    <n v="33"/>
    <n v="33424.18"/>
    <n v="1102997.94"/>
    <n v="8296.85"/>
    <n v="0"/>
    <n v="1094701.0900000001"/>
    <s v="Pending"/>
    <s v="Paid"/>
  </r>
  <r>
    <s v="INV-2026-00129"/>
    <x v="27"/>
    <s v="Central"/>
    <s v="Raipur"/>
    <s v="Retail Store"/>
    <s v="Priya Patel"/>
    <s v="Metro Mart"/>
    <x v="5"/>
    <s v="Vacuum Cleaner"/>
    <n v="2"/>
    <n v="11890.48"/>
    <n v="23780.959999999999"/>
    <n v="0"/>
    <n v="0"/>
    <n v="23780.959999999999"/>
    <s v="Pending"/>
    <s v="Paid"/>
  </r>
  <r>
    <s v="INV-2026-00130"/>
    <x v="58"/>
    <s v="Central"/>
    <s v="Bhopal"/>
    <s v="Distributor"/>
    <s v="Amit Kumar"/>
    <s v="Future Tech"/>
    <x v="5"/>
    <s v="Microwave"/>
    <n v="4"/>
    <n v="15591.78"/>
    <n v="62367.12"/>
    <n v="0"/>
    <n v="0"/>
    <n v="62367.12"/>
    <s v="Cancelled"/>
    <s v="Pending"/>
  </r>
  <r>
    <s v="INV-2026-00131"/>
    <x v="30"/>
    <s v="North"/>
    <s v="Delhi"/>
    <s v="Direct Sales"/>
    <s v="Amit Kumar"/>
    <s v="Elite Enterprises"/>
    <x v="4"/>
    <s v="Jeans"/>
    <n v="11"/>
    <n v="30395.74"/>
    <n v="334353.14"/>
    <n v="49338.55"/>
    <n v="0"/>
    <n v="285014.59000000003"/>
    <s v="Cancelled"/>
    <s v="Pending"/>
  </r>
  <r>
    <s v="INV-2026-00132"/>
    <x v="67"/>
    <s v="East"/>
    <s v="Guwahati"/>
    <s v="Online"/>
    <s v="Amit Kumar"/>
    <s v="Prime Retail"/>
    <x v="5"/>
    <s v="Refrigerator"/>
    <n v="22"/>
    <n v="24269.54"/>
    <n v="533929.88"/>
    <n v="30428.68"/>
    <n v="0"/>
    <n v="503501.2"/>
    <s v="Pending"/>
    <s v="Pending"/>
  </r>
  <r>
    <s v="INV-2026-00133"/>
    <x v="69"/>
    <s v="East"/>
    <s v="Kolkata"/>
    <s v="Online"/>
    <s v="Suresh Gupta"/>
    <s v="Skyline Corp"/>
    <x v="1"/>
    <s v="Conference Table"/>
    <n v="11"/>
    <n v="24830.57"/>
    <n v="273136.27"/>
    <n v="48998.75"/>
    <n v="0"/>
    <n v="224137.52"/>
    <s v="Pending"/>
    <s v="Pending"/>
  </r>
  <r>
    <s v="INV-2026-00134"/>
    <x v="0"/>
    <s v="South"/>
    <s v="Bangalore"/>
    <s v="Online"/>
    <s v="Meera Joshi"/>
    <s v="XYZ Ltd"/>
    <x v="4"/>
    <s v="Jeans"/>
    <n v="3"/>
    <n v="615.47"/>
    <n v="1846.41"/>
    <n v="269.66000000000003"/>
    <n v="60.9"/>
    <n v="1515.85"/>
    <s v="Processing"/>
    <s v="Paid"/>
  </r>
  <r>
    <s v="INV-2026-00135"/>
    <x v="2"/>
    <s v="South"/>
    <s v="Kochi"/>
    <s v="Retail Store"/>
    <s v="Kavita Nair"/>
    <s v="Tech Solutions"/>
    <x v="5"/>
    <s v="Refrigerator"/>
    <n v="3"/>
    <n v="30096.16"/>
    <n v="90288.48"/>
    <n v="11060.92"/>
    <n v="0"/>
    <n v="79227.56"/>
    <s v="Cancelled"/>
    <s v="Pending"/>
  </r>
  <r>
    <s v="INV-2026-00136"/>
    <x v="24"/>
    <s v="North"/>
    <s v="Chandigarh"/>
    <s v="Retail Store"/>
    <s v="Sneha Reddy"/>
    <s v="Nexus Ltd"/>
    <x v="4"/>
    <s v="Shoes"/>
    <n v="9"/>
    <n v="35414.83"/>
    <n v="318733.46999999997"/>
    <n v="34530.519999999997"/>
    <n v="0"/>
    <n v="284202.95"/>
    <s v="Processing"/>
    <s v="Pending"/>
  </r>
  <r>
    <s v="INV-2026-00137"/>
    <x v="70"/>
    <s v="East"/>
    <s v="Kolkata"/>
    <s v="Direct Sales"/>
    <s v="Amit Kumar"/>
    <s v="ABC Corp"/>
    <x v="0"/>
    <s v="File Folder"/>
    <n v="47"/>
    <n v="33236.699999999997"/>
    <n v="1562124.9"/>
    <n v="281180.98"/>
    <n v="0"/>
    <n v="1280943.92"/>
    <s v="Pending"/>
    <s v="Pending"/>
  </r>
  <r>
    <s v="INV-2026-00138"/>
    <x v="41"/>
    <s v="North"/>
    <s v="Jaipur"/>
    <s v="Online"/>
    <s v="Suresh Gupta"/>
    <s v="Alpha Trading"/>
    <x v="4"/>
    <s v="Dress"/>
    <n v="26"/>
    <n v="20924.97"/>
    <n v="544049.22"/>
    <n v="0"/>
    <n v="0"/>
    <n v="544049.22"/>
    <s v="Processing"/>
    <s v="Paid"/>
  </r>
  <r>
    <s v="INV-2026-00139"/>
    <x v="71"/>
    <s v="West"/>
    <s v="Mumbai"/>
    <s v="Online"/>
    <s v="Meera Joshi"/>
    <s v="Global Traders"/>
    <x v="3"/>
    <s v="Laptop"/>
    <n v="3"/>
    <n v="34604.83"/>
    <n v="103814.49"/>
    <n v="11841.67"/>
    <n v="14218.11"/>
    <n v="77754.710000000006"/>
    <s v="Pending"/>
    <s v="Pending"/>
  </r>
  <r>
    <s v="INV-2026-00140"/>
    <x v="46"/>
    <s v="East"/>
    <s v="Patna"/>
    <s v="Direct Sales"/>
    <s v="Kavita Nair"/>
    <s v="Prime Retail"/>
    <x v="4"/>
    <s v="T-Shirt"/>
    <n v="46"/>
    <n v="40000.550000000003"/>
    <n v="1840025.3"/>
    <n v="0"/>
    <n v="0"/>
    <n v="1840025.3"/>
    <s v="Processing"/>
    <s v="Pending"/>
  </r>
  <r>
    <s v="INV-2026-00141"/>
    <x v="18"/>
    <s v="Central"/>
    <s v="Indore"/>
    <s v="Online"/>
    <s v="Amit Kumar"/>
    <s v="Smart Systems"/>
    <x v="3"/>
    <s v="Camera"/>
    <n v="1"/>
    <n v="12032.85"/>
    <n v="12032.85"/>
    <n v="750.31"/>
    <n v="1190.56"/>
    <n v="10091.98"/>
    <s v="Cancelled"/>
    <s v="Pending"/>
  </r>
  <r>
    <s v="INV-2026-00142"/>
    <x v="43"/>
    <s v="Central"/>
    <s v="Indore"/>
    <s v="Retail Store"/>
    <s v="Rahul Sharma"/>
    <s v="Nexus Ltd"/>
    <x v="5"/>
    <s v="Microwave"/>
    <n v="33"/>
    <n v="26522.23"/>
    <n v="875233.59"/>
    <n v="87354.58"/>
    <n v="0"/>
    <n v="787879.01"/>
    <s v="Pending"/>
    <s v="Pending"/>
  </r>
  <r>
    <s v="INV-2026-00143"/>
    <x v="13"/>
    <s v="South"/>
    <s v="Chennai"/>
    <s v="Distributor"/>
    <s v="Kavita Nair"/>
    <s v="Omega Stores"/>
    <x v="4"/>
    <s v="Jeans"/>
    <n v="47"/>
    <n v="11566.03"/>
    <n v="543603.41"/>
    <n v="39130.82"/>
    <n v="0"/>
    <n v="504472.59"/>
    <s v="Processing"/>
    <s v="Paid"/>
  </r>
  <r>
    <s v="INV-2026-00144"/>
    <x v="26"/>
    <s v="East"/>
    <s v="Bhubaneswar"/>
    <s v="Distributor"/>
    <s v="Priya Patel"/>
    <s v="Elite Enterprises"/>
    <x v="2"/>
    <s v="Yoga Mat"/>
    <n v="26"/>
    <n v="7618.03"/>
    <n v="198068.78"/>
    <n v="0"/>
    <n v="0"/>
    <n v="198068.78"/>
    <s v="Processing"/>
    <s v="Pending"/>
  </r>
  <r>
    <s v="INV-2026-00145"/>
    <x v="19"/>
    <s v="Central"/>
    <s v="Bhopal"/>
    <s v="Retail Store"/>
    <s v="Rajesh Verma"/>
    <s v="Elite Enterprises"/>
    <x v="5"/>
    <s v="Refrigerator"/>
    <n v="3"/>
    <n v="49433.96"/>
    <n v="148301.88"/>
    <n v="583.33000000000004"/>
    <n v="0"/>
    <n v="147718.54999999999"/>
    <s v="Completed"/>
    <s v="Overdue"/>
  </r>
  <r>
    <s v="INV-2026-00146"/>
    <x v="72"/>
    <s v="South"/>
    <s v="Kochi"/>
    <s v="Direct Sales"/>
    <s v="Rajesh Verma"/>
    <s v="Urban Store"/>
    <x v="5"/>
    <s v="Washing Machine"/>
    <n v="32"/>
    <n v="25064.720000000001"/>
    <n v="802071.04000000004"/>
    <n v="0"/>
    <n v="0"/>
    <n v="802071.04000000004"/>
    <s v="Cancelled"/>
    <s v="Pending"/>
  </r>
  <r>
    <s v="INV-2026-00147"/>
    <x v="20"/>
    <s v="West"/>
    <s v="Mumbai"/>
    <s v="Distributor"/>
    <s v="Priya Patel"/>
    <s v="Metro Mart"/>
    <x v="0"/>
    <s v="Desk Organizer"/>
    <n v="46"/>
    <n v="38424.89"/>
    <n v="1767544.94"/>
    <n v="0"/>
    <n v="518043.92"/>
    <n v="1249501.02"/>
    <s v="Completed"/>
    <s v="Paid"/>
  </r>
  <r>
    <s v="INV-2026-00148"/>
    <x v="18"/>
    <s v="North"/>
    <s v="Chandigarh"/>
    <s v="Direct Sales"/>
    <s v="Sneha Reddy"/>
    <s v="Prime Retail"/>
    <x v="4"/>
    <s v="Shoes"/>
    <n v="16"/>
    <n v="14112.08"/>
    <n v="225793.28"/>
    <n v="4907.47"/>
    <n v="17772.169999999998"/>
    <n v="203113.64"/>
    <s v="Cancelled"/>
    <s v="Pending"/>
  </r>
  <r>
    <s v="INV-2026-00149"/>
    <x v="68"/>
    <s v="South"/>
    <s v="Chennai"/>
    <s v="Online"/>
    <s v="Kavita Nair"/>
    <s v="Elite Enterprises"/>
    <x v="3"/>
    <s v="Tablet"/>
    <n v="25"/>
    <n v="46617.599999999999"/>
    <n v="1165440"/>
    <n v="110305.1"/>
    <n v="0"/>
    <n v="1055134.8999999999"/>
    <s v="Completed"/>
    <s v="Overdue"/>
  </r>
  <r>
    <s v="INV-2026-00150"/>
    <x v="72"/>
    <s v="West"/>
    <s v="Surat"/>
    <s v="Distributor"/>
    <s v="Priya Patel"/>
    <s v="Nexus Ltd"/>
    <x v="4"/>
    <s v="T-Shirt"/>
    <n v="45"/>
    <n v="13893.41"/>
    <n v="625203.44999999995"/>
    <n v="0"/>
    <n v="0"/>
    <n v="625203.44999999995"/>
    <s v="Pending"/>
    <s v="Pending"/>
  </r>
  <r>
    <s v="INV-2026-00151"/>
    <x v="33"/>
    <s v="South"/>
    <s v="Kochi"/>
    <s v="Online"/>
    <s v="Sneha Reddy"/>
    <s v="Nexus Ltd"/>
    <x v="1"/>
    <s v="Office Chair"/>
    <n v="38"/>
    <n v="8365.83"/>
    <n v="317901.53999999998"/>
    <n v="22461.34"/>
    <n v="0"/>
    <n v="295440.2"/>
    <s v="Processing"/>
    <s v="Pending"/>
  </r>
  <r>
    <s v="INV-2026-00152"/>
    <x v="28"/>
    <s v="Central"/>
    <s v="Nagpur"/>
    <s v="Online"/>
    <s v="Vijay Singh"/>
    <s v="Future Tech"/>
    <x v="4"/>
    <s v="Jacket"/>
    <n v="25"/>
    <n v="41403.97"/>
    <n v="1035099.25"/>
    <n v="0"/>
    <n v="0"/>
    <n v="1035099.25"/>
    <s v="Pending"/>
    <s v="Pending"/>
  </r>
  <r>
    <s v="INV-2026-00153"/>
    <x v="28"/>
    <s v="West"/>
    <s v="Pune"/>
    <s v="Retail Store"/>
    <s v="Suresh Gupta"/>
    <s v="Tech Solutions"/>
    <x v="2"/>
    <s v="Bicycle"/>
    <n v="47"/>
    <n v="1442.05"/>
    <n v="67776.350000000006"/>
    <n v="13433.86"/>
    <n v="0"/>
    <n v="54342.49"/>
    <s v="Processing"/>
    <s v="Pending"/>
  </r>
  <r>
    <s v="INV-2026-00154"/>
    <x v="19"/>
    <s v="East"/>
    <s v="Kolkata"/>
    <s v="Direct Sales"/>
    <s v="Kavita Nair"/>
    <s v="Urban Store"/>
    <x v="2"/>
    <s v="Bicycle"/>
    <n v="46"/>
    <n v="22768.5"/>
    <n v="1047351"/>
    <n v="81661.5"/>
    <n v="0"/>
    <n v="965689.5"/>
    <s v="Processing"/>
    <s v="Pending"/>
  </r>
  <r>
    <s v="INV-2026-00155"/>
    <x v="17"/>
    <s v="East"/>
    <s v="Patna"/>
    <s v="Distributor"/>
    <s v="Anita Desai"/>
    <s v="Alpha Trading"/>
    <x v="4"/>
    <s v="Dress"/>
    <n v="4"/>
    <n v="47690.7"/>
    <n v="190762.8"/>
    <n v="9532.9699999999993"/>
    <n v="0"/>
    <n v="181229.83"/>
    <s v="Pending"/>
    <s v="Pending"/>
  </r>
  <r>
    <s v="INV-2026-00156"/>
    <x v="73"/>
    <s v="North"/>
    <s v="Lucknow"/>
    <s v="Online"/>
    <s v="Suresh Gupta"/>
    <s v="Alpha Trading"/>
    <x v="5"/>
    <s v="Vacuum Cleaner"/>
    <n v="9"/>
    <n v="30743.88"/>
    <n v="276694.92"/>
    <n v="50990.49"/>
    <n v="0"/>
    <n v="225704.43"/>
    <s v="Processing"/>
    <s v="Paid"/>
  </r>
  <r>
    <s v="INV-2026-00157"/>
    <x v="74"/>
    <s v="South"/>
    <s v="Chennai"/>
    <s v="Online"/>
    <s v="Kavita Nair"/>
    <s v="Prime Retail"/>
    <x v="1"/>
    <s v="Conference Table"/>
    <n v="45"/>
    <n v="30464.67"/>
    <n v="1370910.15"/>
    <n v="873.78"/>
    <n v="233867.49"/>
    <n v="1136168.8799999999"/>
    <s v="Processing"/>
    <s v="Pending"/>
  </r>
  <r>
    <s v="INV-2026-00158"/>
    <x v="53"/>
    <s v="West"/>
    <s v="Ahmedabad"/>
    <s v="Distributor"/>
    <s v="Meera Joshi"/>
    <s v="Metro Mart"/>
    <x v="2"/>
    <s v="Gym Equipment"/>
    <n v="31"/>
    <n v="21843.81"/>
    <n v="677158.11"/>
    <n v="0"/>
    <n v="0"/>
    <n v="677158.11"/>
    <s v="Completed"/>
    <s v="Paid"/>
  </r>
  <r>
    <s v="INV-2026-00159"/>
    <x v="0"/>
    <s v="Central"/>
    <s v="Bhopal"/>
    <s v="Online"/>
    <s v="Anita Desai"/>
    <s v="XYZ Ltd"/>
    <x v="5"/>
    <s v="TV"/>
    <n v="14"/>
    <n v="18692.29"/>
    <n v="261692.06"/>
    <n v="0"/>
    <n v="0"/>
    <n v="261692.06"/>
    <s v="Pending"/>
    <s v="Pending"/>
  </r>
  <r>
    <s v="INV-2026-00160"/>
    <x v="41"/>
    <s v="East"/>
    <s v="Guwahati"/>
    <s v="Direct Sales"/>
    <s v="Anita Desai"/>
    <s v="Alpha Trading"/>
    <x v="0"/>
    <s v="Whiteboard"/>
    <n v="39"/>
    <n v="46995.6"/>
    <n v="1832828.4"/>
    <n v="48591.28"/>
    <n v="0"/>
    <n v="1784237.12"/>
    <s v="Cancelled"/>
    <s v="Pending"/>
  </r>
  <r>
    <s v="INV-2026-00161"/>
    <x v="39"/>
    <s v="North"/>
    <s v="Jaipur"/>
    <s v="Distributor"/>
    <s v="Amit Kumar"/>
    <s v="Omega Stores"/>
    <x v="3"/>
    <s v="Smart Watch"/>
    <n v="46"/>
    <n v="33872.14"/>
    <n v="1558118.44"/>
    <n v="198543.17"/>
    <n v="0"/>
    <n v="1359575.27"/>
    <s v="Processing"/>
    <s v="Pending"/>
  </r>
  <r>
    <s v="INV-2026-00162"/>
    <x v="18"/>
    <s v="West"/>
    <s v="Pune"/>
    <s v="Direct Sales"/>
    <s v="Vijay Singh"/>
    <s v="Elite Enterprises"/>
    <x v="2"/>
    <s v="Tennis Racket"/>
    <n v="44"/>
    <n v="33884.129999999997"/>
    <n v="1490901.72"/>
    <n v="0"/>
    <n v="0"/>
    <n v="1490901.72"/>
    <s v="Pending"/>
    <s v="Pending"/>
  </r>
  <r>
    <s v="INV-2026-00163"/>
    <x v="5"/>
    <s v="South"/>
    <s v="Hyderabad"/>
    <s v="Direct Sales"/>
    <s v="Sneha Reddy"/>
    <s v="Omega Stores"/>
    <x v="2"/>
    <s v="Football"/>
    <n v="46"/>
    <n v="3434.66"/>
    <n v="157994.35999999999"/>
    <n v="2842.72"/>
    <n v="0"/>
    <n v="155151.64000000001"/>
    <s v="Cancelled"/>
    <s v="Pending"/>
  </r>
  <r>
    <s v="INV-2026-00164"/>
    <x v="57"/>
    <s v="South"/>
    <s v="Chennai"/>
    <s v="Retail Store"/>
    <s v="Kavita Nair"/>
    <s v="Future Tech"/>
    <x v="1"/>
    <s v="Bookshelf"/>
    <n v="28"/>
    <n v="28183.55"/>
    <n v="789139.4"/>
    <n v="0"/>
    <n v="0"/>
    <n v="789139.4"/>
    <s v="Pending"/>
    <s v="Pending"/>
  </r>
  <r>
    <s v="INV-2026-00165"/>
    <x v="3"/>
    <s v="South"/>
    <s v="Chennai"/>
    <s v="Direct Sales"/>
    <s v="Priya Patel"/>
    <s v="Skyline Corp"/>
    <x v="3"/>
    <s v="Smart Watch"/>
    <n v="41"/>
    <n v="43109.120000000003"/>
    <n v="1767473.92"/>
    <n v="183495.41"/>
    <n v="0"/>
    <n v="1583978.51"/>
    <s v="Processing"/>
    <s v="Paid"/>
  </r>
  <r>
    <s v="INV-2026-00166"/>
    <x v="34"/>
    <s v="South"/>
    <s v="Bangalore"/>
    <s v="Direct Sales"/>
    <s v="Anita Desai"/>
    <s v="Prime Retail"/>
    <x v="5"/>
    <s v="Air Conditioner"/>
    <n v="19"/>
    <n v="2097.04"/>
    <n v="39843.760000000002"/>
    <n v="0"/>
    <n v="0"/>
    <n v="39843.760000000002"/>
    <s v="Processing"/>
    <s v="Paid"/>
  </r>
  <r>
    <s v="INV-2026-00167"/>
    <x v="45"/>
    <s v="East"/>
    <s v="Kolkata"/>
    <s v="Retail Store"/>
    <s v="Amit Kumar"/>
    <s v="ABC Corp"/>
    <x v="0"/>
    <s v="Notebook"/>
    <n v="8"/>
    <n v="2476.6799999999998"/>
    <n v="19813.439999999999"/>
    <n v="1147.71"/>
    <n v="0"/>
    <n v="18665.73"/>
    <s v="Cancelled"/>
    <s v="Pending"/>
  </r>
  <r>
    <s v="INV-2026-00168"/>
    <x v="75"/>
    <s v="South"/>
    <s v="Hyderabad"/>
    <s v="Direct Sales"/>
    <s v="Priya Patel"/>
    <s v="Tech Solutions"/>
    <x v="1"/>
    <s v="Sofa"/>
    <n v="44"/>
    <n v="16539.29"/>
    <n v="727728.76"/>
    <n v="46386.99"/>
    <n v="0"/>
    <n v="681341.77"/>
    <s v="Processing"/>
    <s v="Pending"/>
  </r>
  <r>
    <s v="INV-2026-00169"/>
    <x v="76"/>
    <s v="East"/>
    <s v="Patna"/>
    <s v="Direct Sales"/>
    <s v="Suresh Gupta"/>
    <s v="Prime Retail"/>
    <x v="4"/>
    <s v="Dress"/>
    <n v="42"/>
    <n v="33246.46"/>
    <n v="1396351.32"/>
    <n v="154366.21"/>
    <n v="0"/>
    <n v="1241985.1100000001"/>
    <s v="Processing"/>
    <s v="Pending"/>
  </r>
  <r>
    <s v="INV-2026-00170"/>
    <x v="29"/>
    <s v="West"/>
    <s v="Mumbai"/>
    <s v="Distributor"/>
    <s v="Priya Patel"/>
    <s v="Omega Stores"/>
    <x v="2"/>
    <s v="Bicycle"/>
    <n v="24"/>
    <n v="21581.24"/>
    <n v="517949.76"/>
    <n v="26340.6"/>
    <n v="0"/>
    <n v="491609.16"/>
    <s v="Pending"/>
    <s v="Pending"/>
  </r>
  <r>
    <s v="INV-2026-00171"/>
    <x v="76"/>
    <s v="North"/>
    <s v="Lucknow"/>
    <s v="Distributor"/>
    <s v="Sneha Reddy"/>
    <s v="XYZ Ltd"/>
    <x v="2"/>
    <s v="Gym Equipment"/>
    <n v="32"/>
    <n v="28342.36"/>
    <n v="906955.52"/>
    <n v="150514.81"/>
    <n v="0"/>
    <n v="756440.71"/>
    <s v="Pending"/>
    <s v="Paid"/>
  </r>
  <r>
    <s v="INV-2026-00172"/>
    <x v="77"/>
    <s v="West"/>
    <s v="Mumbai"/>
    <s v="Direct Sales"/>
    <s v="Vijay Singh"/>
    <s v="Omega Stores"/>
    <x v="4"/>
    <s v="Shoes"/>
    <n v="41"/>
    <n v="3881.07"/>
    <n v="159123.87"/>
    <n v="17775"/>
    <n v="25586.89"/>
    <n v="115761.98"/>
    <s v="Processing"/>
    <s v="Pending"/>
  </r>
  <r>
    <s v="INV-2026-00173"/>
    <x v="22"/>
    <s v="East"/>
    <s v="Bhubaneswar"/>
    <s v="Direct Sales"/>
    <s v="Suresh Gupta"/>
    <s v="Nexus Ltd"/>
    <x v="2"/>
    <s v="Tennis Racket"/>
    <n v="48"/>
    <n v="23835.48"/>
    <n v="1144103.04"/>
    <n v="214705.9"/>
    <n v="0"/>
    <n v="929397.14"/>
    <s v="Cancelled"/>
    <s v="Pending"/>
  </r>
  <r>
    <s v="INV-2026-00174"/>
    <x v="59"/>
    <s v="South"/>
    <s v="Hyderabad"/>
    <s v="Online"/>
    <s v="Priya Patel"/>
    <s v="Skyline Corp"/>
    <x v="0"/>
    <s v="File Folder"/>
    <n v="36"/>
    <n v="45896.94"/>
    <n v="1652289.84"/>
    <n v="324011.88"/>
    <n v="0"/>
    <n v="1328277.96"/>
    <s v="Cancelled"/>
    <s v="Pending"/>
  </r>
  <r>
    <s v="INV-2026-00175"/>
    <x v="64"/>
    <s v="South"/>
    <s v="Bangalore"/>
    <s v="Direct Sales"/>
    <s v="Vijay Singh"/>
    <s v="Digital Hub"/>
    <x v="3"/>
    <s v="Smart Watch"/>
    <n v="7"/>
    <n v="8322.1299999999992"/>
    <n v="58254.91"/>
    <n v="833.34"/>
    <n v="0"/>
    <n v="57421.57"/>
    <s v="Pending"/>
    <s v="Paid"/>
  </r>
  <r>
    <s v="INV-2026-00176"/>
    <x v="7"/>
    <s v="East"/>
    <s v="Kolkata"/>
    <s v="Distributor"/>
    <s v="Amit Kumar"/>
    <s v="Tech Solutions"/>
    <x v="0"/>
    <s v="Printer Paper"/>
    <n v="6"/>
    <n v="47438.02"/>
    <n v="284628.12"/>
    <n v="0"/>
    <n v="0"/>
    <n v="284628.12"/>
    <s v="Pending"/>
    <s v="Pending"/>
  </r>
  <r>
    <s v="INV-2026-00177"/>
    <x v="35"/>
    <s v="South"/>
    <s v="Bangalore"/>
    <s v="Retail Store"/>
    <s v="Sneha Reddy"/>
    <s v="Smart Systems"/>
    <x v="4"/>
    <s v="Jacket"/>
    <n v="11"/>
    <n v="11555.36"/>
    <n v="127108.96"/>
    <n v="0"/>
    <n v="0"/>
    <n v="127108.96"/>
    <s v="Cancelled"/>
    <s v="Pending"/>
  </r>
  <r>
    <s v="INV-2026-00178"/>
    <x v="75"/>
    <s v="Central"/>
    <s v="Raipur"/>
    <s v="Direct Sales"/>
    <s v="Priya Patel"/>
    <s v="Smart Systems"/>
    <x v="1"/>
    <s v="Bookshelf"/>
    <n v="50"/>
    <n v="19608.47"/>
    <n v="980423.5"/>
    <n v="122136.65"/>
    <n v="0"/>
    <n v="858286.85"/>
    <s v="Processing"/>
    <s v="Pending"/>
  </r>
  <r>
    <s v="INV-2026-00179"/>
    <x v="5"/>
    <s v="Central"/>
    <s v="Raipur"/>
    <s v="Direct Sales"/>
    <s v="Anita Desai"/>
    <s v="Future Tech"/>
    <x v="5"/>
    <s v="Washing Machine"/>
    <n v="43"/>
    <n v="15316.03"/>
    <n v="658589.29"/>
    <n v="0"/>
    <n v="0"/>
    <n v="658589.29"/>
    <s v="Pending"/>
    <s v="Pending"/>
  </r>
  <r>
    <s v="INV-2026-00180"/>
    <x v="78"/>
    <s v="East"/>
    <s v="Kolkata"/>
    <s v="Retail Store"/>
    <s v="Priya Patel"/>
    <s v="Nexus Ltd"/>
    <x v="4"/>
    <s v="Dress"/>
    <n v="22"/>
    <n v="49532.82"/>
    <n v="1089722.04"/>
    <n v="0"/>
    <n v="0"/>
    <n v="1089722.04"/>
    <s v="Cancelled"/>
    <s v="Pending"/>
  </r>
  <r>
    <s v="INV-2026-00181"/>
    <x v="61"/>
    <s v="West"/>
    <s v="Pune"/>
    <s v="Retail Store"/>
    <s v="Priya Patel"/>
    <s v="Skyline Corp"/>
    <x v="5"/>
    <s v="Vacuum Cleaner"/>
    <n v="32"/>
    <n v="49217.29"/>
    <n v="1574953.28"/>
    <n v="190371.64"/>
    <n v="0"/>
    <n v="1384581.64"/>
    <s v="Processing"/>
    <s v="Pending"/>
  </r>
  <r>
    <s v="INV-2026-00182"/>
    <x v="62"/>
    <s v="West"/>
    <s v="Ahmedabad"/>
    <s v="Online"/>
    <s v="Vijay Singh"/>
    <s v="Nexus Ltd"/>
    <x v="0"/>
    <s v="Pen Set"/>
    <n v="48"/>
    <n v="4449.5"/>
    <n v="213576"/>
    <n v="0"/>
    <n v="0"/>
    <n v="213576"/>
    <s v="Processing"/>
    <s v="Paid"/>
  </r>
  <r>
    <s v="INV-2026-00183"/>
    <x v="79"/>
    <s v="Central"/>
    <s v="Raipur"/>
    <s v="Retail Store"/>
    <s v="Rajesh Verma"/>
    <s v="Omega Stores"/>
    <x v="0"/>
    <s v="Notebook"/>
    <n v="50"/>
    <n v="7634.49"/>
    <n v="381724.5"/>
    <n v="59044.6"/>
    <n v="0"/>
    <n v="322679.90000000002"/>
    <s v="Processing"/>
    <s v="Pending"/>
  </r>
  <r>
    <s v="INV-2026-00184"/>
    <x v="5"/>
    <s v="West"/>
    <s v="Mumbai"/>
    <s v="Direct Sales"/>
    <s v="Priya Patel"/>
    <s v="Skyline Corp"/>
    <x v="2"/>
    <s v="Gym Equipment"/>
    <n v="7"/>
    <n v="31659.95"/>
    <n v="221619.65"/>
    <n v="22458.29"/>
    <n v="0"/>
    <n v="199161.36"/>
    <s v="Processing"/>
    <s v="Pending"/>
  </r>
  <r>
    <s v="INV-2026-00185"/>
    <x v="47"/>
    <s v="East"/>
    <s v="Kolkata"/>
    <s v="Distributor"/>
    <s v="Sneha Reddy"/>
    <s v="Prime Retail"/>
    <x v="5"/>
    <s v="Microwave"/>
    <n v="26"/>
    <n v="17700.46"/>
    <n v="460211.96"/>
    <n v="0"/>
    <n v="36347.29"/>
    <n v="423864.67"/>
    <s v="Pending"/>
    <s v="Paid"/>
  </r>
  <r>
    <s v="INV-2026-00186"/>
    <x v="14"/>
    <s v="North"/>
    <s v="Delhi"/>
    <s v="Distributor"/>
    <s v="Amit Kumar"/>
    <s v="Alpha Trading"/>
    <x v="5"/>
    <s v="Air Conditioner"/>
    <n v="33"/>
    <n v="16678.8"/>
    <n v="550400.4"/>
    <n v="0"/>
    <n v="0"/>
    <n v="550400.4"/>
    <s v="Cancelled"/>
    <s v="Pending"/>
  </r>
  <r>
    <s v="INV-2026-00187"/>
    <x v="8"/>
    <s v="Central"/>
    <s v="Raipur"/>
    <s v="Retail Store"/>
    <s v="Kavita Nair"/>
    <s v="Smart Systems"/>
    <x v="3"/>
    <s v="Laptop"/>
    <n v="48"/>
    <n v="43415.46"/>
    <n v="2083942.08"/>
    <n v="0"/>
    <n v="595027.68000000005"/>
    <n v="1488914.4"/>
    <s v="Processing"/>
    <s v="Pending"/>
  </r>
  <r>
    <s v="INV-2026-00188"/>
    <x v="69"/>
    <s v="West"/>
    <s v="Mumbai"/>
    <s v="Distributor"/>
    <s v="Meera Joshi"/>
    <s v="Nexus Ltd"/>
    <x v="5"/>
    <s v="Microwave"/>
    <n v="49"/>
    <n v="1362.78"/>
    <n v="66776.22"/>
    <n v="0"/>
    <n v="13914.7"/>
    <n v="52861.52"/>
    <s v="Completed"/>
    <s v="Paid"/>
  </r>
  <r>
    <s v="INV-2026-00189"/>
    <x v="65"/>
    <s v="West"/>
    <s v="Mumbai"/>
    <s v="Direct Sales"/>
    <s v="Anita Desai"/>
    <s v="Smart Systems"/>
    <x v="1"/>
    <s v="Office Chair"/>
    <n v="18"/>
    <n v="19292.11"/>
    <n v="347257.98"/>
    <n v="0"/>
    <n v="37006.379999999997"/>
    <n v="310251.59999999998"/>
    <s v="Pending"/>
    <s v="Pending"/>
  </r>
  <r>
    <s v="INV-2026-00190"/>
    <x v="42"/>
    <s v="South"/>
    <s v="Kochi"/>
    <s v="Online"/>
    <s v="Meera Joshi"/>
    <s v="Global Traders"/>
    <x v="0"/>
    <s v="File Folder"/>
    <n v="12"/>
    <n v="29959.81"/>
    <n v="359517.72"/>
    <n v="61671.92"/>
    <n v="0"/>
    <n v="297845.8"/>
    <s v="Completed"/>
    <s v="Paid"/>
  </r>
  <r>
    <s v="INV-2026-00191"/>
    <x v="52"/>
    <s v="South"/>
    <s v="Chennai"/>
    <s v="Distributor"/>
    <s v="Rajesh Verma"/>
    <s v="XYZ Ltd"/>
    <x v="3"/>
    <s v="Tablet"/>
    <n v="4"/>
    <n v="18094.84"/>
    <n v="72379.360000000001"/>
    <n v="7131.16"/>
    <n v="0"/>
    <n v="65248.2"/>
    <s v="Cancelled"/>
    <s v="Pending"/>
  </r>
  <r>
    <s v="INV-2026-00192"/>
    <x v="80"/>
    <s v="North"/>
    <s v="Chandigarh"/>
    <s v="Online"/>
    <s v="Priya Patel"/>
    <s v="Future Tech"/>
    <x v="2"/>
    <s v="Yoga Mat"/>
    <n v="11"/>
    <n v="48424.57"/>
    <n v="532670.27"/>
    <n v="67031.490000000005"/>
    <n v="0"/>
    <n v="465638.78"/>
    <s v="Cancelled"/>
    <s v="Pending"/>
  </r>
  <r>
    <s v="INV-2026-00193"/>
    <x v="81"/>
    <s v="North"/>
    <s v="Jaipur"/>
    <s v="Distributor"/>
    <s v="Rajesh Verma"/>
    <s v="Digital Hub"/>
    <x v="3"/>
    <s v="Camera"/>
    <n v="14"/>
    <n v="16359.86"/>
    <n v="229038.04"/>
    <n v="2726.09"/>
    <n v="0"/>
    <n v="226311.95"/>
    <s v="Completed"/>
    <s v="Paid"/>
  </r>
  <r>
    <s v="INV-2026-00194"/>
    <x v="23"/>
    <s v="West"/>
    <s v="Pune"/>
    <s v="Direct Sales"/>
    <s v="Anita Desai"/>
    <s v="Prime Retail"/>
    <x v="0"/>
    <s v="Printer Paper"/>
    <n v="16"/>
    <n v="45214.81"/>
    <n v="723436.96"/>
    <n v="0"/>
    <n v="2813.88"/>
    <n v="720623.08"/>
    <s v="Pending"/>
    <s v="Pending"/>
  </r>
  <r>
    <s v="INV-2026-00195"/>
    <x v="52"/>
    <s v="North"/>
    <s v="Jaipur"/>
    <s v="Direct Sales"/>
    <s v="Priya Patel"/>
    <s v="Alpha Trading"/>
    <x v="2"/>
    <s v="Gym Equipment"/>
    <n v="3"/>
    <n v="48166.41"/>
    <n v="144499.23000000001"/>
    <n v="16833.95"/>
    <n v="5712.68"/>
    <n v="121952.6"/>
    <s v="Completed"/>
    <s v="Paid"/>
  </r>
  <r>
    <s v="INV-2026-00196"/>
    <x v="10"/>
    <s v="North"/>
    <s v="Lucknow"/>
    <s v="Distributor"/>
    <s v="Amit Kumar"/>
    <s v="Nexus Ltd"/>
    <x v="5"/>
    <s v="Microwave"/>
    <n v="11"/>
    <n v="17695.599999999999"/>
    <n v="194651.6"/>
    <n v="23115.24"/>
    <n v="0"/>
    <n v="171536.36"/>
    <s v="Processing"/>
    <s v="Pending"/>
  </r>
  <r>
    <s v="INV-2026-00197"/>
    <x v="67"/>
    <s v="East"/>
    <s v="Kolkata"/>
    <s v="Retail Store"/>
    <s v="Amit Kumar"/>
    <s v="Tech Solutions"/>
    <x v="1"/>
    <s v="Bookshelf"/>
    <n v="40"/>
    <n v="40750.49"/>
    <n v="1630019.6"/>
    <n v="0"/>
    <n v="0"/>
    <n v="1630019.6"/>
    <s v="Cancelled"/>
    <s v="Pending"/>
  </r>
  <r>
    <s v="INV-2026-00198"/>
    <x v="26"/>
    <s v="East"/>
    <s v="Kolkata"/>
    <s v="Distributor"/>
    <s v="Amit Kumar"/>
    <s v="Digital Hub"/>
    <x v="2"/>
    <s v="Football"/>
    <n v="11"/>
    <n v="6219.81"/>
    <n v="68417.91"/>
    <n v="0"/>
    <n v="0"/>
    <n v="68417.91"/>
    <s v="Processing"/>
    <s v="Pending"/>
  </r>
  <r>
    <s v="INV-2026-00199"/>
    <x v="25"/>
    <s v="South"/>
    <s v="Bangalore"/>
    <s v="Retail Store"/>
    <s v="Rajesh Verma"/>
    <s v="Prime Retail"/>
    <x v="5"/>
    <s v="Refrigerator"/>
    <n v="24"/>
    <n v="37677.43"/>
    <n v="904258.32"/>
    <n v="0"/>
    <n v="0"/>
    <n v="904258.32"/>
    <s v="Processing"/>
    <s v="Paid"/>
  </r>
  <r>
    <s v="INV-2026-00200"/>
    <x v="1"/>
    <s v="Central"/>
    <s v="Indore"/>
    <s v="Retail Store"/>
    <s v="Amit Kumar"/>
    <s v="Omega Stores"/>
    <x v="4"/>
    <s v="Jacket"/>
    <n v="36"/>
    <n v="1274.3499999999999"/>
    <n v="45876.6"/>
    <n v="0"/>
    <n v="0"/>
    <n v="45876.6"/>
    <s v="Pending"/>
    <s v="Pending"/>
  </r>
  <r>
    <s v="INV-2026-00201"/>
    <x v="31"/>
    <s v="South"/>
    <s v="Chennai"/>
    <s v="Direct Sales"/>
    <s v="Rajesh Verma"/>
    <s v="ABC Corp"/>
    <x v="3"/>
    <s v="Tablet"/>
    <n v="17"/>
    <n v="45628.71"/>
    <n v="775688.07"/>
    <n v="129530.01"/>
    <n v="0"/>
    <n v="646158.06000000006"/>
    <s v="Pending"/>
    <s v="Pending"/>
  </r>
  <r>
    <s v="INV-2026-00202"/>
    <x v="39"/>
    <s v="North"/>
    <s v="Chandigarh"/>
    <s v="Retail Store"/>
    <s v="Sneha Reddy"/>
    <s v="XYZ Ltd"/>
    <x v="1"/>
    <s v="Office Chair"/>
    <n v="48"/>
    <n v="27859.439999999999"/>
    <n v="1337253.1200000001"/>
    <n v="0"/>
    <n v="0"/>
    <n v="1337253.1200000001"/>
    <s v="Processing"/>
    <s v="Paid"/>
  </r>
  <r>
    <s v="INV-2026-00203"/>
    <x v="54"/>
    <s v="East"/>
    <s v="Bhubaneswar"/>
    <s v="Retail Store"/>
    <s v="Anita Desai"/>
    <s v="Urban Store"/>
    <x v="5"/>
    <s v="Air Conditioner"/>
    <n v="20"/>
    <n v="41829.480000000003"/>
    <n v="836589.6"/>
    <n v="0"/>
    <n v="0"/>
    <n v="836589.6"/>
    <s v="Pending"/>
    <s v="Pending"/>
  </r>
  <r>
    <s v="INV-2026-00204"/>
    <x v="16"/>
    <s v="West"/>
    <s v="Mumbai"/>
    <s v="Direct Sales"/>
    <s v="Suresh Gupta"/>
    <s v="Global Traders"/>
    <x v="4"/>
    <s v="Dress"/>
    <n v="16"/>
    <n v="15205.06"/>
    <n v="243280.96"/>
    <n v="16030.37"/>
    <n v="0"/>
    <n v="227250.59"/>
    <s v="Cancelled"/>
    <s v="Pending"/>
  </r>
  <r>
    <s v="INV-2026-00205"/>
    <x v="43"/>
    <s v="North"/>
    <s v="Delhi"/>
    <s v="Direct Sales"/>
    <s v="Rahul Sharma"/>
    <s v="ABC Corp"/>
    <x v="3"/>
    <s v="Camera"/>
    <n v="15"/>
    <n v="13013.74"/>
    <n v="195206.1"/>
    <n v="0"/>
    <n v="0"/>
    <n v="195206.1"/>
    <s v="Cancelled"/>
    <s v="Pending"/>
  </r>
  <r>
    <s v="INV-2026-00206"/>
    <x v="44"/>
    <s v="East"/>
    <s v="Guwahati"/>
    <s v="Online"/>
    <s v="Sneha Reddy"/>
    <s v="Prime Retail"/>
    <x v="5"/>
    <s v="Refrigerator"/>
    <n v="7"/>
    <n v="11391.09"/>
    <n v="79737.63"/>
    <n v="13621.85"/>
    <n v="0"/>
    <n v="66115.78"/>
    <s v="Pending"/>
    <s v="Paid"/>
  </r>
  <r>
    <s v="INV-2026-00207"/>
    <x v="48"/>
    <s v="West"/>
    <s v="Pune"/>
    <s v="Retail Store"/>
    <s v="Anita Desai"/>
    <s v="Future Tech"/>
    <x v="3"/>
    <s v="Headphones"/>
    <n v="12"/>
    <n v="17468.91"/>
    <n v="209626.92"/>
    <n v="0"/>
    <n v="0"/>
    <n v="209626.92"/>
    <s v="Completed"/>
    <s v="Paid"/>
  </r>
  <r>
    <s v="INV-2026-00208"/>
    <x v="82"/>
    <s v="Central"/>
    <s v="Indore"/>
    <s v="Direct Sales"/>
    <s v="Meera Joshi"/>
    <s v="Global Traders"/>
    <x v="1"/>
    <s v="Desk"/>
    <n v="14"/>
    <n v="33635.040000000001"/>
    <n v="470890.56"/>
    <n v="64692.36"/>
    <n v="0"/>
    <n v="406198.2"/>
    <s v="Completed"/>
    <s v="Paid"/>
  </r>
  <r>
    <s v="INV-2026-00209"/>
    <x v="38"/>
    <s v="North"/>
    <s v="Jaipur"/>
    <s v="Direct Sales"/>
    <s v="Suresh Gupta"/>
    <s v="Prime Retail"/>
    <x v="5"/>
    <s v="Refrigerator"/>
    <n v="7"/>
    <n v="17293.84"/>
    <n v="121056.88"/>
    <n v="3321.25"/>
    <n v="35793.21"/>
    <n v="81942.42"/>
    <s v="Processing"/>
    <s v="Pending"/>
  </r>
  <r>
    <s v="INV-2026-00210"/>
    <x v="76"/>
    <s v="North"/>
    <s v="Jaipur"/>
    <s v="Online"/>
    <s v="Vijay Singh"/>
    <s v="Future Tech"/>
    <x v="3"/>
    <s v="Smartphone"/>
    <n v="20"/>
    <n v="25212.37"/>
    <n v="504247.4"/>
    <n v="0"/>
    <n v="2331.14"/>
    <n v="501916.26"/>
    <s v="Completed"/>
    <s v="Paid"/>
  </r>
  <r>
    <s v="INV-2026-00211"/>
    <x v="35"/>
    <s v="North"/>
    <s v="Delhi"/>
    <s v="Retail Store"/>
    <s v="Rajesh Verma"/>
    <s v="Metro Mart"/>
    <x v="1"/>
    <s v="Conference Table"/>
    <n v="11"/>
    <n v="3651.81"/>
    <n v="40169.910000000003"/>
    <n v="1423.17"/>
    <n v="0"/>
    <n v="38746.74"/>
    <s v="Cancelled"/>
    <s v="Pending"/>
  </r>
  <r>
    <s v="INV-2026-00212"/>
    <x v="48"/>
    <s v="Central"/>
    <s v="Indore"/>
    <s v="Distributor"/>
    <s v="Anita Desai"/>
    <s v="Metro Mart"/>
    <x v="2"/>
    <s v="Yoga Mat"/>
    <n v="48"/>
    <n v="30150.81"/>
    <n v="1447238.88"/>
    <n v="0"/>
    <n v="0"/>
    <n v="1447238.88"/>
    <s v="Cancelled"/>
    <s v="Pending"/>
  </r>
  <r>
    <s v="INV-2026-00213"/>
    <x v="21"/>
    <s v="South"/>
    <s v="Chennai"/>
    <s v="Online"/>
    <s v="Meera Joshi"/>
    <s v="Elite Enterprises"/>
    <x v="5"/>
    <s v="Air Conditioner"/>
    <n v="30"/>
    <n v="34264.86"/>
    <n v="1027945.8"/>
    <n v="101327.5"/>
    <n v="207262.96"/>
    <n v="719355.34"/>
    <s v="Processing"/>
    <s v="Pending"/>
  </r>
  <r>
    <s v="INV-2026-00214"/>
    <x v="83"/>
    <s v="East"/>
    <s v="Bhubaneswar"/>
    <s v="Retail Store"/>
    <s v="Priya Patel"/>
    <s v="Elite Enterprises"/>
    <x v="3"/>
    <s v="Camera"/>
    <n v="41"/>
    <n v="7862.38"/>
    <n v="322357.58"/>
    <n v="5360.39"/>
    <n v="0"/>
    <n v="316997.19"/>
    <s v="Completed"/>
    <s v="Pending"/>
  </r>
  <r>
    <s v="INV-2026-00215"/>
    <x v="80"/>
    <s v="North"/>
    <s v="Delhi"/>
    <s v="Direct Sales"/>
    <s v="Anita Desai"/>
    <s v="Digital Hub"/>
    <x v="1"/>
    <s v="Office Chair"/>
    <n v="25"/>
    <n v="7718.41"/>
    <n v="192960.25"/>
    <n v="33498.839999999997"/>
    <n v="0"/>
    <n v="159461.41"/>
    <s v="Pending"/>
    <s v="Pending"/>
  </r>
  <r>
    <s v="INV-2026-00216"/>
    <x v="56"/>
    <s v="South"/>
    <s v="Kochi"/>
    <s v="Retail Store"/>
    <s v="Amit Kumar"/>
    <s v="Future Tech"/>
    <x v="5"/>
    <s v="TV"/>
    <n v="1"/>
    <n v="4439.9799999999996"/>
    <n v="4439.9799999999996"/>
    <n v="485.28"/>
    <n v="0"/>
    <n v="3954.7"/>
    <s v="Processing"/>
    <s v="Paid"/>
  </r>
  <r>
    <s v="INV-2026-00217"/>
    <x v="47"/>
    <s v="North"/>
    <s v="Chandigarh"/>
    <s v="Distributor"/>
    <s v="Amit Kumar"/>
    <s v="Prime Retail"/>
    <x v="0"/>
    <s v="Printer Paper"/>
    <n v="27"/>
    <n v="7211.42"/>
    <n v="194708.34"/>
    <n v="0"/>
    <n v="0"/>
    <n v="194708.34"/>
    <s v="Completed"/>
    <s v="Overdue"/>
  </r>
  <r>
    <s v="INV-2026-00218"/>
    <x v="66"/>
    <s v="North"/>
    <s v="Lucknow"/>
    <s v="Retail Store"/>
    <s v="Rajesh Verma"/>
    <s v="Smart Systems"/>
    <x v="5"/>
    <s v="Vacuum Cleaner"/>
    <n v="16"/>
    <n v="16799.03"/>
    <n v="268784.48"/>
    <n v="14493.56"/>
    <n v="0"/>
    <n v="254290.92"/>
    <s v="Completed"/>
    <s v="Paid"/>
  </r>
  <r>
    <s v="INV-2026-00219"/>
    <x v="9"/>
    <s v="West"/>
    <s v="Ahmedabad"/>
    <s v="Online"/>
    <s v="Rahul Sharma"/>
    <s v="Nexus Ltd"/>
    <x v="5"/>
    <s v="TV"/>
    <n v="12"/>
    <n v="41231.660000000003"/>
    <n v="494779.92"/>
    <n v="84504.72"/>
    <n v="0"/>
    <n v="410275.2"/>
    <s v="Cancelled"/>
    <s v="Pending"/>
  </r>
  <r>
    <s v="INV-2026-00220"/>
    <x v="16"/>
    <s v="Central"/>
    <s v="Nagpur"/>
    <s v="Online"/>
    <s v="Rajesh Verma"/>
    <s v="Elite Enterprises"/>
    <x v="3"/>
    <s v="Headphones"/>
    <n v="28"/>
    <n v="16727.32"/>
    <n v="468364.96"/>
    <n v="0"/>
    <n v="0"/>
    <n v="468364.96"/>
    <s v="Cancelled"/>
    <s v="Pending"/>
  </r>
  <r>
    <s v="INV-2026-00221"/>
    <x v="82"/>
    <s v="North"/>
    <s v="Chandigarh"/>
    <s v="Direct Sales"/>
    <s v="Rajesh Verma"/>
    <s v="Nexus Ltd"/>
    <x v="4"/>
    <s v="Formal Shirt"/>
    <n v="2"/>
    <n v="48332.09"/>
    <n v="96664.18"/>
    <n v="3949.67"/>
    <n v="0"/>
    <n v="92714.51"/>
    <s v="Completed"/>
    <s v="Pending"/>
  </r>
  <r>
    <s v="INV-2026-00222"/>
    <x v="11"/>
    <s v="West"/>
    <s v="Surat"/>
    <s v="Direct Sales"/>
    <s v="Amit Kumar"/>
    <s v="Alpha Trading"/>
    <x v="3"/>
    <s v="Smart Watch"/>
    <n v="8"/>
    <n v="26729.31"/>
    <n v="213834.48"/>
    <n v="30649.46"/>
    <n v="0"/>
    <n v="183185.02"/>
    <s v="Cancelled"/>
    <s v="Pending"/>
  </r>
  <r>
    <s v="INV-2026-00223"/>
    <x v="32"/>
    <s v="West"/>
    <s v="Ahmedabad"/>
    <s v="Direct Sales"/>
    <s v="Rajesh Verma"/>
    <s v="Nexus Ltd"/>
    <x v="5"/>
    <s v="Washing Machine"/>
    <n v="21"/>
    <n v="42636.959999999999"/>
    <n v="895376.16"/>
    <n v="34030.44"/>
    <n v="14132.68"/>
    <n v="847213.04"/>
    <s v="Cancelled"/>
    <s v="Pending"/>
  </r>
  <r>
    <s v="INV-2026-00224"/>
    <x v="3"/>
    <s v="South"/>
    <s v="Chennai"/>
    <s v="Retail Store"/>
    <s v="Vijay Singh"/>
    <s v="Urban Store"/>
    <x v="5"/>
    <s v="Refrigerator"/>
    <n v="17"/>
    <n v="16750.95"/>
    <n v="284766.15000000002"/>
    <n v="0"/>
    <n v="0"/>
    <n v="284766.15000000002"/>
    <s v="Pending"/>
    <s v="Paid"/>
  </r>
  <r>
    <s v="INV-2026-00225"/>
    <x v="34"/>
    <s v="West"/>
    <s v="Pune"/>
    <s v="Direct Sales"/>
    <s v="Kavita Nair"/>
    <s v="Urban Store"/>
    <x v="0"/>
    <s v="Printer Paper"/>
    <n v="8"/>
    <n v="3438.67"/>
    <n v="27509.360000000001"/>
    <n v="4719.8599999999997"/>
    <n v="2514.02"/>
    <n v="20275.48"/>
    <s v="Pending"/>
    <s v="Pending"/>
  </r>
  <r>
    <s v="INV-2026-00226"/>
    <x v="29"/>
    <s v="East"/>
    <s v="Bhubaneswar"/>
    <s v="Online"/>
    <s v="Rajesh Verma"/>
    <s v="Tech Solutions"/>
    <x v="3"/>
    <s v="Laptop"/>
    <n v="13"/>
    <n v="39636.5"/>
    <n v="515274.5"/>
    <n v="47914.16"/>
    <n v="83145.03"/>
    <n v="384215.31"/>
    <s v="Completed"/>
    <s v="Paid"/>
  </r>
  <r>
    <s v="INV-2026-00227"/>
    <x v="69"/>
    <s v="West"/>
    <s v="Ahmedabad"/>
    <s v="Direct Sales"/>
    <s v="Kavita Nair"/>
    <s v="Urban Store"/>
    <x v="1"/>
    <s v="Conference Table"/>
    <n v="3"/>
    <n v="36142.74"/>
    <n v="108428.22"/>
    <n v="13257.82"/>
    <n v="0"/>
    <n v="95170.4"/>
    <s v="Completed"/>
    <s v="Overdue"/>
  </r>
  <r>
    <s v="INV-2026-00228"/>
    <x v="71"/>
    <s v="West"/>
    <s v="Surat"/>
    <s v="Distributor"/>
    <s v="Meera Joshi"/>
    <s v="Alpha Trading"/>
    <x v="3"/>
    <s v="Camera"/>
    <n v="8"/>
    <n v="29780.63"/>
    <n v="238245.04"/>
    <n v="0"/>
    <n v="0"/>
    <n v="238245.04"/>
    <s v="Cancelled"/>
    <s v="Pending"/>
  </r>
  <r>
    <s v="INV-2026-00229"/>
    <x v="63"/>
    <s v="North"/>
    <s v="Delhi"/>
    <s v="Online"/>
    <s v="Suresh Gupta"/>
    <s v="Smart Systems"/>
    <x v="1"/>
    <s v="Desk"/>
    <n v="19"/>
    <n v="38259.11"/>
    <n v="726923.09"/>
    <n v="61389.13"/>
    <n v="0"/>
    <n v="665533.96"/>
    <s v="Processing"/>
    <s v="Pending"/>
  </r>
  <r>
    <s v="INV-2026-00230"/>
    <x v="73"/>
    <s v="Central"/>
    <s v="Raipur"/>
    <s v="Online"/>
    <s v="Anita Desai"/>
    <s v="Nexus Ltd"/>
    <x v="2"/>
    <s v="Gym Equipment"/>
    <n v="21"/>
    <n v="20512.73"/>
    <n v="430767.33"/>
    <n v="0"/>
    <n v="0"/>
    <n v="430767.33"/>
    <s v="Completed"/>
    <s v="Paid"/>
  </r>
  <r>
    <s v="INV-2026-00231"/>
    <x v="9"/>
    <s v="North"/>
    <s v="Chandigarh"/>
    <s v="Retail Store"/>
    <s v="Anita Desai"/>
    <s v="Global Traders"/>
    <x v="2"/>
    <s v="Gym Equipment"/>
    <n v="7"/>
    <n v="43143.69"/>
    <n v="302005.83"/>
    <n v="32074.26"/>
    <n v="48988.87"/>
    <n v="220942.7"/>
    <s v="Processing"/>
    <s v="Pending"/>
  </r>
  <r>
    <s v="INV-2026-00232"/>
    <x v="16"/>
    <s v="West"/>
    <s v="Surat"/>
    <s v="Retail Store"/>
    <s v="Kavita Nair"/>
    <s v="Global Traders"/>
    <x v="4"/>
    <s v="Shoes"/>
    <n v="15"/>
    <n v="45693.29"/>
    <n v="685399.35"/>
    <n v="0"/>
    <n v="0"/>
    <n v="685399.35"/>
    <s v="Cancelled"/>
    <s v="Pending"/>
  </r>
  <r>
    <s v="INV-2026-00233"/>
    <x v="57"/>
    <s v="South"/>
    <s v="Chennai"/>
    <s v="Distributor"/>
    <s v="Priya Patel"/>
    <s v="Alpha Trading"/>
    <x v="1"/>
    <s v="Bookshelf"/>
    <n v="7"/>
    <n v="16987.43"/>
    <n v="118912.01"/>
    <n v="1697.98"/>
    <n v="0"/>
    <n v="117214.03"/>
    <s v="Completed"/>
    <s v="Paid"/>
  </r>
  <r>
    <s v="INV-2026-00234"/>
    <x v="84"/>
    <s v="West"/>
    <s v="Pune"/>
    <s v="Direct Sales"/>
    <s v="Amit Kumar"/>
    <s v="XYZ Ltd"/>
    <x v="4"/>
    <s v="Formal Shirt"/>
    <n v="20"/>
    <n v="41217.18"/>
    <n v="824343.6"/>
    <n v="491.69"/>
    <n v="0"/>
    <n v="823851.91"/>
    <s v="Processing"/>
    <s v="Pending"/>
  </r>
  <r>
    <s v="INV-2026-00235"/>
    <x v="39"/>
    <s v="East"/>
    <s v="Kolkata"/>
    <s v="Retail Store"/>
    <s v="Suresh Gupta"/>
    <s v="Metro Mart"/>
    <x v="4"/>
    <s v="T-Shirt"/>
    <n v="19"/>
    <n v="42267.24"/>
    <n v="803077.56"/>
    <n v="91970.45"/>
    <n v="0"/>
    <n v="711107.11"/>
    <s v="Completed"/>
    <s v="Paid"/>
  </r>
  <r>
    <s v="INV-2026-00236"/>
    <x v="76"/>
    <s v="West"/>
    <s v="Ahmedabad"/>
    <s v="Retail Store"/>
    <s v="Suresh Gupta"/>
    <s v="Skyline Corp"/>
    <x v="5"/>
    <s v="Washing Machine"/>
    <n v="27"/>
    <n v="47358.65"/>
    <n v="1278683.55"/>
    <n v="55636.21"/>
    <n v="203845.31"/>
    <n v="1019202.03"/>
    <s v="Cancelled"/>
    <s v="Pending"/>
  </r>
  <r>
    <s v="INV-2026-00237"/>
    <x v="9"/>
    <s v="West"/>
    <s v="Pune"/>
    <s v="Retail Store"/>
    <s v="Amit Kumar"/>
    <s v="Future Tech"/>
    <x v="4"/>
    <s v="T-Shirt"/>
    <n v="17"/>
    <n v="47908.31"/>
    <n v="814441.27"/>
    <n v="113310.66"/>
    <n v="0"/>
    <n v="701130.61"/>
    <s v="Processing"/>
    <s v="Paid"/>
  </r>
  <r>
    <s v="INV-2026-00238"/>
    <x v="27"/>
    <s v="North"/>
    <s v="Jaipur"/>
    <s v="Distributor"/>
    <s v="Kavita Nair"/>
    <s v="Nexus Ltd"/>
    <x v="5"/>
    <s v="Air Conditioner"/>
    <n v="9"/>
    <n v="40712.82"/>
    <n v="366415.38"/>
    <n v="72189.38"/>
    <n v="106353.64"/>
    <n v="187872.36"/>
    <s v="Cancelled"/>
    <s v="Pending"/>
  </r>
  <r>
    <s v="INV-2026-00239"/>
    <x v="17"/>
    <s v="East"/>
    <s v="Patna"/>
    <s v="Distributor"/>
    <s v="Vijay Singh"/>
    <s v="Prime Retail"/>
    <x v="0"/>
    <s v="Whiteboard"/>
    <n v="45"/>
    <n v="33605.18"/>
    <n v="1512233.1"/>
    <n v="0"/>
    <n v="0"/>
    <n v="1512233.1"/>
    <s v="Completed"/>
    <s v="Paid"/>
  </r>
  <r>
    <s v="INV-2026-00240"/>
    <x v="85"/>
    <s v="West"/>
    <s v="Pune"/>
    <s v="Direct Sales"/>
    <s v="Rahul Sharma"/>
    <s v="Alpha Trading"/>
    <x v="1"/>
    <s v="Office Chair"/>
    <n v="34"/>
    <n v="8591.7800000000007"/>
    <n v="292120.52"/>
    <n v="0"/>
    <n v="51048.91"/>
    <n v="241071.61"/>
    <s v="Cancelled"/>
    <s v="Pending"/>
  </r>
  <r>
    <s v="INV-2026-00241"/>
    <x v="70"/>
    <s v="West"/>
    <s v="Mumbai"/>
    <s v="Online"/>
    <s v="Rajesh Verma"/>
    <s v="Future Tech"/>
    <x v="1"/>
    <s v="Conference Table"/>
    <n v="23"/>
    <n v="45523.32"/>
    <n v="1047036.36"/>
    <n v="146882.71"/>
    <n v="246244.71"/>
    <n v="653908.93999999994"/>
    <s v="Processing"/>
    <s v="Pending"/>
  </r>
  <r>
    <s v="INV-2026-00242"/>
    <x v="6"/>
    <s v="Central"/>
    <s v="Bhopal"/>
    <s v="Retail Store"/>
    <s v="Meera Joshi"/>
    <s v="Urban Store"/>
    <x v="4"/>
    <s v="Jacket"/>
    <n v="17"/>
    <n v="10048.23"/>
    <n v="170819.91"/>
    <n v="25879.439999999999"/>
    <n v="0"/>
    <n v="144940.47"/>
    <s v="Pending"/>
    <s v="Pending"/>
  </r>
  <r>
    <s v="INV-2026-00243"/>
    <x v="21"/>
    <s v="West"/>
    <s v="Ahmedabad"/>
    <s v="Direct Sales"/>
    <s v="Vijay Singh"/>
    <s v="Metro Mart"/>
    <x v="3"/>
    <s v="Tablet"/>
    <n v="37"/>
    <n v="9965.61"/>
    <n v="368727.57"/>
    <n v="0"/>
    <n v="0"/>
    <n v="368727.57"/>
    <s v="Cancelled"/>
    <s v="Pending"/>
  </r>
  <r>
    <s v="INV-2026-00244"/>
    <x v="23"/>
    <s v="South"/>
    <s v="Chennai"/>
    <s v="Online"/>
    <s v="Rahul Sharma"/>
    <s v="Metro Mart"/>
    <x v="3"/>
    <s v="Camera"/>
    <n v="3"/>
    <n v="30095.49"/>
    <n v="90286.47"/>
    <n v="0"/>
    <n v="19955.98"/>
    <n v="70330.490000000005"/>
    <s v="Completed"/>
    <s v="Paid"/>
  </r>
  <r>
    <s v="INV-2026-00245"/>
    <x v="79"/>
    <s v="West"/>
    <s v="Pune"/>
    <s v="Online"/>
    <s v="Vijay Singh"/>
    <s v="Metro Mart"/>
    <x v="0"/>
    <s v="Pen Set"/>
    <n v="37"/>
    <n v="8726.2900000000009"/>
    <n v="322872.73"/>
    <n v="0"/>
    <n v="0"/>
    <n v="322872.73"/>
    <s v="Processing"/>
    <s v="Paid"/>
  </r>
  <r>
    <s v="INV-2026-00246"/>
    <x v="12"/>
    <s v="East"/>
    <s v="Patna"/>
    <s v="Retail Store"/>
    <s v="Amit Kumar"/>
    <s v="Future Tech"/>
    <x v="3"/>
    <s v="Smart Watch"/>
    <n v="48"/>
    <n v="19097.64"/>
    <n v="916686.72"/>
    <n v="0"/>
    <n v="0"/>
    <n v="916686.72"/>
    <s v="Completed"/>
    <s v="Paid"/>
  </r>
  <r>
    <s v="INV-2026-00247"/>
    <x v="16"/>
    <s v="North"/>
    <s v="Delhi"/>
    <s v="Distributor"/>
    <s v="Kavita Nair"/>
    <s v="ABC Corp"/>
    <x v="4"/>
    <s v="Formal Shirt"/>
    <n v="36"/>
    <n v="30166.639999999999"/>
    <n v="1085999.04"/>
    <n v="7264.18"/>
    <n v="297986.34999999998"/>
    <n v="780748.51"/>
    <s v="Processing"/>
    <s v="Pending"/>
  </r>
  <r>
    <s v="INV-2026-00248"/>
    <x v="71"/>
    <s v="Central"/>
    <s v="Bhopal"/>
    <s v="Direct Sales"/>
    <s v="Priya Patel"/>
    <s v="Future Tech"/>
    <x v="5"/>
    <s v="Vacuum Cleaner"/>
    <n v="39"/>
    <n v="47488.98"/>
    <n v="1852070.22"/>
    <n v="0"/>
    <n v="0"/>
    <n v="1852070.22"/>
    <s v="Completed"/>
    <s v="Paid"/>
  </r>
  <r>
    <s v="INV-2026-00249"/>
    <x v="86"/>
    <s v="South"/>
    <s v="Bangalore"/>
    <s v="Retail Store"/>
    <s v="Suresh Gupta"/>
    <s v="Nexus Ltd"/>
    <x v="0"/>
    <s v="File Folder"/>
    <n v="27"/>
    <n v="13160.62"/>
    <n v="355336.74"/>
    <n v="0"/>
    <n v="96422.35"/>
    <n v="258914.39"/>
    <s v="Cancelled"/>
    <s v="Pending"/>
  </r>
  <r>
    <s v="INV-2026-00250"/>
    <x v="3"/>
    <s v="East"/>
    <s v="Patna"/>
    <s v="Direct Sales"/>
    <s v="Meera Joshi"/>
    <s v="Nexus Ltd"/>
    <x v="2"/>
    <s v="Cricket Bat"/>
    <n v="13"/>
    <n v="8769.2000000000007"/>
    <n v="113999.6"/>
    <n v="0"/>
    <n v="0"/>
    <n v="113999.6"/>
    <s v="Processing"/>
    <s v="Pending"/>
  </r>
  <r>
    <s v="INV-2026-00251"/>
    <x v="19"/>
    <s v="Central"/>
    <s v="Raipur"/>
    <s v="Distributor"/>
    <s v="Sneha Reddy"/>
    <s v="Urban Store"/>
    <x v="0"/>
    <s v="Printer Paper"/>
    <n v="18"/>
    <n v="33661.17"/>
    <n v="605901.06000000006"/>
    <n v="0"/>
    <n v="0"/>
    <n v="605901.06000000006"/>
    <s v="Pending"/>
    <s v="Paid"/>
  </r>
  <r>
    <s v="INV-2026-00252"/>
    <x v="83"/>
    <s v="West"/>
    <s v="Pune"/>
    <s v="Online"/>
    <s v="Anita Desai"/>
    <s v="XYZ Ltd"/>
    <x v="4"/>
    <s v="Shoes"/>
    <n v="19"/>
    <n v="46573.86"/>
    <n v="884903.34"/>
    <n v="16654.18"/>
    <n v="0"/>
    <n v="868249.16"/>
    <s v="Cancelled"/>
    <s v="Pending"/>
  </r>
  <r>
    <s v="INV-2026-00253"/>
    <x v="48"/>
    <s v="South"/>
    <s v="Chennai"/>
    <s v="Direct Sales"/>
    <s v="Amit Kumar"/>
    <s v="Nexus Ltd"/>
    <x v="1"/>
    <s v="Sofa"/>
    <n v="25"/>
    <n v="26619.03"/>
    <n v="665475.75"/>
    <n v="82032.12"/>
    <n v="0"/>
    <n v="583443.63"/>
    <s v="Cancelled"/>
    <s v="Pending"/>
  </r>
  <r>
    <s v="INV-2026-00254"/>
    <x v="60"/>
    <s v="East"/>
    <s v="Bhubaneswar"/>
    <s v="Direct Sales"/>
    <s v="Amit Kumar"/>
    <s v="Prime Retail"/>
    <x v="2"/>
    <s v="Yoga Mat"/>
    <n v="1"/>
    <n v="48843.360000000001"/>
    <n v="48843.360000000001"/>
    <n v="0"/>
    <n v="0"/>
    <n v="48843.360000000001"/>
    <s v="Completed"/>
    <s v="Paid"/>
  </r>
  <r>
    <s v="INV-2026-00255"/>
    <x v="87"/>
    <s v="South"/>
    <s v="Kochi"/>
    <s v="Retail Store"/>
    <s v="Anita Desai"/>
    <s v="Skyline Corp"/>
    <x v="1"/>
    <s v="Desk"/>
    <n v="8"/>
    <n v="14818.52"/>
    <n v="118548.16"/>
    <n v="6732.24"/>
    <n v="0"/>
    <n v="111815.92"/>
    <s v="Pending"/>
    <s v="Paid"/>
  </r>
  <r>
    <s v="INV-2026-00256"/>
    <x v="18"/>
    <s v="South"/>
    <s v="Bangalore"/>
    <s v="Direct Sales"/>
    <s v="Suresh Gupta"/>
    <s v="Tech Solutions"/>
    <x v="5"/>
    <s v="Washing Machine"/>
    <n v="20"/>
    <n v="33683.980000000003"/>
    <n v="673679.6"/>
    <n v="52522.13"/>
    <n v="0"/>
    <n v="621157.47"/>
    <s v="Completed"/>
    <s v="Overdue"/>
  </r>
  <r>
    <s v="INV-2026-00257"/>
    <x v="82"/>
    <s v="South"/>
    <s v="Hyderabad"/>
    <s v="Distributor"/>
    <s v="Anita Desai"/>
    <s v="Elite Enterprises"/>
    <x v="5"/>
    <s v="Vacuum Cleaner"/>
    <n v="13"/>
    <n v="5042.43"/>
    <n v="65551.59"/>
    <n v="10200.32"/>
    <n v="0"/>
    <n v="55351.27"/>
    <s v="Processing"/>
    <s v="Pending"/>
  </r>
  <r>
    <s v="INV-2026-00258"/>
    <x v="81"/>
    <s v="West"/>
    <s v="Surat"/>
    <s v="Direct Sales"/>
    <s v="Meera Joshi"/>
    <s v="Tech Solutions"/>
    <x v="5"/>
    <s v="Washing Machine"/>
    <n v="33"/>
    <n v="12393.82"/>
    <n v="408996.06"/>
    <n v="38565.14"/>
    <n v="0"/>
    <n v="370430.92"/>
    <s v="Processing"/>
    <s v="Paid"/>
  </r>
  <r>
    <s v="INV-2026-00259"/>
    <x v="18"/>
    <s v="West"/>
    <s v="Surat"/>
    <s v="Direct Sales"/>
    <s v="Suresh Gupta"/>
    <s v="ABC Corp"/>
    <x v="5"/>
    <s v="Refrigerator"/>
    <n v="7"/>
    <n v="12467.51"/>
    <n v="87272.57"/>
    <n v="11861.73"/>
    <n v="0"/>
    <n v="75410.84"/>
    <s v="Completed"/>
    <s v="Overdue"/>
  </r>
  <r>
    <s v="INV-2026-00260"/>
    <x v="27"/>
    <s v="East"/>
    <s v="Patna"/>
    <s v="Direct Sales"/>
    <s v="Vijay Singh"/>
    <s v="Tech Solutions"/>
    <x v="2"/>
    <s v="Yoga Mat"/>
    <n v="48"/>
    <n v="13687.2"/>
    <n v="656985.59999999998"/>
    <n v="0"/>
    <n v="0"/>
    <n v="656985.59999999998"/>
    <s v="Completed"/>
    <s v="Paid"/>
  </r>
  <r>
    <s v="INV-2026-00261"/>
    <x v="18"/>
    <s v="North"/>
    <s v="Chandigarh"/>
    <s v="Online"/>
    <s v="Kavita Nair"/>
    <s v="ABC Corp"/>
    <x v="3"/>
    <s v="Tablet"/>
    <n v="32"/>
    <n v="12929.93"/>
    <n v="413757.76"/>
    <n v="76401.52"/>
    <n v="98337.77"/>
    <n v="239018.47"/>
    <s v="Cancelled"/>
    <s v="Pending"/>
  </r>
  <r>
    <s v="INV-2026-00262"/>
    <x v="52"/>
    <s v="North"/>
    <s v="Jaipur"/>
    <s v="Distributor"/>
    <s v="Priya Patel"/>
    <s v="Elite Enterprises"/>
    <x v="0"/>
    <s v="Pen Set"/>
    <n v="20"/>
    <n v="11205.85"/>
    <n v="224117"/>
    <n v="5607.28"/>
    <n v="0"/>
    <n v="218509.72"/>
    <s v="Processing"/>
    <s v="Pending"/>
  </r>
  <r>
    <s v="INV-2026-00263"/>
    <x v="69"/>
    <s v="South"/>
    <s v="Bangalore"/>
    <s v="Online"/>
    <s v="Vijay Singh"/>
    <s v="XYZ Ltd"/>
    <x v="0"/>
    <s v="Whiteboard"/>
    <n v="47"/>
    <n v="16540.09"/>
    <n v="777384.23"/>
    <n v="41195.089999999997"/>
    <n v="0"/>
    <n v="736189.14"/>
    <s v="Pending"/>
    <s v="Pending"/>
  </r>
  <r>
    <s v="INV-2026-00264"/>
    <x v="25"/>
    <s v="Central"/>
    <s v="Nagpur"/>
    <s v="Direct Sales"/>
    <s v="Rajesh Verma"/>
    <s v="Global Traders"/>
    <x v="3"/>
    <s v="Smartphone"/>
    <n v="45"/>
    <n v="20576.580000000002"/>
    <n v="925946.1"/>
    <n v="41668.559999999998"/>
    <n v="0"/>
    <n v="884277.54"/>
    <s v="Pending"/>
    <s v="Pending"/>
  </r>
  <r>
    <s v="INV-2026-00265"/>
    <x v="48"/>
    <s v="North"/>
    <s v="Jaipur"/>
    <s v="Retail Store"/>
    <s v="Priya Patel"/>
    <s v="Future Tech"/>
    <x v="3"/>
    <s v="Camera"/>
    <n v="28"/>
    <n v="40186.39"/>
    <n v="1125218.92"/>
    <n v="0"/>
    <n v="0"/>
    <n v="1125218.92"/>
    <s v="Processing"/>
    <s v="Pending"/>
  </r>
  <r>
    <s v="INV-2026-00266"/>
    <x v="19"/>
    <s v="South"/>
    <s v="Kochi"/>
    <s v="Retail Store"/>
    <s v="Kavita Nair"/>
    <s v="Urban Store"/>
    <x v="3"/>
    <s v="Tablet"/>
    <n v="1"/>
    <n v="48858.13"/>
    <n v="48858.13"/>
    <n v="0"/>
    <n v="0"/>
    <n v="48858.13"/>
    <s v="Pending"/>
    <s v="Pending"/>
  </r>
  <r>
    <s v="INV-2026-00267"/>
    <x v="71"/>
    <s v="East"/>
    <s v="Guwahati"/>
    <s v="Retail Store"/>
    <s v="Anita Desai"/>
    <s v="Future Tech"/>
    <x v="3"/>
    <s v="Camera"/>
    <n v="44"/>
    <n v="3425.41"/>
    <n v="150718.04"/>
    <n v="13338.07"/>
    <n v="6430.06"/>
    <n v="130949.91"/>
    <s v="Cancelled"/>
    <s v="Pending"/>
  </r>
  <r>
    <s v="INV-2026-00268"/>
    <x v="88"/>
    <s v="North"/>
    <s v="Lucknow"/>
    <s v="Retail Store"/>
    <s v="Rajesh Verma"/>
    <s v="Urban Store"/>
    <x v="2"/>
    <s v="Yoga Mat"/>
    <n v="21"/>
    <n v="35974.26"/>
    <n v="755459.46"/>
    <n v="2727.16"/>
    <n v="0"/>
    <n v="752732.3"/>
    <s v="Cancelled"/>
    <s v="Pending"/>
  </r>
  <r>
    <s v="INV-2026-00269"/>
    <x v="16"/>
    <s v="West"/>
    <s v="Surat"/>
    <s v="Distributor"/>
    <s v="Vijay Singh"/>
    <s v="ABC Corp"/>
    <x v="5"/>
    <s v="TV"/>
    <n v="48"/>
    <n v="32569.599999999999"/>
    <n v="1563340.8"/>
    <n v="245991.89"/>
    <n v="0"/>
    <n v="1317348.9099999999"/>
    <s v="Completed"/>
    <s v="Paid"/>
  </r>
  <r>
    <s v="INV-2026-00270"/>
    <x v="71"/>
    <s v="West"/>
    <s v="Mumbai"/>
    <s v="Distributor"/>
    <s v="Priya Patel"/>
    <s v="Nexus Ltd"/>
    <x v="2"/>
    <s v="Gym Equipment"/>
    <n v="50"/>
    <n v="17964.25"/>
    <n v="898212.5"/>
    <n v="90313.68"/>
    <n v="94213.29"/>
    <n v="713685.53"/>
    <s v="Completed"/>
    <s v="Paid"/>
  </r>
  <r>
    <s v="INV-2026-00271"/>
    <x v="34"/>
    <s v="North"/>
    <s v="Chandigarh"/>
    <s v="Distributor"/>
    <s v="Vijay Singh"/>
    <s v="ABC Corp"/>
    <x v="5"/>
    <s v="Air Conditioner"/>
    <n v="1"/>
    <n v="33082.519999999997"/>
    <n v="33082.519999999997"/>
    <n v="554.9"/>
    <n v="0"/>
    <n v="32527.62"/>
    <s v="Cancelled"/>
    <s v="Pending"/>
  </r>
  <r>
    <s v="INV-2026-00272"/>
    <x v="29"/>
    <s v="Central"/>
    <s v="Nagpur"/>
    <s v="Direct Sales"/>
    <s v="Meera Joshi"/>
    <s v="Tech Solutions"/>
    <x v="3"/>
    <s v="Laptop"/>
    <n v="4"/>
    <n v="16798.32"/>
    <n v="67193.279999999999"/>
    <n v="7718.37"/>
    <n v="2221.75"/>
    <n v="57253.16"/>
    <s v="Processing"/>
    <s v="Pending"/>
  </r>
  <r>
    <s v="INV-2026-00273"/>
    <x v="49"/>
    <s v="Central"/>
    <s v="Bhopal"/>
    <s v="Retail Store"/>
    <s v="Meera Joshi"/>
    <s v="Future Tech"/>
    <x v="4"/>
    <s v="Formal Shirt"/>
    <n v="48"/>
    <n v="29092.17"/>
    <n v="1396424.16"/>
    <n v="115799.01"/>
    <n v="56961.91"/>
    <n v="1223663.24"/>
    <s v="Cancelled"/>
    <s v="Pending"/>
  </r>
  <r>
    <s v="INV-2026-00274"/>
    <x v="66"/>
    <s v="South"/>
    <s v="Chennai"/>
    <s v="Direct Sales"/>
    <s v="Rahul Sharma"/>
    <s v="Smart Systems"/>
    <x v="1"/>
    <s v="Desk"/>
    <n v="5"/>
    <n v="13823.87"/>
    <n v="69119.350000000006"/>
    <n v="0"/>
    <n v="0"/>
    <n v="69119.350000000006"/>
    <s v="Completed"/>
    <s v="Overdue"/>
  </r>
  <r>
    <s v="INV-2026-00275"/>
    <x v="84"/>
    <s v="North"/>
    <s v="Jaipur"/>
    <s v="Retail Store"/>
    <s v="Amit Kumar"/>
    <s v="Elite Enterprises"/>
    <x v="5"/>
    <s v="Vacuum Cleaner"/>
    <n v="24"/>
    <n v="21100.04"/>
    <n v="506400.96"/>
    <n v="0"/>
    <n v="0"/>
    <n v="506400.96"/>
    <s v="Processing"/>
    <s v="Pending"/>
  </r>
  <r>
    <s v="INV-2026-00276"/>
    <x v="37"/>
    <s v="West"/>
    <s v="Surat"/>
    <s v="Online"/>
    <s v="Suresh Gupta"/>
    <s v="Future Tech"/>
    <x v="4"/>
    <s v="Jeans"/>
    <n v="37"/>
    <n v="31575.67"/>
    <n v="1168299.79"/>
    <n v="0"/>
    <n v="0"/>
    <n v="1168299.79"/>
    <s v="Processing"/>
    <s v="Pending"/>
  </r>
  <r>
    <s v="INV-2026-00277"/>
    <x v="86"/>
    <s v="South"/>
    <s v="Hyderabad"/>
    <s v="Distributor"/>
    <s v="Sneha Reddy"/>
    <s v="Prime Retail"/>
    <x v="4"/>
    <s v="Jeans"/>
    <n v="25"/>
    <n v="28765.360000000001"/>
    <n v="719134"/>
    <n v="0"/>
    <n v="0"/>
    <n v="719134"/>
    <s v="Completed"/>
    <s v="Paid"/>
  </r>
  <r>
    <s v="INV-2026-00278"/>
    <x v="76"/>
    <s v="North"/>
    <s v="Chandigarh"/>
    <s v="Distributor"/>
    <s v="Meera Joshi"/>
    <s v="Alpha Trading"/>
    <x v="3"/>
    <s v="Laptop"/>
    <n v="11"/>
    <n v="16332.28"/>
    <n v="179655.08"/>
    <n v="0"/>
    <n v="0"/>
    <n v="179655.08"/>
    <s v="Cancelled"/>
    <s v="Pending"/>
  </r>
  <r>
    <s v="INV-2026-00279"/>
    <x v="1"/>
    <s v="North"/>
    <s v="Delhi"/>
    <s v="Retail Store"/>
    <s v="Anita Desai"/>
    <s v="Metro Mart"/>
    <x v="1"/>
    <s v="Bookshelf"/>
    <n v="17"/>
    <n v="35728.61"/>
    <n v="607386.37"/>
    <n v="0"/>
    <n v="172021.53"/>
    <n v="435364.84"/>
    <s v="Completed"/>
    <s v="Paid"/>
  </r>
  <r>
    <s v="INV-2026-00280"/>
    <x v="34"/>
    <s v="South"/>
    <s v="Bangalore"/>
    <s v="Distributor"/>
    <s v="Rahul Sharma"/>
    <s v="Nexus Ltd"/>
    <x v="0"/>
    <s v="Desk Organizer"/>
    <n v="15"/>
    <n v="27616.720000000001"/>
    <n v="414250.8"/>
    <n v="44596.42"/>
    <n v="0"/>
    <n v="369654.38"/>
    <s v="Processing"/>
    <s v="Pending"/>
  </r>
  <r>
    <s v="INV-2026-00281"/>
    <x v="9"/>
    <s v="Central"/>
    <s v="Indore"/>
    <s v="Retail Store"/>
    <s v="Meera Joshi"/>
    <s v="Nexus Ltd"/>
    <x v="1"/>
    <s v="Sofa"/>
    <n v="2"/>
    <n v="21379.86"/>
    <n v="42759.72"/>
    <n v="0"/>
    <n v="0"/>
    <n v="42759.72"/>
    <s v="Pending"/>
    <s v="Paid"/>
  </r>
  <r>
    <s v="INV-2026-00282"/>
    <x v="3"/>
    <s v="South"/>
    <s v="Hyderabad"/>
    <s v="Distributor"/>
    <s v="Priya Patel"/>
    <s v="Nexus Ltd"/>
    <x v="0"/>
    <s v="Notebook"/>
    <n v="30"/>
    <n v="32760.51"/>
    <n v="982815.3"/>
    <n v="0"/>
    <n v="0"/>
    <n v="982815.3"/>
    <s v="Cancelled"/>
    <s v="Pending"/>
  </r>
  <r>
    <s v="INV-2026-00283"/>
    <x v="67"/>
    <s v="North"/>
    <s v="Chandigarh"/>
    <s v="Online"/>
    <s v="Sneha Reddy"/>
    <s v="Nexus Ltd"/>
    <x v="4"/>
    <s v="T-Shirt"/>
    <n v="15"/>
    <n v="44892.37"/>
    <n v="673385.55"/>
    <n v="0"/>
    <n v="0"/>
    <n v="673385.55"/>
    <s v="Processing"/>
    <s v="Pending"/>
  </r>
  <r>
    <s v="INV-2026-00284"/>
    <x v="32"/>
    <s v="South"/>
    <s v="Hyderabad"/>
    <s v="Direct Sales"/>
    <s v="Priya Patel"/>
    <s v="Future Tech"/>
    <x v="0"/>
    <s v="Whiteboard"/>
    <n v="32"/>
    <n v="21942.52"/>
    <n v="702160.64"/>
    <n v="9592"/>
    <n v="0"/>
    <n v="692568.64"/>
    <s v="Completed"/>
    <s v="Paid"/>
  </r>
  <r>
    <s v="INV-2026-00285"/>
    <x v="28"/>
    <s v="Central"/>
    <s v="Nagpur"/>
    <s v="Online"/>
    <s v="Meera Joshi"/>
    <s v="Urban Store"/>
    <x v="1"/>
    <s v="Sofa"/>
    <n v="21"/>
    <n v="3231.29"/>
    <n v="67857.09"/>
    <n v="2838.99"/>
    <n v="0"/>
    <n v="65018.1"/>
    <s v="Processing"/>
    <s v="Paid"/>
  </r>
  <r>
    <s v="INV-2026-00286"/>
    <x v="33"/>
    <s v="Central"/>
    <s v="Indore"/>
    <s v="Direct Sales"/>
    <s v="Rajesh Verma"/>
    <s v="Nexus Ltd"/>
    <x v="2"/>
    <s v="Tennis Racket"/>
    <n v="4"/>
    <n v="21472.57"/>
    <n v="85890.28"/>
    <n v="4107.5200000000004"/>
    <n v="0"/>
    <n v="81782.759999999995"/>
    <s v="Cancelled"/>
    <s v="Pending"/>
  </r>
  <r>
    <s v="INV-2026-00287"/>
    <x v="64"/>
    <s v="Central"/>
    <s v="Raipur"/>
    <s v="Direct Sales"/>
    <s v="Anita Desai"/>
    <s v="XYZ Ltd"/>
    <x v="3"/>
    <s v="Smart Watch"/>
    <n v="38"/>
    <n v="19336.09"/>
    <n v="734771.42"/>
    <n v="133329.68"/>
    <n v="0"/>
    <n v="601441.74"/>
    <s v="Processing"/>
    <s v="Paid"/>
  </r>
  <r>
    <s v="INV-2026-00288"/>
    <x v="72"/>
    <s v="North"/>
    <s v="Delhi"/>
    <s v="Online"/>
    <s v="Priya Patel"/>
    <s v="Digital Hub"/>
    <x v="1"/>
    <s v="Desk"/>
    <n v="27"/>
    <n v="23834.84"/>
    <n v="643540.68000000005"/>
    <n v="117626.26"/>
    <n v="0"/>
    <n v="525914.42000000004"/>
    <s v="Pending"/>
    <s v="Paid"/>
  </r>
  <r>
    <s v="INV-2026-00289"/>
    <x v="82"/>
    <s v="East"/>
    <s v="Bhubaneswar"/>
    <s v="Direct Sales"/>
    <s v="Suresh Gupta"/>
    <s v="Prime Retail"/>
    <x v="5"/>
    <s v="Microwave"/>
    <n v="48"/>
    <n v="10298.14"/>
    <n v="494310.72"/>
    <n v="0"/>
    <n v="0"/>
    <n v="494310.72"/>
    <s v="Pending"/>
    <s v="Pending"/>
  </r>
  <r>
    <s v="INV-2026-00290"/>
    <x v="32"/>
    <s v="North"/>
    <s v="Lucknow"/>
    <s v="Online"/>
    <s v="Rahul Sharma"/>
    <s v="Alpha Trading"/>
    <x v="0"/>
    <s v="File Folder"/>
    <n v="3"/>
    <n v="37589.910000000003"/>
    <n v="112769.73"/>
    <n v="17643.04"/>
    <n v="0"/>
    <n v="95126.69"/>
    <s v="Cancelled"/>
    <s v="Pending"/>
  </r>
  <r>
    <s v="INV-2026-00291"/>
    <x v="81"/>
    <s v="East"/>
    <s v="Guwahati"/>
    <s v="Distributor"/>
    <s v="Suresh Gupta"/>
    <s v="Urban Store"/>
    <x v="4"/>
    <s v="Jeans"/>
    <n v="30"/>
    <n v="25538.91"/>
    <n v="766167.3"/>
    <n v="0"/>
    <n v="0"/>
    <n v="766167.3"/>
    <s v="Processing"/>
    <s v="Pending"/>
  </r>
  <r>
    <s v="INV-2026-00292"/>
    <x v="79"/>
    <s v="North"/>
    <s v="Delhi"/>
    <s v="Retail Store"/>
    <s v="Amit Kumar"/>
    <s v="Tech Solutions"/>
    <x v="5"/>
    <s v="Refrigerator"/>
    <n v="21"/>
    <n v="34126.03"/>
    <n v="716646.63"/>
    <n v="0"/>
    <n v="0"/>
    <n v="716646.63"/>
    <s v="Pending"/>
    <s v="Pending"/>
  </r>
  <r>
    <s v="INV-2026-00293"/>
    <x v="65"/>
    <s v="West"/>
    <s v="Surat"/>
    <s v="Distributor"/>
    <s v="Suresh Gupta"/>
    <s v="Digital Hub"/>
    <x v="5"/>
    <s v="Vacuum Cleaner"/>
    <n v="34"/>
    <n v="36720.660000000003"/>
    <n v="1248502.44"/>
    <n v="0"/>
    <n v="0"/>
    <n v="1248502.44"/>
    <s v="Completed"/>
    <s v="Paid"/>
  </r>
  <r>
    <s v="INV-2026-00294"/>
    <x v="18"/>
    <s v="East"/>
    <s v="Bhubaneswar"/>
    <s v="Retail Store"/>
    <s v="Vijay Singh"/>
    <s v="Future Tech"/>
    <x v="0"/>
    <s v="Notebook"/>
    <n v="2"/>
    <n v="34174.69"/>
    <n v="68349.38"/>
    <n v="5165.3999999999996"/>
    <n v="0"/>
    <n v="63183.98"/>
    <s v="Processing"/>
    <s v="Pending"/>
  </r>
  <r>
    <s v="INV-2026-00295"/>
    <x v="77"/>
    <s v="East"/>
    <s v="Guwahati"/>
    <s v="Online"/>
    <s v="Amit Kumar"/>
    <s v="Urban Store"/>
    <x v="0"/>
    <s v="Notebook"/>
    <n v="33"/>
    <n v="21121.45"/>
    <n v="697007.85"/>
    <n v="0"/>
    <n v="0"/>
    <n v="697007.85"/>
    <s v="Completed"/>
    <s v="Paid"/>
  </r>
  <r>
    <s v="INV-2026-00296"/>
    <x v="49"/>
    <s v="North"/>
    <s v="Chandigarh"/>
    <s v="Distributor"/>
    <s v="Vijay Singh"/>
    <s v="Elite Enterprises"/>
    <x v="4"/>
    <s v="Jacket"/>
    <n v="45"/>
    <n v="34634.75"/>
    <n v="1558563.75"/>
    <n v="242501.65"/>
    <n v="0"/>
    <n v="1316062.1000000001"/>
    <s v="Cancelled"/>
    <s v="Pending"/>
  </r>
  <r>
    <s v="INV-2026-00297"/>
    <x v="62"/>
    <s v="West"/>
    <s v="Ahmedabad"/>
    <s v="Distributor"/>
    <s v="Amit Kumar"/>
    <s v="Metro Mart"/>
    <x v="0"/>
    <s v="Notebook"/>
    <n v="7"/>
    <n v="40833.56"/>
    <n v="285834.92"/>
    <n v="0"/>
    <n v="0"/>
    <n v="285834.92"/>
    <s v="Completed"/>
    <s v="Paid"/>
  </r>
  <r>
    <s v="INV-2026-00298"/>
    <x v="27"/>
    <s v="West"/>
    <s v="Mumbai"/>
    <s v="Retail Store"/>
    <s v="Kavita Nair"/>
    <s v="Global Traders"/>
    <x v="0"/>
    <s v="Printer Paper"/>
    <n v="33"/>
    <n v="42997.06"/>
    <n v="1418902.98"/>
    <n v="0"/>
    <n v="0"/>
    <n v="1418902.98"/>
    <s v="Pending"/>
    <s v="Paid"/>
  </r>
  <r>
    <s v="INV-2026-00299"/>
    <x v="15"/>
    <s v="East"/>
    <s v="Kolkata"/>
    <s v="Distributor"/>
    <s v="Anita Desai"/>
    <s v="ABC Corp"/>
    <x v="5"/>
    <s v="TV"/>
    <n v="46"/>
    <n v="35247.339999999997"/>
    <n v="1621377.64"/>
    <n v="232374.8"/>
    <n v="0"/>
    <n v="1389002.84"/>
    <s v="Pending"/>
    <s v="Pending"/>
  </r>
  <r>
    <s v="INV-2026-00300"/>
    <x v="15"/>
    <s v="North"/>
    <s v="Lucknow"/>
    <s v="Online"/>
    <s v="Anita Desai"/>
    <s v="Digital Hub"/>
    <x v="5"/>
    <s v="TV"/>
    <n v="45"/>
    <n v="2710.92"/>
    <n v="121991.4"/>
    <n v="53.09"/>
    <n v="0"/>
    <n v="121938.31"/>
    <s v="Processing"/>
    <s v="Pending"/>
  </r>
  <r>
    <s v="INV-2026-00301"/>
    <x v="86"/>
    <s v="West"/>
    <s v="Ahmedabad"/>
    <s v="Retail Store"/>
    <s v="Rahul Sharma"/>
    <s v="Urban Store"/>
    <x v="0"/>
    <s v="Whiteboard"/>
    <n v="14"/>
    <n v="40268.980000000003"/>
    <n v="563765.72"/>
    <n v="0"/>
    <n v="0"/>
    <n v="563765.72"/>
    <s v="Cancelled"/>
    <s v="Pending"/>
  </r>
  <r>
    <s v="INV-2026-00302"/>
    <x v="86"/>
    <s v="North"/>
    <s v="Delhi"/>
    <s v="Distributor"/>
    <s v="Suresh Gupta"/>
    <s v="Metro Mart"/>
    <x v="3"/>
    <s v="Headphones"/>
    <n v="44"/>
    <n v="28296.49"/>
    <n v="1245045.56"/>
    <n v="0"/>
    <n v="161556.13"/>
    <n v="1083489.43"/>
    <s v="Completed"/>
    <s v="Paid"/>
  </r>
  <r>
    <s v="INV-2026-00303"/>
    <x v="3"/>
    <s v="East"/>
    <s v="Bhubaneswar"/>
    <s v="Retail Store"/>
    <s v="Anita Desai"/>
    <s v="Prime Retail"/>
    <x v="2"/>
    <s v="Cricket Bat"/>
    <n v="5"/>
    <n v="43277.71"/>
    <n v="216388.55"/>
    <n v="5057.32"/>
    <n v="0"/>
    <n v="211331.23"/>
    <s v="Cancelled"/>
    <s v="Pending"/>
  </r>
  <r>
    <s v="INV-2026-00304"/>
    <x v="58"/>
    <s v="South"/>
    <s v="Bangalore"/>
    <s v="Distributor"/>
    <s v="Meera Joshi"/>
    <s v="Nexus Ltd"/>
    <x v="4"/>
    <s v="T-Shirt"/>
    <n v="17"/>
    <n v="16901.669999999998"/>
    <n v="287328.39"/>
    <n v="19932.11"/>
    <n v="0"/>
    <n v="267396.28000000003"/>
    <s v="Pending"/>
    <s v="Pending"/>
  </r>
  <r>
    <s v="INV-2026-00305"/>
    <x v="10"/>
    <s v="West"/>
    <s v="Ahmedabad"/>
    <s v="Retail Store"/>
    <s v="Anita Desai"/>
    <s v="Digital Hub"/>
    <x v="5"/>
    <s v="Refrigerator"/>
    <n v="23"/>
    <n v="2233.69"/>
    <n v="51374.87"/>
    <n v="0"/>
    <n v="0"/>
    <n v="51374.87"/>
    <s v="Cancelled"/>
    <s v="Pending"/>
  </r>
  <r>
    <s v="INV-2026-00306"/>
    <x v="62"/>
    <s v="North"/>
    <s v="Chandigarh"/>
    <s v="Retail Store"/>
    <s v="Sneha Reddy"/>
    <s v="Prime Retail"/>
    <x v="2"/>
    <s v="Bicycle"/>
    <n v="49"/>
    <n v="25973.95"/>
    <n v="1272723.55"/>
    <n v="0"/>
    <n v="0"/>
    <n v="1272723.55"/>
    <s v="Processing"/>
    <s v="Pending"/>
  </r>
  <r>
    <s v="INV-2026-00307"/>
    <x v="88"/>
    <s v="South"/>
    <s v="Chennai"/>
    <s v="Distributor"/>
    <s v="Rajesh Verma"/>
    <s v="Skyline Corp"/>
    <x v="1"/>
    <s v="Sofa"/>
    <n v="48"/>
    <n v="27322.799999999999"/>
    <n v="1311494.3999999999"/>
    <n v="65093.2"/>
    <n v="0"/>
    <n v="1246401.2"/>
    <s v="Pending"/>
    <s v="Pending"/>
  </r>
  <r>
    <s v="INV-2026-00308"/>
    <x v="59"/>
    <s v="South"/>
    <s v="Hyderabad"/>
    <s v="Distributor"/>
    <s v="Rahul Sharma"/>
    <s v="Urban Store"/>
    <x v="0"/>
    <s v="Pen Set"/>
    <n v="29"/>
    <n v="7933.86"/>
    <n v="230081.94"/>
    <n v="0"/>
    <n v="0"/>
    <n v="230081.94"/>
    <s v="Processing"/>
    <s v="Pending"/>
  </r>
  <r>
    <s v="INV-2026-00309"/>
    <x v="6"/>
    <s v="East"/>
    <s v="Guwahati"/>
    <s v="Distributor"/>
    <s v="Vijay Singh"/>
    <s v="Smart Systems"/>
    <x v="0"/>
    <s v="Whiteboard"/>
    <n v="48"/>
    <n v="44152.94"/>
    <n v="2119341.12"/>
    <n v="235848.59"/>
    <n v="0"/>
    <n v="1883492.53"/>
    <s v="Processing"/>
    <s v="Pending"/>
  </r>
  <r>
    <s v="INV-2026-00310"/>
    <x v="17"/>
    <s v="South"/>
    <s v="Bangalore"/>
    <s v="Retail Store"/>
    <s v="Anita Desai"/>
    <s v="Future Tech"/>
    <x v="1"/>
    <s v="Bookshelf"/>
    <n v="12"/>
    <n v="25697.68"/>
    <n v="308372.15999999997"/>
    <n v="11697.44"/>
    <n v="0"/>
    <n v="296674.71999999997"/>
    <s v="Cancelled"/>
    <s v="Pending"/>
  </r>
  <r>
    <s v="INV-2026-00311"/>
    <x v="83"/>
    <s v="East"/>
    <s v="Guwahati"/>
    <s v="Retail Store"/>
    <s v="Kavita Nair"/>
    <s v="Prime Retail"/>
    <x v="4"/>
    <s v="Jacket"/>
    <n v="4"/>
    <n v="42720.28"/>
    <n v="170881.12"/>
    <n v="14819.63"/>
    <n v="0"/>
    <n v="156061.49"/>
    <s v="Cancelled"/>
    <s v="Pending"/>
  </r>
  <r>
    <s v="INV-2026-00312"/>
    <x v="12"/>
    <s v="West"/>
    <s v="Surat"/>
    <s v="Retail Store"/>
    <s v="Priya Patel"/>
    <s v="Prime Retail"/>
    <x v="3"/>
    <s v="Tablet"/>
    <n v="28"/>
    <n v="5610.8"/>
    <n v="157102.39999999999"/>
    <n v="20314.29"/>
    <n v="0"/>
    <n v="136788.10999999999"/>
    <s v="Processing"/>
    <s v="Pending"/>
  </r>
  <r>
    <s v="INV-2026-00313"/>
    <x v="38"/>
    <s v="Central"/>
    <s v="Indore"/>
    <s v="Direct Sales"/>
    <s v="Kavita Nair"/>
    <s v="XYZ Ltd"/>
    <x v="2"/>
    <s v="Tennis Racket"/>
    <n v="16"/>
    <n v="44226.41"/>
    <n v="707622.56"/>
    <n v="35684.79"/>
    <n v="0"/>
    <n v="671937.77"/>
    <s v="Processing"/>
    <s v="Pending"/>
  </r>
  <r>
    <s v="INV-2026-00314"/>
    <x v="72"/>
    <s v="Central"/>
    <s v="Indore"/>
    <s v="Distributor"/>
    <s v="Kavita Nair"/>
    <s v="Elite Enterprises"/>
    <x v="2"/>
    <s v="Cricket Bat"/>
    <n v="35"/>
    <n v="11223.67"/>
    <n v="392828.45"/>
    <n v="28509.5"/>
    <n v="0"/>
    <n v="364318.95"/>
    <s v="Processing"/>
    <s v="Pending"/>
  </r>
  <r>
    <s v="INV-2026-00315"/>
    <x v="86"/>
    <s v="West"/>
    <s v="Ahmedabad"/>
    <s v="Online"/>
    <s v="Rahul Sharma"/>
    <s v="Digital Hub"/>
    <x v="3"/>
    <s v="Smart Watch"/>
    <n v="18"/>
    <n v="50055.96"/>
    <n v="901007.28"/>
    <n v="0"/>
    <n v="0"/>
    <n v="901007.28"/>
    <s v="Completed"/>
    <s v="Paid"/>
  </r>
  <r>
    <s v="INV-2026-00316"/>
    <x v="20"/>
    <s v="West"/>
    <s v="Pune"/>
    <s v="Direct Sales"/>
    <s v="Vijay Singh"/>
    <s v="XYZ Ltd"/>
    <x v="2"/>
    <s v="Bicycle"/>
    <n v="40"/>
    <n v="42305.96"/>
    <n v="1692238.4"/>
    <n v="0"/>
    <n v="0"/>
    <n v="1692238.4"/>
    <s v="Cancelled"/>
    <s v="Pending"/>
  </r>
  <r>
    <s v="INV-2026-00317"/>
    <x v="33"/>
    <s v="South"/>
    <s v="Hyderabad"/>
    <s v="Retail Store"/>
    <s v="Suresh Gupta"/>
    <s v="Prime Retail"/>
    <x v="3"/>
    <s v="Tablet"/>
    <n v="39"/>
    <n v="29466.3"/>
    <n v="1149185.7"/>
    <n v="132390.60999999999"/>
    <n v="0"/>
    <n v="1016795.09"/>
    <s v="Cancelled"/>
    <s v="Pending"/>
  </r>
  <r>
    <s v="INV-2026-00318"/>
    <x v="13"/>
    <s v="Central"/>
    <s v="Raipur"/>
    <s v="Direct Sales"/>
    <s v="Kavita Nair"/>
    <s v="Omega Stores"/>
    <x v="0"/>
    <s v="File Folder"/>
    <n v="36"/>
    <n v="49580.46"/>
    <n v="1784896.56"/>
    <n v="44178.9"/>
    <n v="1257.43"/>
    <n v="1739460.23"/>
    <s v="Processing"/>
    <s v="Paid"/>
  </r>
  <r>
    <s v="INV-2026-00319"/>
    <x v="15"/>
    <s v="South"/>
    <s v="Hyderabad"/>
    <s v="Online"/>
    <s v="Priya Patel"/>
    <s v="ABC Corp"/>
    <x v="4"/>
    <s v="Jeans"/>
    <n v="18"/>
    <n v="33829.519999999997"/>
    <n v="608931.36"/>
    <n v="45230.54"/>
    <n v="0"/>
    <n v="563700.81999999995"/>
    <s v="Completed"/>
    <s v="Paid"/>
  </r>
  <r>
    <s v="INV-2026-00320"/>
    <x v="45"/>
    <s v="Central"/>
    <s v="Indore"/>
    <s v="Distributor"/>
    <s v="Suresh Gupta"/>
    <s v="Urban Store"/>
    <x v="2"/>
    <s v="Football"/>
    <n v="41"/>
    <n v="35208.44"/>
    <n v="1443546.04"/>
    <n v="0"/>
    <n v="0"/>
    <n v="1443546.04"/>
    <s v="Processing"/>
    <s v="Pending"/>
  </r>
  <r>
    <s v="INV-2026-00321"/>
    <x v="44"/>
    <s v="Central"/>
    <s v="Indore"/>
    <s v="Online"/>
    <s v="Kavita Nair"/>
    <s v="Global Traders"/>
    <x v="5"/>
    <s v="Vacuum Cleaner"/>
    <n v="34"/>
    <n v="30418.93"/>
    <n v="1034243.62"/>
    <n v="181673.58"/>
    <n v="0"/>
    <n v="852570.04"/>
    <s v="Processing"/>
    <s v="Pending"/>
  </r>
  <r>
    <s v="INV-2026-00322"/>
    <x v="82"/>
    <s v="East"/>
    <s v="Kolkata"/>
    <s v="Online"/>
    <s v="Rajesh Verma"/>
    <s v="Global Traders"/>
    <x v="1"/>
    <s v="Conference Table"/>
    <n v="33"/>
    <n v="17441.48"/>
    <n v="575568.84"/>
    <n v="105675.96"/>
    <n v="0"/>
    <n v="469892.88"/>
    <s v="Processing"/>
    <s v="Paid"/>
  </r>
  <r>
    <s v="INV-2026-00323"/>
    <x v="26"/>
    <s v="West"/>
    <s v="Pune"/>
    <s v="Online"/>
    <s v="Anita Desai"/>
    <s v="Elite Enterprises"/>
    <x v="0"/>
    <s v="Pen Set"/>
    <n v="22"/>
    <n v="38265.019999999997"/>
    <n v="841830.44"/>
    <n v="29123.360000000001"/>
    <n v="0"/>
    <n v="812707.08"/>
    <s v="Processing"/>
    <s v="Pending"/>
  </r>
  <r>
    <s v="INV-2026-00324"/>
    <x v="45"/>
    <s v="West"/>
    <s v="Surat"/>
    <s v="Direct Sales"/>
    <s v="Kavita Nair"/>
    <s v="Alpha Trading"/>
    <x v="2"/>
    <s v="Yoga Mat"/>
    <n v="42"/>
    <n v="47789.02"/>
    <n v="2007138.84"/>
    <n v="0"/>
    <n v="0"/>
    <n v="2007138.84"/>
    <s v="Pending"/>
    <s v="Pending"/>
  </r>
  <r>
    <s v="INV-2026-00325"/>
    <x v="74"/>
    <s v="North"/>
    <s v="Chandigarh"/>
    <s v="Direct Sales"/>
    <s v="Vijay Singh"/>
    <s v="Metro Mart"/>
    <x v="5"/>
    <s v="TV"/>
    <n v="36"/>
    <n v="26436.92"/>
    <n v="951729.12"/>
    <n v="98749.6"/>
    <n v="0"/>
    <n v="852979.52"/>
    <s v="Pending"/>
    <s v="Pending"/>
  </r>
  <r>
    <s v="INV-2026-00326"/>
    <x v="21"/>
    <s v="South"/>
    <s v="Hyderabad"/>
    <s v="Retail Store"/>
    <s v="Sneha Reddy"/>
    <s v="Omega Stores"/>
    <x v="3"/>
    <s v="Headphones"/>
    <n v="3"/>
    <n v="48703.33"/>
    <n v="146109.99"/>
    <n v="0"/>
    <n v="0"/>
    <n v="146109.99"/>
    <s v="Pending"/>
    <s v="Pending"/>
  </r>
  <r>
    <s v="INV-2026-00327"/>
    <x v="66"/>
    <s v="North"/>
    <s v="Delhi"/>
    <s v="Direct Sales"/>
    <s v="Vijay Singh"/>
    <s v="Tech Solutions"/>
    <x v="0"/>
    <s v="File Folder"/>
    <n v="4"/>
    <n v="44542.84"/>
    <n v="178171.36"/>
    <n v="27168.44"/>
    <n v="0"/>
    <n v="151002.92000000001"/>
    <s v="Completed"/>
    <s v="Paid"/>
  </r>
  <r>
    <s v="INV-2026-00328"/>
    <x v="43"/>
    <s v="West"/>
    <s v="Surat"/>
    <s v="Online"/>
    <s v="Rahul Sharma"/>
    <s v="Skyline Corp"/>
    <x v="5"/>
    <s v="TV"/>
    <n v="7"/>
    <n v="23735.18"/>
    <n v="166146.26"/>
    <n v="0"/>
    <n v="0"/>
    <n v="166146.26"/>
    <s v="Pending"/>
    <s v="Paid"/>
  </r>
  <r>
    <s v="INV-2026-00329"/>
    <x v="26"/>
    <s v="South"/>
    <s v="Chennai"/>
    <s v="Direct Sales"/>
    <s v="Kavita Nair"/>
    <s v="Nexus Ltd"/>
    <x v="3"/>
    <s v="Tablet"/>
    <n v="43"/>
    <n v="19903.330000000002"/>
    <n v="855843.19"/>
    <n v="0"/>
    <n v="0"/>
    <n v="855843.19"/>
    <s v="Cancelled"/>
    <s v="Pending"/>
  </r>
  <r>
    <s v="INV-2026-00330"/>
    <x v="72"/>
    <s v="South"/>
    <s v="Bangalore"/>
    <s v="Distributor"/>
    <s v="Meera Joshi"/>
    <s v="Digital Hub"/>
    <x v="2"/>
    <s v="Yoga Mat"/>
    <n v="38"/>
    <n v="33629.57"/>
    <n v="1277923.6599999999"/>
    <n v="255373.15"/>
    <n v="0"/>
    <n v="1022550.51"/>
    <s v="Completed"/>
    <s v="Paid"/>
  </r>
  <r>
    <s v="INV-2026-00331"/>
    <x v="58"/>
    <s v="East"/>
    <s v="Patna"/>
    <s v="Retail Store"/>
    <s v="Anita Desai"/>
    <s v="Tech Solutions"/>
    <x v="0"/>
    <s v="File Folder"/>
    <n v="42"/>
    <n v="34554.51"/>
    <n v="1451289.42"/>
    <n v="115784.9"/>
    <n v="0"/>
    <n v="1335504.52"/>
    <s v="Cancelled"/>
    <s v="Pending"/>
  </r>
  <r>
    <s v="INV-2026-00332"/>
    <x v="40"/>
    <s v="North"/>
    <s v="Chandigarh"/>
    <s v="Direct Sales"/>
    <s v="Rahul Sharma"/>
    <s v="Alpha Trading"/>
    <x v="2"/>
    <s v="Yoga Mat"/>
    <n v="39"/>
    <n v="925.92"/>
    <n v="36110.879999999997"/>
    <n v="0"/>
    <n v="0"/>
    <n v="36110.879999999997"/>
    <s v="Pending"/>
    <s v="Pending"/>
  </r>
  <r>
    <s v="INV-2026-00333"/>
    <x v="46"/>
    <s v="East"/>
    <s v="Bhubaneswar"/>
    <s v="Online"/>
    <s v="Sneha Reddy"/>
    <s v="Smart Systems"/>
    <x v="2"/>
    <s v="Cricket Bat"/>
    <n v="2"/>
    <n v="25248.2"/>
    <n v="50496.4"/>
    <n v="9145.99"/>
    <n v="0"/>
    <n v="41350.410000000003"/>
    <s v="Completed"/>
    <s v="Paid"/>
  </r>
  <r>
    <s v="INV-2026-00334"/>
    <x v="64"/>
    <s v="East"/>
    <s v="Bhubaneswar"/>
    <s v="Online"/>
    <s v="Sneha Reddy"/>
    <s v="Alpha Trading"/>
    <x v="2"/>
    <s v="Football"/>
    <n v="15"/>
    <n v="20976.26"/>
    <n v="314643.90000000002"/>
    <n v="42228.97"/>
    <n v="0"/>
    <n v="272414.93"/>
    <s v="Completed"/>
    <s v="Paid"/>
  </r>
  <r>
    <s v="INV-2026-00335"/>
    <x v="17"/>
    <s v="West"/>
    <s v="Mumbai"/>
    <s v="Direct Sales"/>
    <s v="Rahul Sharma"/>
    <s v="XYZ Ltd"/>
    <x v="2"/>
    <s v="Bicycle"/>
    <n v="11"/>
    <n v="39946.19"/>
    <n v="439408.09"/>
    <n v="0"/>
    <n v="0"/>
    <n v="439408.09"/>
    <s v="Cancelled"/>
    <s v="Pending"/>
  </r>
  <r>
    <s v="INV-2026-00336"/>
    <x v="58"/>
    <s v="North"/>
    <s v="Chandigarh"/>
    <s v="Direct Sales"/>
    <s v="Vijay Singh"/>
    <s v="Tech Solutions"/>
    <x v="1"/>
    <s v="Bookshelf"/>
    <n v="37"/>
    <n v="38246.07"/>
    <n v="1415104.59"/>
    <n v="92518.95"/>
    <n v="0"/>
    <n v="1322585.6399999999"/>
    <s v="Processing"/>
    <s v="Pending"/>
  </r>
  <r>
    <s v="INV-2026-00337"/>
    <x v="77"/>
    <s v="South"/>
    <s v="Chennai"/>
    <s v="Direct Sales"/>
    <s v="Kavita Nair"/>
    <s v="Future Tech"/>
    <x v="1"/>
    <s v="Desk"/>
    <n v="31"/>
    <n v="35947.93"/>
    <n v="1114385.83"/>
    <n v="0"/>
    <n v="0"/>
    <n v="1114385.83"/>
    <s v="Cancelled"/>
    <s v="Pending"/>
  </r>
  <r>
    <s v="INV-2026-00338"/>
    <x v="85"/>
    <s v="East"/>
    <s v="Guwahati"/>
    <s v="Direct Sales"/>
    <s v="Rahul Sharma"/>
    <s v="Prime Retail"/>
    <x v="1"/>
    <s v="Conference Table"/>
    <n v="43"/>
    <n v="34445.71"/>
    <n v="1481165.53"/>
    <n v="0"/>
    <n v="0"/>
    <n v="1481165.53"/>
    <s v="Cancelled"/>
    <s v="Pending"/>
  </r>
  <r>
    <s v="INV-2026-00339"/>
    <x v="88"/>
    <s v="South"/>
    <s v="Bangalore"/>
    <s v="Online"/>
    <s v="Rajesh Verma"/>
    <s v="XYZ Ltd"/>
    <x v="1"/>
    <s v="Bookshelf"/>
    <n v="17"/>
    <n v="24864.35"/>
    <n v="422693.95"/>
    <n v="26149.06"/>
    <n v="0"/>
    <n v="396544.89"/>
    <s v="Processing"/>
    <s v="Pending"/>
  </r>
  <r>
    <s v="INV-2026-00340"/>
    <x v="85"/>
    <s v="West"/>
    <s v="Ahmedabad"/>
    <s v="Direct Sales"/>
    <s v="Vijay Singh"/>
    <s v="Prime Retail"/>
    <x v="0"/>
    <s v="Desk Organizer"/>
    <n v="15"/>
    <n v="24870.47"/>
    <n v="373057.05"/>
    <n v="22018.31"/>
    <n v="0"/>
    <n v="351038.74"/>
    <s v="Pending"/>
    <s v="Paid"/>
  </r>
  <r>
    <s v="INV-2026-00341"/>
    <x v="17"/>
    <s v="East"/>
    <s v="Patna"/>
    <s v="Direct Sales"/>
    <s v="Amit Kumar"/>
    <s v="Global Traders"/>
    <x v="3"/>
    <s v="Laptop"/>
    <n v="16"/>
    <n v="15045.78"/>
    <n v="240732.48"/>
    <n v="5336.24"/>
    <n v="0"/>
    <n v="235396.24"/>
    <s v="Cancelled"/>
    <s v="Pending"/>
  </r>
  <r>
    <s v="INV-2026-00342"/>
    <x v="43"/>
    <s v="South"/>
    <s v="Bangalore"/>
    <s v="Direct Sales"/>
    <s v="Amit Kumar"/>
    <s v="ABC Corp"/>
    <x v="4"/>
    <s v="Shoes"/>
    <n v="10"/>
    <n v="44230.34"/>
    <n v="442303.4"/>
    <n v="24701.55"/>
    <n v="0"/>
    <n v="417601.85"/>
    <s v="Cancelled"/>
    <s v="Pending"/>
  </r>
  <r>
    <s v="INV-2026-00343"/>
    <x v="19"/>
    <s v="Central"/>
    <s v="Bhopal"/>
    <s v="Retail Store"/>
    <s v="Anita Desai"/>
    <s v="Tech Solutions"/>
    <x v="1"/>
    <s v="Cabinet"/>
    <n v="48"/>
    <n v="35757.97"/>
    <n v="1716382.56"/>
    <n v="44916.54"/>
    <n v="0"/>
    <n v="1671466.02"/>
    <s v="Pending"/>
    <s v="Pending"/>
  </r>
  <r>
    <s v="INV-2026-00344"/>
    <x v="79"/>
    <s v="South"/>
    <s v="Kochi"/>
    <s v="Online"/>
    <s v="Rajesh Verma"/>
    <s v="Tech Solutions"/>
    <x v="5"/>
    <s v="Washing Machine"/>
    <n v="18"/>
    <n v="40460"/>
    <n v="728280"/>
    <n v="100139.06"/>
    <n v="0"/>
    <n v="628140.93999999994"/>
    <s v="Cancelled"/>
    <s v="Pending"/>
  </r>
  <r>
    <s v="INV-2026-00345"/>
    <x v="19"/>
    <s v="West"/>
    <s v="Pune"/>
    <s v="Direct Sales"/>
    <s v="Rajesh Verma"/>
    <s v="Smart Systems"/>
    <x v="3"/>
    <s v="Headphones"/>
    <n v="2"/>
    <n v="15025.9"/>
    <n v="30051.8"/>
    <n v="321.64999999999998"/>
    <n v="0"/>
    <n v="29730.15"/>
    <s v="Completed"/>
    <s v="Paid"/>
  </r>
  <r>
    <s v="INV-2026-00346"/>
    <x v="83"/>
    <s v="Central"/>
    <s v="Raipur"/>
    <s v="Direct Sales"/>
    <s v="Kavita Nair"/>
    <s v="XYZ Ltd"/>
    <x v="0"/>
    <s v="Printer Paper"/>
    <n v="20"/>
    <n v="1142.3499999999999"/>
    <n v="22847"/>
    <n v="0"/>
    <n v="0"/>
    <n v="22847"/>
    <s v="Processing"/>
    <s v="Paid"/>
  </r>
  <r>
    <s v="INV-2026-00347"/>
    <x v="74"/>
    <s v="Central"/>
    <s v="Nagpur"/>
    <s v="Retail Store"/>
    <s v="Amit Kumar"/>
    <s v="XYZ Ltd"/>
    <x v="2"/>
    <s v="Gym Equipment"/>
    <n v="46"/>
    <n v="47003.64"/>
    <n v="2162167.44"/>
    <n v="354256.02"/>
    <n v="0"/>
    <n v="1807911.42"/>
    <s v="Processing"/>
    <s v="Pending"/>
  </r>
  <r>
    <s v="INV-2026-00348"/>
    <x v="48"/>
    <s v="Central"/>
    <s v="Raipur"/>
    <s v="Online"/>
    <s v="Rajesh Verma"/>
    <s v="Smart Systems"/>
    <x v="2"/>
    <s v="Cricket Bat"/>
    <n v="40"/>
    <n v="28758.95"/>
    <n v="1150358"/>
    <n v="0"/>
    <n v="0"/>
    <n v="1150358"/>
    <s v="Completed"/>
    <s v="Paid"/>
  </r>
  <r>
    <s v="INV-2026-00349"/>
    <x v="55"/>
    <s v="North"/>
    <s v="Delhi"/>
    <s v="Direct Sales"/>
    <s v="Suresh Gupta"/>
    <s v="Digital Hub"/>
    <x v="1"/>
    <s v="Office Chair"/>
    <n v="46"/>
    <n v="30021.31"/>
    <n v="1380980.26"/>
    <n v="0"/>
    <n v="0"/>
    <n v="1380980.26"/>
    <s v="Pending"/>
    <s v="Pending"/>
  </r>
  <r>
    <s v="INV-2026-00350"/>
    <x v="87"/>
    <s v="West"/>
    <s v="Mumbai"/>
    <s v="Direct Sales"/>
    <s v="Sneha Reddy"/>
    <s v="Urban Store"/>
    <x v="4"/>
    <s v="Jacket"/>
    <n v="6"/>
    <n v="42555.47"/>
    <n v="255332.82"/>
    <n v="0"/>
    <n v="0"/>
    <n v="255332.82"/>
    <s v="Cancelled"/>
    <s v="Pending"/>
  </r>
  <r>
    <s v="INV-2026-00351"/>
    <x v="78"/>
    <s v="Central"/>
    <s v="Raipur"/>
    <s v="Retail Store"/>
    <s v="Vijay Singh"/>
    <s v="Skyline Corp"/>
    <x v="4"/>
    <s v="Jeans"/>
    <n v="11"/>
    <n v="42792.72"/>
    <n v="470719.92"/>
    <n v="57528.83"/>
    <n v="0"/>
    <n v="413191.09"/>
    <s v="Cancelled"/>
    <s v="Pending"/>
  </r>
  <r>
    <s v="INV-2026-00352"/>
    <x v="9"/>
    <s v="East"/>
    <s v="Guwahati"/>
    <s v="Direct Sales"/>
    <s v="Anita Desai"/>
    <s v="Elite Enterprises"/>
    <x v="3"/>
    <s v="Camera"/>
    <n v="24"/>
    <n v="49453.37"/>
    <n v="1186880.8799999999"/>
    <n v="111567.26"/>
    <n v="0"/>
    <n v="1075313.6200000001"/>
    <s v="Completed"/>
    <s v="Paid"/>
  </r>
  <r>
    <s v="INV-2026-00353"/>
    <x v="89"/>
    <s v="South"/>
    <s v="Kochi"/>
    <s v="Online"/>
    <s v="Priya Patel"/>
    <s v="XYZ Ltd"/>
    <x v="1"/>
    <s v="Office Chair"/>
    <n v="37"/>
    <n v="15917.08"/>
    <n v="588931.96"/>
    <n v="0"/>
    <n v="0"/>
    <n v="588931.96"/>
    <s v="Processing"/>
    <s v="Pending"/>
  </r>
  <r>
    <s v="INV-2026-00354"/>
    <x v="71"/>
    <s v="South"/>
    <s v="Chennai"/>
    <s v="Distributor"/>
    <s v="Amit Kumar"/>
    <s v="Metro Mart"/>
    <x v="0"/>
    <s v="Printer Paper"/>
    <n v="45"/>
    <n v="16651.439999999999"/>
    <n v="749314.8"/>
    <n v="95569.22"/>
    <n v="0"/>
    <n v="653745.57999999996"/>
    <s v="Completed"/>
    <s v="Paid"/>
  </r>
  <r>
    <s v="INV-2026-00355"/>
    <x v="75"/>
    <s v="East"/>
    <s v="Kolkata"/>
    <s v="Online"/>
    <s v="Amit Kumar"/>
    <s v="Tech Solutions"/>
    <x v="2"/>
    <s v="Football"/>
    <n v="37"/>
    <n v="25450.42"/>
    <n v="941665.54"/>
    <n v="100113.05"/>
    <n v="0"/>
    <n v="841552.49"/>
    <s v="Pending"/>
    <s v="Pending"/>
  </r>
  <r>
    <s v="INV-2026-00356"/>
    <x v="20"/>
    <s v="East"/>
    <s v="Bhubaneswar"/>
    <s v="Online"/>
    <s v="Rahul Sharma"/>
    <s v="Smart Systems"/>
    <x v="4"/>
    <s v="T-Shirt"/>
    <n v="30"/>
    <n v="31850.87"/>
    <n v="955526.1"/>
    <n v="160052.63"/>
    <n v="181966.06"/>
    <n v="613507.41"/>
    <s v="Pending"/>
    <s v="Paid"/>
  </r>
  <r>
    <s v="INV-2026-00357"/>
    <x v="73"/>
    <s v="North"/>
    <s v="Jaipur"/>
    <s v="Direct Sales"/>
    <s v="Amit Kumar"/>
    <s v="Tech Solutions"/>
    <x v="2"/>
    <s v="Football"/>
    <n v="38"/>
    <n v="44272.59"/>
    <n v="1682358.42"/>
    <n v="282725.14"/>
    <n v="0"/>
    <n v="1399633.28"/>
    <s v="Pending"/>
    <s v="Pending"/>
  </r>
  <r>
    <s v="INV-2026-00358"/>
    <x v="22"/>
    <s v="Central"/>
    <s v="Bhopal"/>
    <s v="Distributor"/>
    <s v="Sneha Reddy"/>
    <s v="ABC Corp"/>
    <x v="1"/>
    <s v="Bookshelf"/>
    <n v="40"/>
    <n v="565.1"/>
    <n v="22604"/>
    <n v="610.44000000000005"/>
    <n v="3992.19"/>
    <n v="18001.37"/>
    <s v="Completed"/>
    <s v="Overdue"/>
  </r>
  <r>
    <s v="INV-2026-00359"/>
    <x v="18"/>
    <s v="West"/>
    <s v="Surat"/>
    <s v="Retail Store"/>
    <s v="Priya Patel"/>
    <s v="Global Traders"/>
    <x v="5"/>
    <s v="Vacuum Cleaner"/>
    <n v="21"/>
    <n v="8640.2099999999991"/>
    <n v="181444.41"/>
    <n v="12748.02"/>
    <n v="0"/>
    <n v="168696.39"/>
    <s v="Processing"/>
    <s v="Pending"/>
  </r>
  <r>
    <s v="INV-2026-00360"/>
    <x v="88"/>
    <s v="South"/>
    <s v="Kochi"/>
    <s v="Online"/>
    <s v="Suresh Gupta"/>
    <s v="Nexus Ltd"/>
    <x v="2"/>
    <s v="Tennis Racket"/>
    <n v="32"/>
    <n v="18645.07"/>
    <n v="596642.24"/>
    <n v="72897.259999999995"/>
    <n v="0"/>
    <n v="523744.98"/>
    <s v="Completed"/>
    <s v="Pending"/>
  </r>
  <r>
    <s v="INV-2026-00361"/>
    <x v="89"/>
    <s v="North"/>
    <s v="Jaipur"/>
    <s v="Direct Sales"/>
    <s v="Vijay Singh"/>
    <s v="Skyline Corp"/>
    <x v="4"/>
    <s v="Jeans"/>
    <n v="34"/>
    <n v="5984.32"/>
    <n v="203466.88"/>
    <n v="29383.65"/>
    <n v="0"/>
    <n v="174083.23"/>
    <s v="Processing"/>
    <s v="Pending"/>
  </r>
  <r>
    <s v="INV-2026-00362"/>
    <x v="62"/>
    <s v="Central"/>
    <s v="Nagpur"/>
    <s v="Distributor"/>
    <s v="Sneha Reddy"/>
    <s v="Nexus Ltd"/>
    <x v="3"/>
    <s v="Smart Watch"/>
    <n v="42"/>
    <n v="25736.35"/>
    <n v="1080926.7"/>
    <n v="0"/>
    <n v="0"/>
    <n v="1080926.7"/>
    <s v="Cancelled"/>
    <s v="Pending"/>
  </r>
  <r>
    <s v="INV-2026-00363"/>
    <x v="59"/>
    <s v="East"/>
    <s v="Guwahati"/>
    <s v="Retail Store"/>
    <s v="Meera Joshi"/>
    <s v="ABC Corp"/>
    <x v="1"/>
    <s v="Cabinet"/>
    <n v="1"/>
    <n v="26479.08"/>
    <n v="26479.08"/>
    <n v="3009.09"/>
    <n v="0"/>
    <n v="23469.99"/>
    <s v="Pending"/>
    <s v="Pending"/>
  </r>
  <r>
    <s v="INV-2026-00364"/>
    <x v="66"/>
    <s v="North"/>
    <s v="Jaipur"/>
    <s v="Distributor"/>
    <s v="Kavita Nair"/>
    <s v="Elite Enterprises"/>
    <x v="4"/>
    <s v="Jacket"/>
    <n v="8"/>
    <n v="12339.06"/>
    <n v="98712.48"/>
    <n v="0"/>
    <n v="0"/>
    <n v="98712.48"/>
    <s v="Processing"/>
    <s v="Pending"/>
  </r>
  <r>
    <s v="INV-2026-00365"/>
    <x v="21"/>
    <s v="South"/>
    <s v="Hyderabad"/>
    <s v="Online"/>
    <s v="Rajesh Verma"/>
    <s v="Future Tech"/>
    <x v="4"/>
    <s v="Formal Shirt"/>
    <n v="35"/>
    <n v="43370.39"/>
    <n v="1517963.65"/>
    <n v="222718.73"/>
    <n v="0"/>
    <n v="1295244.92"/>
    <s v="Completed"/>
    <s v="Paid"/>
  </r>
  <r>
    <s v="INV-2026-00366"/>
    <x v="70"/>
    <s v="East"/>
    <s v="Kolkata"/>
    <s v="Distributor"/>
    <s v="Vijay Singh"/>
    <s v="Omega Stores"/>
    <x v="1"/>
    <s v="Desk"/>
    <n v="48"/>
    <n v="4165.76"/>
    <n v="199956.48000000001"/>
    <n v="9127.0400000000009"/>
    <n v="0"/>
    <n v="190829.44"/>
    <s v="Pending"/>
    <s v="Paid"/>
  </r>
  <r>
    <s v="INV-2026-00367"/>
    <x v="64"/>
    <s v="South"/>
    <s v="Bangalore"/>
    <s v="Retail Store"/>
    <s v="Amit Kumar"/>
    <s v="XYZ Ltd"/>
    <x v="3"/>
    <s v="Headphones"/>
    <n v="6"/>
    <n v="13140.24"/>
    <n v="78841.440000000002"/>
    <n v="0"/>
    <n v="0"/>
    <n v="78841.440000000002"/>
    <s v="Cancelled"/>
    <s v="Pending"/>
  </r>
  <r>
    <s v="INV-2026-00368"/>
    <x v="26"/>
    <s v="North"/>
    <s v="Delhi"/>
    <s v="Online"/>
    <s v="Vijay Singh"/>
    <s v="ABC Corp"/>
    <x v="3"/>
    <s v="Smartphone"/>
    <n v="31"/>
    <n v="13107.47"/>
    <n v="406331.57"/>
    <n v="12646"/>
    <n v="0"/>
    <n v="393685.57"/>
    <s v="Cancelled"/>
    <s v="Pending"/>
  </r>
  <r>
    <s v="INV-2026-00369"/>
    <x v="7"/>
    <s v="South"/>
    <s v="Bangalore"/>
    <s v="Distributor"/>
    <s v="Rajesh Verma"/>
    <s v="Skyline Corp"/>
    <x v="1"/>
    <s v="Office Chair"/>
    <n v="22"/>
    <n v="40832.019999999997"/>
    <n v="898304.44"/>
    <n v="88209.79"/>
    <n v="59275.94"/>
    <n v="750818.71"/>
    <s v="Cancelled"/>
    <s v="Pending"/>
  </r>
  <r>
    <s v="INV-2026-00370"/>
    <x v="40"/>
    <s v="North"/>
    <s v="Chandigarh"/>
    <s v="Direct Sales"/>
    <s v="Rajesh Verma"/>
    <s v="Urban Store"/>
    <x v="4"/>
    <s v="Jeans"/>
    <n v="45"/>
    <n v="5084.07"/>
    <n v="228783.15"/>
    <n v="39258.81"/>
    <n v="0"/>
    <n v="189524.34"/>
    <s v="Processing"/>
    <s v="Pending"/>
  </r>
  <r>
    <s v="INV-2026-00371"/>
    <x v="21"/>
    <s v="West"/>
    <s v="Ahmedabad"/>
    <s v="Distributor"/>
    <s v="Rajesh Verma"/>
    <s v="Tech Solutions"/>
    <x v="0"/>
    <s v="Pen Set"/>
    <n v="38"/>
    <n v="4795.4799999999996"/>
    <n v="182228.24"/>
    <n v="0"/>
    <n v="0"/>
    <n v="182228.24"/>
    <s v="Processing"/>
    <s v="Paid"/>
  </r>
  <r>
    <s v="INV-2026-00372"/>
    <x v="26"/>
    <s v="West"/>
    <s v="Ahmedabad"/>
    <s v="Distributor"/>
    <s v="Suresh Gupta"/>
    <s v="Urban Store"/>
    <x v="1"/>
    <s v="Conference Table"/>
    <n v="4"/>
    <n v="50469.02"/>
    <n v="201876.08"/>
    <n v="0"/>
    <n v="0"/>
    <n v="201876.08"/>
    <s v="Pending"/>
    <s v="Paid"/>
  </r>
  <r>
    <s v="INV-2026-00373"/>
    <x v="13"/>
    <s v="North"/>
    <s v="Lucknow"/>
    <s v="Direct Sales"/>
    <s v="Amit Kumar"/>
    <s v="Metro Mart"/>
    <x v="0"/>
    <s v="Notebook"/>
    <n v="39"/>
    <n v="37929.360000000001"/>
    <n v="1479245.04"/>
    <n v="206067.26"/>
    <n v="0"/>
    <n v="1273177.78"/>
    <s v="Processing"/>
    <s v="Pending"/>
  </r>
  <r>
    <s v="INV-2026-00374"/>
    <x v="85"/>
    <s v="South"/>
    <s v="Kochi"/>
    <s v="Retail Store"/>
    <s v="Rajesh Verma"/>
    <s v="Nexus Ltd"/>
    <x v="1"/>
    <s v="Sofa"/>
    <n v="40"/>
    <n v="26497.95"/>
    <n v="1059918"/>
    <n v="145055.85"/>
    <n v="0"/>
    <n v="914862.15"/>
    <s v="Completed"/>
    <s v="Paid"/>
  </r>
  <r>
    <s v="INV-2026-00375"/>
    <x v="54"/>
    <s v="North"/>
    <s v="Chandigarh"/>
    <s v="Distributor"/>
    <s v="Suresh Gupta"/>
    <s v="Digital Hub"/>
    <x v="3"/>
    <s v="Laptop"/>
    <n v="2"/>
    <n v="25244.06"/>
    <n v="50488.12"/>
    <n v="3551.37"/>
    <n v="0"/>
    <n v="46936.75"/>
    <s v="Cancelled"/>
    <s v="Pending"/>
  </r>
  <r>
    <s v="INV-2026-00376"/>
    <x v="75"/>
    <s v="West"/>
    <s v="Pune"/>
    <s v="Online"/>
    <s v="Suresh Gupta"/>
    <s v="Skyline Corp"/>
    <x v="4"/>
    <s v="Jacket"/>
    <n v="47"/>
    <n v="1464.86"/>
    <n v="68848.42"/>
    <n v="0"/>
    <n v="0"/>
    <n v="68848.42"/>
    <s v="Processing"/>
    <s v="Paid"/>
  </r>
  <r>
    <s v="INV-2026-00377"/>
    <x v="29"/>
    <s v="West"/>
    <s v="Ahmedabad"/>
    <s v="Direct Sales"/>
    <s v="Sneha Reddy"/>
    <s v="Future Tech"/>
    <x v="3"/>
    <s v="Tablet"/>
    <n v="40"/>
    <n v="39318.93"/>
    <n v="1572757.2"/>
    <n v="197605.23"/>
    <n v="0"/>
    <n v="1375151.97"/>
    <s v="Completed"/>
    <s v="Paid"/>
  </r>
  <r>
    <s v="INV-2026-00378"/>
    <x v="38"/>
    <s v="Central"/>
    <s v="Bhopal"/>
    <s v="Direct Sales"/>
    <s v="Rahul Sharma"/>
    <s v="Urban Store"/>
    <x v="4"/>
    <s v="Jacket"/>
    <n v="16"/>
    <n v="31266.67"/>
    <n v="500266.72"/>
    <n v="84135.19"/>
    <n v="0"/>
    <n v="416131.53"/>
    <s v="Cancelled"/>
    <s v="Pending"/>
  </r>
  <r>
    <s v="INV-2026-00379"/>
    <x v="38"/>
    <s v="Central"/>
    <s v="Nagpur"/>
    <s v="Direct Sales"/>
    <s v="Suresh Gupta"/>
    <s v="Metro Mart"/>
    <x v="5"/>
    <s v="Refrigerator"/>
    <n v="35"/>
    <n v="35681.4"/>
    <n v="1248849"/>
    <n v="0"/>
    <n v="255364.31"/>
    <n v="993484.69"/>
    <s v="Pending"/>
    <s v="Paid"/>
  </r>
  <r>
    <s v="INV-2026-00380"/>
    <x v="18"/>
    <s v="South"/>
    <s v="Kochi"/>
    <s v="Direct Sales"/>
    <s v="Kavita Nair"/>
    <s v="Global Traders"/>
    <x v="4"/>
    <s v="Jeans"/>
    <n v="35"/>
    <n v="15660.88"/>
    <n v="548130.80000000005"/>
    <n v="0"/>
    <n v="0"/>
    <n v="548130.80000000005"/>
    <s v="Pending"/>
    <s v="Paid"/>
  </r>
  <r>
    <s v="INV-2026-00381"/>
    <x v="90"/>
    <s v="North"/>
    <s v="Jaipur"/>
    <s v="Online"/>
    <s v="Rajesh Verma"/>
    <s v="Tech Solutions"/>
    <x v="4"/>
    <s v="Shoes"/>
    <n v="24"/>
    <n v="30402.91"/>
    <n v="729669.84"/>
    <n v="59432.959999999999"/>
    <n v="0"/>
    <n v="670236.88"/>
    <s v="Processing"/>
    <s v="Pending"/>
  </r>
  <r>
    <s v="INV-2026-00382"/>
    <x v="60"/>
    <s v="East"/>
    <s v="Guwahati"/>
    <s v="Distributor"/>
    <s v="Meera Joshi"/>
    <s v="Global Traders"/>
    <x v="2"/>
    <s v="Football"/>
    <n v="11"/>
    <n v="34826.47"/>
    <n v="383091.17"/>
    <n v="62803.67"/>
    <n v="0"/>
    <n v="320287.5"/>
    <s v="Cancelled"/>
    <s v="Pending"/>
  </r>
  <r>
    <s v="INV-2026-00383"/>
    <x v="47"/>
    <s v="West"/>
    <s v="Ahmedabad"/>
    <s v="Distributor"/>
    <s v="Rajesh Verma"/>
    <s v="Smart Systems"/>
    <x v="2"/>
    <s v="Tennis Racket"/>
    <n v="41"/>
    <n v="6291.09"/>
    <n v="257934.69"/>
    <n v="0"/>
    <n v="0"/>
    <n v="257934.69"/>
    <s v="Processing"/>
    <s v="Pending"/>
  </r>
  <r>
    <s v="INV-2026-00384"/>
    <x v="75"/>
    <s v="North"/>
    <s v="Chandigarh"/>
    <s v="Direct Sales"/>
    <s v="Vijay Singh"/>
    <s v="Alpha Trading"/>
    <x v="2"/>
    <s v="Bicycle"/>
    <n v="9"/>
    <n v="45903.46"/>
    <n v="413131.14"/>
    <n v="61503.97"/>
    <n v="0"/>
    <n v="351627.17"/>
    <s v="Pending"/>
    <s v="Pending"/>
  </r>
  <r>
    <s v="INV-2026-00385"/>
    <x v="63"/>
    <s v="Central"/>
    <s v="Raipur"/>
    <s v="Distributor"/>
    <s v="Rahul Sharma"/>
    <s v="Urban Store"/>
    <x v="2"/>
    <s v="Yoga Mat"/>
    <n v="10"/>
    <n v="3712.8"/>
    <n v="37128"/>
    <n v="6280.14"/>
    <n v="0"/>
    <n v="30847.86"/>
    <s v="Processing"/>
    <s v="Pending"/>
  </r>
  <r>
    <s v="INV-2026-00386"/>
    <x v="64"/>
    <s v="Central"/>
    <s v="Indore"/>
    <s v="Distributor"/>
    <s v="Kavita Nair"/>
    <s v="Global Traders"/>
    <x v="2"/>
    <s v="Yoga Mat"/>
    <n v="35"/>
    <n v="13610.38"/>
    <n v="476363.3"/>
    <n v="0"/>
    <n v="0"/>
    <n v="476363.3"/>
    <s v="Pending"/>
    <s v="Pending"/>
  </r>
  <r>
    <s v="INV-2026-00387"/>
    <x v="7"/>
    <s v="Central"/>
    <s v="Raipur"/>
    <s v="Retail Store"/>
    <s v="Rahul Sharma"/>
    <s v="Digital Hub"/>
    <x v="0"/>
    <s v="Printer Paper"/>
    <n v="30"/>
    <n v="40389.370000000003"/>
    <n v="1211681.1000000001"/>
    <n v="232489.57"/>
    <n v="0"/>
    <n v="979191.53"/>
    <s v="Processing"/>
    <s v="Pending"/>
  </r>
  <r>
    <s v="INV-2026-00388"/>
    <x v="42"/>
    <s v="Central"/>
    <s v="Indore"/>
    <s v="Retail Store"/>
    <s v="Vijay Singh"/>
    <s v="Elite Enterprises"/>
    <x v="1"/>
    <s v="Cabinet"/>
    <n v="42"/>
    <n v="37476.449999999997"/>
    <n v="1574010.9"/>
    <n v="0"/>
    <n v="0"/>
    <n v="1574010.9"/>
    <s v="Processing"/>
    <s v="Pending"/>
  </r>
  <r>
    <s v="INV-2026-00389"/>
    <x v="27"/>
    <s v="West"/>
    <s v="Mumbai"/>
    <s v="Distributor"/>
    <s v="Meera Joshi"/>
    <s v="Digital Hub"/>
    <x v="2"/>
    <s v="Football"/>
    <n v="5"/>
    <n v="25821.65"/>
    <n v="129108.25"/>
    <n v="0"/>
    <n v="12680.15"/>
    <n v="116428.1"/>
    <s v="Completed"/>
    <s v="Paid"/>
  </r>
  <r>
    <s v="INV-2026-00390"/>
    <x v="86"/>
    <s v="Central"/>
    <s v="Bhopal"/>
    <s v="Distributor"/>
    <s v="Rahul Sharma"/>
    <s v="Alpha Trading"/>
    <x v="1"/>
    <s v="Cabinet"/>
    <n v="20"/>
    <n v="15331.65"/>
    <n v="306633"/>
    <n v="17235.21"/>
    <n v="0"/>
    <n v="289397.78999999998"/>
    <s v="Completed"/>
    <s v="Pending"/>
  </r>
  <r>
    <s v="INV-2026-00391"/>
    <x v="6"/>
    <s v="North"/>
    <s v="Jaipur"/>
    <s v="Direct Sales"/>
    <s v="Vijay Singh"/>
    <s v="Digital Hub"/>
    <x v="0"/>
    <s v="Whiteboard"/>
    <n v="26"/>
    <n v="39653.949999999997"/>
    <n v="1031002.7"/>
    <n v="26868.98"/>
    <n v="0"/>
    <n v="1004133.72"/>
    <s v="Pending"/>
    <s v="Pending"/>
  </r>
  <r>
    <s v="INV-2026-00392"/>
    <x v="8"/>
    <s v="North"/>
    <s v="Chandigarh"/>
    <s v="Online"/>
    <s v="Sneha Reddy"/>
    <s v="Omega Stores"/>
    <x v="1"/>
    <s v="Cabinet"/>
    <n v="33"/>
    <n v="13450.87"/>
    <n v="443878.71"/>
    <n v="0"/>
    <n v="0"/>
    <n v="443878.71"/>
    <s v="Completed"/>
    <s v="Paid"/>
  </r>
  <r>
    <s v="INV-2026-00393"/>
    <x v="85"/>
    <s v="Central"/>
    <s v="Nagpur"/>
    <s v="Distributor"/>
    <s v="Suresh Gupta"/>
    <s v="Skyline Corp"/>
    <x v="5"/>
    <s v="Refrigerator"/>
    <n v="8"/>
    <n v="45426.16"/>
    <n v="363409.28"/>
    <n v="3464.34"/>
    <n v="0"/>
    <n v="359944.94"/>
    <s v="Processing"/>
    <s v="Paid"/>
  </r>
  <r>
    <s v="INV-2026-00394"/>
    <x v="63"/>
    <s v="West"/>
    <s v="Ahmedabad"/>
    <s v="Retail Store"/>
    <s v="Kavita Nair"/>
    <s v="Digital Hub"/>
    <x v="2"/>
    <s v="Gym Equipment"/>
    <n v="32"/>
    <n v="21816.19"/>
    <n v="698118.08"/>
    <n v="47119.03"/>
    <n v="0"/>
    <n v="650999.05000000005"/>
    <s v="Pending"/>
    <s v="Pending"/>
  </r>
  <r>
    <s v="INV-2026-00395"/>
    <x v="19"/>
    <s v="Central"/>
    <s v="Nagpur"/>
    <s v="Direct Sales"/>
    <s v="Suresh Gupta"/>
    <s v="Urban Store"/>
    <x v="3"/>
    <s v="Tablet"/>
    <n v="18"/>
    <n v="7091.14"/>
    <n v="127640.52"/>
    <n v="4103.2700000000004"/>
    <n v="0"/>
    <n v="123537.25"/>
    <s v="Cancelled"/>
    <s v="Pending"/>
  </r>
  <r>
    <s v="INV-2026-00396"/>
    <x v="0"/>
    <s v="West"/>
    <s v="Ahmedabad"/>
    <s v="Direct Sales"/>
    <s v="Sneha Reddy"/>
    <s v="Smart Systems"/>
    <x v="2"/>
    <s v="Gym Equipment"/>
    <n v="10"/>
    <n v="26752.66"/>
    <n v="267526.59999999998"/>
    <n v="0"/>
    <n v="0"/>
    <n v="267526.59999999998"/>
    <s v="Cancelled"/>
    <s v="Pending"/>
  </r>
  <r>
    <s v="INV-2026-00397"/>
    <x v="82"/>
    <s v="Central"/>
    <s v="Nagpur"/>
    <s v="Distributor"/>
    <s v="Rahul Sharma"/>
    <s v="Skyline Corp"/>
    <x v="0"/>
    <s v="Printer Paper"/>
    <n v="48"/>
    <n v="47952.13"/>
    <n v="2301702.2400000002"/>
    <n v="51007.87"/>
    <n v="0"/>
    <n v="2250694.37"/>
    <s v="Processing"/>
    <s v="Pending"/>
  </r>
  <r>
    <s v="INV-2026-00398"/>
    <x v="50"/>
    <s v="Central"/>
    <s v="Indore"/>
    <s v="Online"/>
    <s v="Sneha Reddy"/>
    <s v="Nexus Ltd"/>
    <x v="5"/>
    <s v="Washing Machine"/>
    <n v="50"/>
    <n v="12147.55"/>
    <n v="607377.5"/>
    <n v="0"/>
    <n v="0"/>
    <n v="607377.5"/>
    <s v="Cancelled"/>
    <s v="Pending"/>
  </r>
  <r>
    <s v="INV-2026-00399"/>
    <x v="11"/>
    <s v="South"/>
    <s v="Hyderabad"/>
    <s v="Distributor"/>
    <s v="Anita Desai"/>
    <s v="Elite Enterprises"/>
    <x v="2"/>
    <s v="Tennis Racket"/>
    <n v="41"/>
    <n v="44677.22"/>
    <n v="1831766.02"/>
    <n v="229764.87"/>
    <n v="0"/>
    <n v="1602001.15"/>
    <s v="Completed"/>
    <s v="Paid"/>
  </r>
  <r>
    <s v="INV-2026-00400"/>
    <x v="77"/>
    <s v="South"/>
    <s v="Bangalore"/>
    <s v="Distributor"/>
    <s v="Suresh Gupta"/>
    <s v="XYZ Ltd"/>
    <x v="2"/>
    <s v="Tennis Racket"/>
    <n v="41"/>
    <n v="47456.88"/>
    <n v="1945732.08"/>
    <n v="0"/>
    <n v="0"/>
    <n v="1945732.08"/>
    <s v="Processing"/>
    <s v="Paid"/>
  </r>
  <r>
    <s v="INV-2026-00401"/>
    <x v="77"/>
    <s v="East"/>
    <s v="Bhubaneswar"/>
    <s v="Distributor"/>
    <s v="Suresh Gupta"/>
    <s v="Prime Retail"/>
    <x v="3"/>
    <s v="Smartphone"/>
    <n v="2"/>
    <n v="46826.85"/>
    <n v="93653.7"/>
    <n v="5195.67"/>
    <n v="0"/>
    <n v="88458.03"/>
    <s v="Processing"/>
    <s v="Pending"/>
  </r>
  <r>
    <s v="INV-2026-00402"/>
    <x v="12"/>
    <s v="North"/>
    <s v="Jaipur"/>
    <s v="Distributor"/>
    <s v="Amit Kumar"/>
    <s v="Tech Solutions"/>
    <x v="3"/>
    <s v="Headphones"/>
    <n v="25"/>
    <n v="23557.59"/>
    <n v="588939.75"/>
    <n v="107182.79"/>
    <n v="0"/>
    <n v="481756.96"/>
    <s v="Processing"/>
    <s v="Pending"/>
  </r>
  <r>
    <s v="INV-2026-00403"/>
    <x v="71"/>
    <s v="South"/>
    <s v="Chennai"/>
    <s v="Online"/>
    <s v="Kavita Nair"/>
    <s v="Smart Systems"/>
    <x v="1"/>
    <s v="Conference Table"/>
    <n v="29"/>
    <n v="46485.23"/>
    <n v="1348071.67"/>
    <n v="0"/>
    <n v="0"/>
    <n v="1348071.67"/>
    <s v="Processing"/>
    <s v="Pending"/>
  </r>
  <r>
    <s v="INV-2026-00404"/>
    <x v="54"/>
    <s v="North"/>
    <s v="Delhi"/>
    <s v="Online"/>
    <s v="Anita Desai"/>
    <s v="Tech Solutions"/>
    <x v="2"/>
    <s v="Football"/>
    <n v="37"/>
    <n v="23088.79"/>
    <n v="854285.23"/>
    <n v="33766.47"/>
    <n v="84535.16"/>
    <n v="735983.6"/>
    <s v="Cancelled"/>
    <s v="Pending"/>
  </r>
  <r>
    <s v="INV-2026-00405"/>
    <x v="71"/>
    <s v="South"/>
    <s v="Hyderabad"/>
    <s v="Distributor"/>
    <s v="Anita Desai"/>
    <s v="Nexus Ltd"/>
    <x v="3"/>
    <s v="Camera"/>
    <n v="26"/>
    <n v="40234.769999999997"/>
    <n v="1046104.02"/>
    <n v="169147.56"/>
    <n v="0"/>
    <n v="876956.46"/>
    <s v="Cancelled"/>
    <s v="Pending"/>
  </r>
  <r>
    <s v="INV-2026-00406"/>
    <x v="6"/>
    <s v="East"/>
    <s v="Bhubaneswar"/>
    <s v="Direct Sales"/>
    <s v="Rahul Sharma"/>
    <s v="Tech Solutions"/>
    <x v="3"/>
    <s v="Laptop"/>
    <n v="29"/>
    <n v="23530.41"/>
    <n v="682381.89"/>
    <n v="7084.25"/>
    <n v="95674.38"/>
    <n v="579623.26"/>
    <s v="Processing"/>
    <s v="Pending"/>
  </r>
  <r>
    <s v="INV-2026-00407"/>
    <x v="21"/>
    <s v="South"/>
    <s v="Kochi"/>
    <s v="Direct Sales"/>
    <s v="Rahul Sharma"/>
    <s v="Urban Store"/>
    <x v="3"/>
    <s v="Tablet"/>
    <n v="14"/>
    <n v="19211.82"/>
    <n v="268965.48"/>
    <n v="0"/>
    <n v="47978.01"/>
    <n v="220987.47"/>
    <s v="Cancelled"/>
    <s v="Pending"/>
  </r>
  <r>
    <s v="INV-2026-00408"/>
    <x v="4"/>
    <s v="West"/>
    <s v="Mumbai"/>
    <s v="Distributor"/>
    <s v="Priya Patel"/>
    <s v="Nexus Ltd"/>
    <x v="5"/>
    <s v="Refrigerator"/>
    <n v="25"/>
    <n v="48594.54"/>
    <n v="1214863.5"/>
    <n v="0"/>
    <n v="0"/>
    <n v="1214863.5"/>
    <s v="Cancelled"/>
    <s v="Pending"/>
  </r>
  <r>
    <s v="INV-2026-00409"/>
    <x v="82"/>
    <s v="South"/>
    <s v="Kochi"/>
    <s v="Online"/>
    <s v="Vijay Singh"/>
    <s v="Alpha Trading"/>
    <x v="3"/>
    <s v="Headphones"/>
    <n v="29"/>
    <n v="36749.18"/>
    <n v="1065726.22"/>
    <n v="124807.26"/>
    <n v="0"/>
    <n v="940918.96"/>
    <s v="Pending"/>
    <s v="Paid"/>
  </r>
  <r>
    <s v="INV-2026-00410"/>
    <x v="40"/>
    <s v="East"/>
    <s v="Bhubaneswar"/>
    <s v="Distributor"/>
    <s v="Rajesh Verma"/>
    <s v="Urban Store"/>
    <x v="3"/>
    <s v="Smart Watch"/>
    <n v="48"/>
    <n v="14416.17"/>
    <n v="691976.16"/>
    <n v="26772.68"/>
    <n v="0"/>
    <n v="665203.48"/>
    <s v="Cancelled"/>
    <s v="Pending"/>
  </r>
  <r>
    <s v="INV-2026-00411"/>
    <x v="69"/>
    <s v="South"/>
    <s v="Bangalore"/>
    <s v="Direct Sales"/>
    <s v="Priya Patel"/>
    <s v="ABC Corp"/>
    <x v="2"/>
    <s v="Tennis Racket"/>
    <n v="43"/>
    <n v="23923.33"/>
    <n v="1028703.19"/>
    <n v="68255.850000000006"/>
    <n v="0"/>
    <n v="960447.34"/>
    <s v="Processing"/>
    <s v="Pending"/>
  </r>
  <r>
    <s v="INV-2026-00412"/>
    <x v="68"/>
    <s v="Central"/>
    <s v="Nagpur"/>
    <s v="Distributor"/>
    <s v="Rajesh Verma"/>
    <s v="Digital Hub"/>
    <x v="1"/>
    <s v="Bookshelf"/>
    <n v="36"/>
    <n v="45380.85"/>
    <n v="1633710.6"/>
    <n v="0"/>
    <n v="0"/>
    <n v="1633710.6"/>
    <s v="Completed"/>
    <s v="Paid"/>
  </r>
  <r>
    <s v="INV-2026-00413"/>
    <x v="85"/>
    <s v="East"/>
    <s v="Bhubaneswar"/>
    <s v="Online"/>
    <s v="Anita Desai"/>
    <s v="Omega Stores"/>
    <x v="4"/>
    <s v="Dress"/>
    <n v="5"/>
    <n v="43853.21"/>
    <n v="219266.05"/>
    <n v="6986.26"/>
    <n v="0"/>
    <n v="212279.79"/>
    <s v="Pending"/>
    <s v="Pending"/>
  </r>
  <r>
    <s v="INV-2026-00414"/>
    <x v="79"/>
    <s v="North"/>
    <s v="Jaipur"/>
    <s v="Retail Store"/>
    <s v="Vijay Singh"/>
    <s v="Prime Retail"/>
    <x v="5"/>
    <s v="Vacuum Cleaner"/>
    <n v="26"/>
    <n v="30654.45"/>
    <n v="797015.7"/>
    <n v="96813.67"/>
    <n v="0"/>
    <n v="700202.03"/>
    <s v="Cancelled"/>
    <s v="Pending"/>
  </r>
  <r>
    <s v="INV-2026-00415"/>
    <x v="45"/>
    <s v="Central"/>
    <s v="Bhopal"/>
    <s v="Distributor"/>
    <s v="Rahul Sharma"/>
    <s v="Elite Enterprises"/>
    <x v="5"/>
    <s v="Refrigerator"/>
    <n v="38"/>
    <n v="27945.13"/>
    <n v="1061914.94"/>
    <n v="51283.03"/>
    <n v="0"/>
    <n v="1010631.91"/>
    <s v="Completed"/>
    <s v="Paid"/>
  </r>
  <r>
    <s v="INV-2026-00416"/>
    <x v="12"/>
    <s v="North"/>
    <s v="Delhi"/>
    <s v="Direct Sales"/>
    <s v="Suresh Gupta"/>
    <s v="Urban Store"/>
    <x v="4"/>
    <s v="Jacket"/>
    <n v="30"/>
    <n v="19245.259999999998"/>
    <n v="577357.80000000005"/>
    <n v="16543.34"/>
    <n v="0"/>
    <n v="560814.46"/>
    <s v="Processing"/>
    <s v="Paid"/>
  </r>
  <r>
    <s v="INV-2026-00417"/>
    <x v="59"/>
    <s v="West"/>
    <s v="Pune"/>
    <s v="Direct Sales"/>
    <s v="Amit Kumar"/>
    <s v="Skyline Corp"/>
    <x v="4"/>
    <s v="Dress"/>
    <n v="13"/>
    <n v="41883.11"/>
    <n v="544480.43000000005"/>
    <n v="81190.06"/>
    <n v="61895.29"/>
    <n v="401395.08"/>
    <s v="Completed"/>
    <s v="Paid"/>
  </r>
  <r>
    <s v="INV-2026-00418"/>
    <x v="68"/>
    <s v="West"/>
    <s v="Mumbai"/>
    <s v="Direct Sales"/>
    <s v="Suresh Gupta"/>
    <s v="Metro Mart"/>
    <x v="5"/>
    <s v="TV"/>
    <n v="2"/>
    <n v="28905.58"/>
    <n v="57811.16"/>
    <n v="0"/>
    <n v="0"/>
    <n v="57811.16"/>
    <s v="Pending"/>
    <s v="Pending"/>
  </r>
  <r>
    <s v="INV-2026-00419"/>
    <x v="17"/>
    <s v="North"/>
    <s v="Jaipur"/>
    <s v="Online"/>
    <s v="Anita Desai"/>
    <s v="Prime Retail"/>
    <x v="2"/>
    <s v="Yoga Mat"/>
    <n v="23"/>
    <n v="41095.78"/>
    <n v="945202.94"/>
    <n v="151946.10999999999"/>
    <n v="0"/>
    <n v="793256.83"/>
    <s v="Completed"/>
    <s v="Overdue"/>
  </r>
  <r>
    <s v="INV-2026-00420"/>
    <x v="4"/>
    <s v="North"/>
    <s v="Jaipur"/>
    <s v="Distributor"/>
    <s v="Suresh Gupta"/>
    <s v="Omega Stores"/>
    <x v="5"/>
    <s v="Washing Machine"/>
    <n v="43"/>
    <n v="30710.05"/>
    <n v="1320532.1499999999"/>
    <n v="0"/>
    <n v="0"/>
    <n v="1320532.1499999999"/>
    <s v="Pending"/>
    <s v="Paid"/>
  </r>
  <r>
    <s v="INV-2026-00421"/>
    <x v="62"/>
    <s v="West"/>
    <s v="Mumbai"/>
    <s v="Online"/>
    <s v="Meera Joshi"/>
    <s v="Elite Enterprises"/>
    <x v="5"/>
    <s v="Microwave"/>
    <n v="5"/>
    <n v="15441.41"/>
    <n v="77207.05"/>
    <n v="0"/>
    <n v="0"/>
    <n v="77207.05"/>
    <s v="Processing"/>
    <s v="Pending"/>
  </r>
  <r>
    <s v="INV-2026-00422"/>
    <x v="43"/>
    <s v="Central"/>
    <s v="Bhopal"/>
    <s v="Online"/>
    <s v="Rajesh Verma"/>
    <s v="XYZ Ltd"/>
    <x v="1"/>
    <s v="Bookshelf"/>
    <n v="28"/>
    <n v="1837.74"/>
    <n v="51456.72"/>
    <n v="43.41"/>
    <n v="0"/>
    <n v="51413.31"/>
    <s v="Pending"/>
    <s v="Pending"/>
  </r>
  <r>
    <s v="INV-2026-00423"/>
    <x v="45"/>
    <s v="West"/>
    <s v="Mumbai"/>
    <s v="Online"/>
    <s v="Suresh Gupta"/>
    <s v="Nexus Ltd"/>
    <x v="3"/>
    <s v="Tablet"/>
    <n v="16"/>
    <n v="33953.629999999997"/>
    <n v="543258.07999999996"/>
    <n v="0"/>
    <n v="0"/>
    <n v="543258.07999999996"/>
    <s v="Cancelled"/>
    <s v="Pending"/>
  </r>
  <r>
    <s v="INV-2026-00424"/>
    <x v="66"/>
    <s v="North"/>
    <s v="Delhi"/>
    <s v="Retail Store"/>
    <s v="Sneha Reddy"/>
    <s v="Digital Hub"/>
    <x v="1"/>
    <s v="Cabinet"/>
    <n v="18"/>
    <n v="35762.89"/>
    <n v="643732.02"/>
    <n v="121579.94"/>
    <n v="0"/>
    <n v="522152.08"/>
    <s v="Completed"/>
    <s v="Paid"/>
  </r>
  <r>
    <s v="INV-2026-00425"/>
    <x v="72"/>
    <s v="North"/>
    <s v="Lucknow"/>
    <s v="Direct Sales"/>
    <s v="Kavita Nair"/>
    <s v="Skyline Corp"/>
    <x v="2"/>
    <s v="Football"/>
    <n v="4"/>
    <n v="10383.36"/>
    <n v="41533.440000000002"/>
    <n v="4933.0600000000004"/>
    <n v="0"/>
    <n v="36600.379999999997"/>
    <s v="Cancelled"/>
    <s v="Pending"/>
  </r>
  <r>
    <s v="INV-2026-00426"/>
    <x v="84"/>
    <s v="West"/>
    <s v="Ahmedabad"/>
    <s v="Online"/>
    <s v="Sneha Reddy"/>
    <s v="Skyline Corp"/>
    <x v="1"/>
    <s v="Conference Table"/>
    <n v="48"/>
    <n v="45950.98"/>
    <n v="2205647.04"/>
    <n v="0"/>
    <n v="0"/>
    <n v="2205647.04"/>
    <s v="Processing"/>
    <s v="Paid"/>
  </r>
  <r>
    <s v="INV-2026-00427"/>
    <x v="33"/>
    <s v="North"/>
    <s v="Jaipur"/>
    <s v="Distributor"/>
    <s v="Rajesh Verma"/>
    <s v="Urban Store"/>
    <x v="0"/>
    <s v="Notebook"/>
    <n v="24"/>
    <n v="5064.8100000000004"/>
    <n v="121555.44"/>
    <n v="9325.81"/>
    <n v="0"/>
    <n v="112229.63"/>
    <s v="Processing"/>
    <s v="Pending"/>
  </r>
  <r>
    <s v="INV-2026-00428"/>
    <x v="50"/>
    <s v="North"/>
    <s v="Delhi"/>
    <s v="Direct Sales"/>
    <s v="Priya Patel"/>
    <s v="Metro Mart"/>
    <x v="1"/>
    <s v="Office Chair"/>
    <n v="37"/>
    <n v="45323.35"/>
    <n v="1676963.95"/>
    <n v="0"/>
    <n v="368731.19"/>
    <n v="1308232.76"/>
    <s v="Processing"/>
    <s v="Pending"/>
  </r>
  <r>
    <s v="INV-2026-00429"/>
    <x v="45"/>
    <s v="South"/>
    <s v="Hyderabad"/>
    <s v="Online"/>
    <s v="Rajesh Verma"/>
    <s v="Skyline Corp"/>
    <x v="1"/>
    <s v="Desk"/>
    <n v="26"/>
    <n v="19344.05"/>
    <n v="502945.3"/>
    <n v="0"/>
    <n v="0"/>
    <n v="502945.3"/>
    <s v="Pending"/>
    <s v="Pending"/>
  </r>
  <r>
    <s v="INV-2026-00430"/>
    <x v="63"/>
    <s v="Central"/>
    <s v="Nagpur"/>
    <s v="Online"/>
    <s v="Priya Patel"/>
    <s v="Omega Stores"/>
    <x v="2"/>
    <s v="Football"/>
    <n v="44"/>
    <n v="35928.92"/>
    <n v="1580872.48"/>
    <n v="0"/>
    <n v="0"/>
    <n v="1580872.48"/>
    <s v="Cancelled"/>
    <s v="Pending"/>
  </r>
  <r>
    <s v="INV-2026-00431"/>
    <x v="91"/>
    <s v="East"/>
    <s v="Guwahati"/>
    <s v="Retail Store"/>
    <s v="Meera Joshi"/>
    <s v="Metro Mart"/>
    <x v="4"/>
    <s v="T-Shirt"/>
    <n v="45"/>
    <n v="10967.32"/>
    <n v="493529.4"/>
    <n v="0"/>
    <n v="0"/>
    <n v="493529.4"/>
    <s v="Cancelled"/>
    <s v="Pending"/>
  </r>
  <r>
    <s v="INV-2026-00432"/>
    <x v="57"/>
    <s v="Central"/>
    <s v="Raipur"/>
    <s v="Direct Sales"/>
    <s v="Sneha Reddy"/>
    <s v="Omega Stores"/>
    <x v="2"/>
    <s v="Gym Equipment"/>
    <n v="42"/>
    <n v="49454.34"/>
    <n v="2077082.28"/>
    <n v="386348.53"/>
    <n v="0"/>
    <n v="1690733.75"/>
    <s v="Processing"/>
    <s v="Pending"/>
  </r>
  <r>
    <s v="INV-2026-00433"/>
    <x v="2"/>
    <s v="South"/>
    <s v="Chennai"/>
    <s v="Distributor"/>
    <s v="Priya Patel"/>
    <s v="Urban Store"/>
    <x v="2"/>
    <s v="Yoga Mat"/>
    <n v="4"/>
    <n v="40462.870000000003"/>
    <n v="161851.48000000001"/>
    <n v="0"/>
    <n v="0"/>
    <n v="161851.48000000001"/>
    <s v="Cancelled"/>
    <s v="Pending"/>
  </r>
  <r>
    <s v="INV-2026-00434"/>
    <x v="53"/>
    <s v="North"/>
    <s v="Lucknow"/>
    <s v="Retail Store"/>
    <s v="Vijay Singh"/>
    <s v="Global Traders"/>
    <x v="0"/>
    <s v="Notebook"/>
    <n v="15"/>
    <n v="10916.27"/>
    <n v="163744.04999999999"/>
    <n v="5977.08"/>
    <n v="0"/>
    <n v="157766.97"/>
    <s v="Completed"/>
    <s v="Paid"/>
  </r>
  <r>
    <s v="INV-2026-00435"/>
    <x v="52"/>
    <s v="Central"/>
    <s v="Bhopal"/>
    <s v="Retail Store"/>
    <s v="Suresh Gupta"/>
    <s v="Prime Retail"/>
    <x v="1"/>
    <s v="Cabinet"/>
    <n v="18"/>
    <n v="49783.9"/>
    <n v="896110.2"/>
    <n v="0"/>
    <n v="0"/>
    <n v="896110.2"/>
    <s v="Processing"/>
    <s v="Pending"/>
  </r>
  <r>
    <s v="INV-2026-00436"/>
    <x v="47"/>
    <s v="South"/>
    <s v="Chennai"/>
    <s v="Online"/>
    <s v="Amit Kumar"/>
    <s v="ABC Corp"/>
    <x v="1"/>
    <s v="Bookshelf"/>
    <n v="27"/>
    <n v="37028.839999999997"/>
    <n v="999778.68"/>
    <n v="55117.99"/>
    <n v="57024.46"/>
    <n v="887636.23"/>
    <s v="Pending"/>
    <s v="Paid"/>
  </r>
  <r>
    <s v="INV-2026-00437"/>
    <x v="13"/>
    <s v="North"/>
    <s v="Jaipur"/>
    <s v="Retail Store"/>
    <s v="Priya Patel"/>
    <s v="Omega Stores"/>
    <x v="5"/>
    <s v="Refrigerator"/>
    <n v="32"/>
    <n v="5350.46"/>
    <n v="171214.72"/>
    <n v="0"/>
    <n v="0"/>
    <n v="171214.72"/>
    <s v="Processing"/>
    <s v="Pending"/>
  </r>
  <r>
    <s v="INV-2026-00438"/>
    <x v="6"/>
    <s v="East"/>
    <s v="Patna"/>
    <s v="Distributor"/>
    <s v="Amit Kumar"/>
    <s v="Omega Stores"/>
    <x v="4"/>
    <s v="Formal Shirt"/>
    <n v="50"/>
    <n v="18196.61"/>
    <n v="909830.5"/>
    <n v="83662.47"/>
    <n v="0"/>
    <n v="826168.03"/>
    <s v="Completed"/>
    <s v="Paid"/>
  </r>
  <r>
    <s v="INV-2026-00439"/>
    <x v="74"/>
    <s v="North"/>
    <s v="Delhi"/>
    <s v="Distributor"/>
    <s v="Vijay Singh"/>
    <s v="Omega Stores"/>
    <x v="5"/>
    <s v="TV"/>
    <n v="14"/>
    <n v="10530.61"/>
    <n v="147428.54"/>
    <n v="0"/>
    <n v="0"/>
    <n v="147428.54"/>
    <s v="Cancelled"/>
    <s v="Pending"/>
  </r>
  <r>
    <s v="INV-2026-00440"/>
    <x v="10"/>
    <s v="North"/>
    <s v="Jaipur"/>
    <s v="Online"/>
    <s v="Amit Kumar"/>
    <s v="Tech Solutions"/>
    <x v="0"/>
    <s v="File Folder"/>
    <n v="41"/>
    <n v="3026.54"/>
    <n v="124088.14"/>
    <n v="21386.97"/>
    <n v="3738.5"/>
    <n v="98962.67"/>
    <s v="Processing"/>
    <s v="Pending"/>
  </r>
  <r>
    <s v="INV-2026-00441"/>
    <x v="42"/>
    <s v="East"/>
    <s v="Bhubaneswar"/>
    <s v="Retail Store"/>
    <s v="Meera Joshi"/>
    <s v="Nexus Ltd"/>
    <x v="0"/>
    <s v="Desk Organizer"/>
    <n v="14"/>
    <n v="18947.22"/>
    <n v="265261.08"/>
    <n v="43680.34"/>
    <n v="0"/>
    <n v="221580.74"/>
    <s v="Cancelled"/>
    <s v="Pending"/>
  </r>
  <r>
    <s v="INV-2026-00442"/>
    <x v="73"/>
    <s v="South"/>
    <s v="Chennai"/>
    <s v="Retail Store"/>
    <s v="Priya Patel"/>
    <s v="Alpha Trading"/>
    <x v="2"/>
    <s v="Cricket Bat"/>
    <n v="29"/>
    <n v="25817.86"/>
    <n v="748717.94"/>
    <n v="0"/>
    <n v="0"/>
    <n v="748717.94"/>
    <s v="Completed"/>
    <s v="Paid"/>
  </r>
  <r>
    <s v="INV-2026-00443"/>
    <x v="69"/>
    <s v="South"/>
    <s v="Chennai"/>
    <s v="Distributor"/>
    <s v="Rajesh Verma"/>
    <s v="Elite Enterprises"/>
    <x v="0"/>
    <s v="Pen Set"/>
    <n v="35"/>
    <n v="34286.019999999997"/>
    <n v="1200010.7"/>
    <n v="224255.54"/>
    <n v="0"/>
    <n v="975755.16"/>
    <s v="Processing"/>
    <s v="Pending"/>
  </r>
  <r>
    <s v="INV-2026-00444"/>
    <x v="67"/>
    <s v="East"/>
    <s v="Patna"/>
    <s v="Retail Store"/>
    <s v="Suresh Gupta"/>
    <s v="Future Tech"/>
    <x v="1"/>
    <s v="Office Chair"/>
    <n v="32"/>
    <n v="21193.42"/>
    <n v="678189.44"/>
    <n v="135104.04"/>
    <n v="0"/>
    <n v="543085.4"/>
    <s v="Completed"/>
    <s v="Paid"/>
  </r>
  <r>
    <s v="INV-2026-00445"/>
    <x v="43"/>
    <s v="North"/>
    <s v="Jaipur"/>
    <s v="Distributor"/>
    <s v="Rajesh Verma"/>
    <s v="XYZ Ltd"/>
    <x v="0"/>
    <s v="File Folder"/>
    <n v="43"/>
    <n v="48758.55"/>
    <n v="2096617.65"/>
    <n v="347431.24"/>
    <n v="0"/>
    <n v="1749186.41"/>
    <s v="Completed"/>
    <s v="Paid"/>
  </r>
  <r>
    <s v="INV-2026-00446"/>
    <x v="35"/>
    <s v="Central"/>
    <s v="Nagpur"/>
    <s v="Retail Store"/>
    <s v="Sneha Reddy"/>
    <s v="Prime Retail"/>
    <x v="1"/>
    <s v="Desk"/>
    <n v="27"/>
    <n v="47365.78"/>
    <n v="1278876.06"/>
    <n v="110017.67"/>
    <n v="0"/>
    <n v="1168858.3899999999"/>
    <s v="Cancelled"/>
    <s v="Pending"/>
  </r>
  <r>
    <s v="INV-2026-00447"/>
    <x v="31"/>
    <s v="North"/>
    <s v="Lucknow"/>
    <s v="Distributor"/>
    <s v="Vijay Singh"/>
    <s v="ABC Corp"/>
    <x v="4"/>
    <s v="Jacket"/>
    <n v="26"/>
    <n v="27518.46"/>
    <n v="715479.96"/>
    <n v="29170.7"/>
    <n v="1636.53"/>
    <n v="684672.73"/>
    <s v="Processing"/>
    <s v="Paid"/>
  </r>
  <r>
    <s v="INV-2026-00448"/>
    <x v="88"/>
    <s v="East"/>
    <s v="Patna"/>
    <s v="Direct Sales"/>
    <s v="Suresh Gupta"/>
    <s v="XYZ Ltd"/>
    <x v="1"/>
    <s v="Cabinet"/>
    <n v="11"/>
    <n v="4365.62"/>
    <n v="48021.82"/>
    <n v="2126.11"/>
    <n v="0"/>
    <n v="45895.71"/>
    <s v="Processing"/>
    <s v="Paid"/>
  </r>
  <r>
    <s v="INV-2026-00449"/>
    <x v="7"/>
    <s v="North"/>
    <s v="Jaipur"/>
    <s v="Distributor"/>
    <s v="Meera Joshi"/>
    <s v="Skyline Corp"/>
    <x v="0"/>
    <s v="Whiteboard"/>
    <n v="47"/>
    <n v="17687.25"/>
    <n v="831300.75"/>
    <n v="83352.92"/>
    <n v="0"/>
    <n v="747947.83"/>
    <s v="Completed"/>
    <s v="Paid"/>
  </r>
  <r>
    <s v="INV-2026-00450"/>
    <x v="61"/>
    <s v="West"/>
    <s v="Surat"/>
    <s v="Direct Sales"/>
    <s v="Anita Desai"/>
    <s v="Digital Hub"/>
    <x v="3"/>
    <s v="Camera"/>
    <n v="43"/>
    <n v="34465.01"/>
    <n v="1481995.43"/>
    <n v="226936.14"/>
    <n v="0"/>
    <n v="1255059.29"/>
    <s v="Processing"/>
    <s v="Pending"/>
  </r>
  <r>
    <s v="INV-2026-00451"/>
    <x v="90"/>
    <s v="East"/>
    <s v="Kolkata"/>
    <s v="Online"/>
    <s v="Amit Kumar"/>
    <s v="Omega Stores"/>
    <x v="2"/>
    <s v="Cricket Bat"/>
    <n v="11"/>
    <n v="47155.93"/>
    <n v="518715.23"/>
    <n v="75363.149999999994"/>
    <n v="0"/>
    <n v="443352.08"/>
    <s v="Processing"/>
    <s v="Pending"/>
  </r>
  <r>
    <s v="INV-2026-00452"/>
    <x v="89"/>
    <s v="Central"/>
    <s v="Nagpur"/>
    <s v="Distributor"/>
    <s v="Priya Patel"/>
    <s v="Future Tech"/>
    <x v="5"/>
    <s v="Air Conditioner"/>
    <n v="19"/>
    <n v="20745.75"/>
    <n v="394169.25"/>
    <n v="9149.73"/>
    <n v="90492.37"/>
    <n v="294527.15000000002"/>
    <s v="Cancelled"/>
    <s v="Pending"/>
  </r>
  <r>
    <s v="INV-2026-00453"/>
    <x v="17"/>
    <s v="Central"/>
    <s v="Nagpur"/>
    <s v="Online"/>
    <s v="Vijay Singh"/>
    <s v="Alpha Trading"/>
    <x v="3"/>
    <s v="Smart Watch"/>
    <n v="38"/>
    <n v="33972.07"/>
    <n v="1290938.6599999999"/>
    <n v="0"/>
    <n v="0"/>
    <n v="1290938.6599999999"/>
    <s v="Completed"/>
    <s v="Overdue"/>
  </r>
  <r>
    <s v="INV-2026-00454"/>
    <x v="3"/>
    <s v="East"/>
    <s v="Bhubaneswar"/>
    <s v="Online"/>
    <s v="Kavita Nair"/>
    <s v="Omega Stores"/>
    <x v="0"/>
    <s v="Printer Paper"/>
    <n v="28"/>
    <n v="15186.35"/>
    <n v="425217.8"/>
    <n v="76988.350000000006"/>
    <n v="0"/>
    <n v="348229.45"/>
    <s v="Pending"/>
    <s v="Pending"/>
  </r>
  <r>
    <s v="INV-2026-00455"/>
    <x v="58"/>
    <s v="Central"/>
    <s v="Bhopal"/>
    <s v="Distributor"/>
    <s v="Anita Desai"/>
    <s v="ABC Corp"/>
    <x v="3"/>
    <s v="Tablet"/>
    <n v="41"/>
    <n v="45884.17"/>
    <n v="1881250.97"/>
    <n v="0"/>
    <n v="306278.95"/>
    <n v="1574972.02"/>
    <s v="Completed"/>
    <s v="Paid"/>
  </r>
  <r>
    <s v="INV-2026-00456"/>
    <x v="3"/>
    <s v="Central"/>
    <s v="Bhopal"/>
    <s v="Direct Sales"/>
    <s v="Priya Patel"/>
    <s v="Skyline Corp"/>
    <x v="4"/>
    <s v="Jacket"/>
    <n v="37"/>
    <n v="3101.61"/>
    <n v="114759.57"/>
    <n v="0"/>
    <n v="0"/>
    <n v="114759.57"/>
    <s v="Cancelled"/>
    <s v="Pending"/>
  </r>
  <r>
    <s v="INV-2026-00457"/>
    <x v="23"/>
    <s v="South"/>
    <s v="Bangalore"/>
    <s v="Distributor"/>
    <s v="Vijay Singh"/>
    <s v="Global Traders"/>
    <x v="3"/>
    <s v="Headphones"/>
    <n v="14"/>
    <n v="16382.28"/>
    <n v="229351.92"/>
    <n v="0"/>
    <n v="0"/>
    <n v="229351.92"/>
    <s v="Cancelled"/>
    <s v="Pending"/>
  </r>
  <r>
    <s v="INV-2026-00458"/>
    <x v="13"/>
    <s v="Central"/>
    <s v="Indore"/>
    <s v="Online"/>
    <s v="Rajesh Verma"/>
    <s v="Metro Mart"/>
    <x v="1"/>
    <s v="Bookshelf"/>
    <n v="17"/>
    <n v="19692.25"/>
    <n v="334768.25"/>
    <n v="41539.47"/>
    <n v="0"/>
    <n v="293228.78000000003"/>
    <s v="Processing"/>
    <s v="Pending"/>
  </r>
  <r>
    <s v="INV-2026-00459"/>
    <x v="69"/>
    <s v="East"/>
    <s v="Guwahati"/>
    <s v="Direct Sales"/>
    <s v="Amit Kumar"/>
    <s v="Global Traders"/>
    <x v="4"/>
    <s v="Jeans"/>
    <n v="44"/>
    <n v="13277.38"/>
    <n v="584204.72"/>
    <n v="0"/>
    <n v="0"/>
    <n v="584204.72"/>
    <s v="Processing"/>
    <s v="Paid"/>
  </r>
  <r>
    <s v="INV-2026-00460"/>
    <x v="57"/>
    <s v="West"/>
    <s v="Surat"/>
    <s v="Online"/>
    <s v="Suresh Gupta"/>
    <s v="Global Traders"/>
    <x v="4"/>
    <s v="Shoes"/>
    <n v="50"/>
    <n v="26536.84"/>
    <n v="1326842"/>
    <n v="0"/>
    <n v="49076.07"/>
    <n v="1277765.93"/>
    <s v="Cancelled"/>
    <s v="Pending"/>
  </r>
  <r>
    <s v="INV-2026-00461"/>
    <x v="43"/>
    <s v="East"/>
    <s v="Bhubaneswar"/>
    <s v="Direct Sales"/>
    <s v="Amit Kumar"/>
    <s v="Skyline Corp"/>
    <x v="4"/>
    <s v="T-Shirt"/>
    <n v="18"/>
    <n v="10017.049999999999"/>
    <n v="180306.9"/>
    <n v="0"/>
    <n v="0"/>
    <n v="180306.9"/>
    <s v="Cancelled"/>
    <s v="Pending"/>
  </r>
  <r>
    <s v="INV-2026-00462"/>
    <x v="41"/>
    <s v="West"/>
    <s v="Surat"/>
    <s v="Distributor"/>
    <s v="Priya Patel"/>
    <s v="Urban Store"/>
    <x v="3"/>
    <s v="Headphones"/>
    <n v="40"/>
    <n v="18499"/>
    <n v="739960"/>
    <n v="74588.77"/>
    <n v="0"/>
    <n v="665371.23"/>
    <s v="Completed"/>
    <s v="Paid"/>
  </r>
  <r>
    <s v="INV-2026-00463"/>
    <x v="43"/>
    <s v="West"/>
    <s v="Ahmedabad"/>
    <s v="Direct Sales"/>
    <s v="Rahul Sharma"/>
    <s v="ABC Corp"/>
    <x v="1"/>
    <s v="Sofa"/>
    <n v="31"/>
    <n v="13048.07"/>
    <n v="404490.17"/>
    <n v="39973.42"/>
    <n v="0"/>
    <n v="364516.75"/>
    <s v="Cancelled"/>
    <s v="Pending"/>
  </r>
  <r>
    <s v="INV-2026-00464"/>
    <x v="37"/>
    <s v="Central"/>
    <s v="Raipur"/>
    <s v="Distributor"/>
    <s v="Rajesh Verma"/>
    <s v="Future Tech"/>
    <x v="1"/>
    <s v="Bookshelf"/>
    <n v="4"/>
    <n v="639.95000000000005"/>
    <n v="2559.8000000000002"/>
    <n v="281.74"/>
    <n v="0"/>
    <n v="2278.06"/>
    <s v="Cancelled"/>
    <s v="Pending"/>
  </r>
  <r>
    <s v="INV-2026-00465"/>
    <x v="42"/>
    <s v="East"/>
    <s v="Patna"/>
    <s v="Direct Sales"/>
    <s v="Suresh Gupta"/>
    <s v="Urban Store"/>
    <x v="2"/>
    <s v="Gym Equipment"/>
    <n v="22"/>
    <n v="14457.49"/>
    <n v="318064.78000000003"/>
    <n v="45392.1"/>
    <n v="0"/>
    <n v="272672.68"/>
    <s v="Cancelled"/>
    <s v="Pending"/>
  </r>
  <r>
    <s v="INV-2026-00466"/>
    <x v="65"/>
    <s v="West"/>
    <s v="Ahmedabad"/>
    <s v="Direct Sales"/>
    <s v="Kavita Nair"/>
    <s v="Alpha Trading"/>
    <x v="2"/>
    <s v="Gym Equipment"/>
    <n v="28"/>
    <n v="9830.08"/>
    <n v="275242.23999999999"/>
    <n v="41883.42"/>
    <n v="67808.429999999993"/>
    <n v="165550.39000000001"/>
    <s v="Cancelled"/>
    <s v="Pending"/>
  </r>
  <r>
    <s v="INV-2026-00467"/>
    <x v="69"/>
    <s v="East"/>
    <s v="Patna"/>
    <s v="Direct Sales"/>
    <s v="Rajesh Verma"/>
    <s v="Smart Systems"/>
    <x v="0"/>
    <s v="File Folder"/>
    <n v="24"/>
    <n v="45191.1"/>
    <n v="1084586.3999999999"/>
    <n v="0"/>
    <n v="0"/>
    <n v="1084586.3999999999"/>
    <s v="Processing"/>
    <s v="Pending"/>
  </r>
  <r>
    <s v="INV-2026-00468"/>
    <x v="20"/>
    <s v="North"/>
    <s v="Lucknow"/>
    <s v="Online"/>
    <s v="Priya Patel"/>
    <s v="Alpha Trading"/>
    <x v="5"/>
    <s v="Refrigerator"/>
    <n v="22"/>
    <n v="4338.29"/>
    <n v="95442.38"/>
    <n v="16417.73"/>
    <n v="0"/>
    <n v="79024.649999999994"/>
    <s v="Processing"/>
    <s v="Paid"/>
  </r>
  <r>
    <s v="INV-2026-00469"/>
    <x v="18"/>
    <s v="West"/>
    <s v="Ahmedabad"/>
    <s v="Direct Sales"/>
    <s v="Anita Desai"/>
    <s v="ABC Corp"/>
    <x v="3"/>
    <s v="Laptop"/>
    <n v="22"/>
    <n v="30756.66"/>
    <n v="676646.52"/>
    <n v="128626.53"/>
    <n v="0"/>
    <n v="548019.99"/>
    <s v="Pending"/>
    <s v="Pending"/>
  </r>
  <r>
    <s v="INV-2026-00470"/>
    <x v="79"/>
    <s v="North"/>
    <s v="Delhi"/>
    <s v="Retail Store"/>
    <s v="Rahul Sharma"/>
    <s v="ABC Corp"/>
    <x v="5"/>
    <s v="TV"/>
    <n v="2"/>
    <n v="24429.759999999998"/>
    <n v="48859.519999999997"/>
    <n v="0"/>
    <n v="5139.1099999999997"/>
    <n v="43720.41"/>
    <s v="Pending"/>
    <s v="Pending"/>
  </r>
  <r>
    <s v="INV-2026-00471"/>
    <x v="31"/>
    <s v="East"/>
    <s v="Bhubaneswar"/>
    <s v="Retail Store"/>
    <s v="Anita Desai"/>
    <s v="Alpha Trading"/>
    <x v="0"/>
    <s v="File Folder"/>
    <n v="40"/>
    <n v="8708.0499999999993"/>
    <n v="348322"/>
    <n v="0"/>
    <n v="0"/>
    <n v="348322"/>
    <s v="Completed"/>
    <s v="Paid"/>
  </r>
  <r>
    <s v="INV-2026-00472"/>
    <x v="30"/>
    <s v="South"/>
    <s v="Bangalore"/>
    <s v="Direct Sales"/>
    <s v="Priya Patel"/>
    <s v="Urban Store"/>
    <x v="0"/>
    <s v="Printer Paper"/>
    <n v="33"/>
    <n v="20547.11"/>
    <n v="678054.63"/>
    <n v="18941.98"/>
    <n v="0"/>
    <n v="659112.65"/>
    <s v="Processing"/>
    <s v="Pending"/>
  </r>
  <r>
    <s v="INV-2026-00473"/>
    <x v="40"/>
    <s v="East"/>
    <s v="Kolkata"/>
    <s v="Retail Store"/>
    <s v="Sneha Reddy"/>
    <s v="XYZ Ltd"/>
    <x v="5"/>
    <s v="Air Conditioner"/>
    <n v="24"/>
    <n v="8591.17"/>
    <n v="206188.08"/>
    <n v="6889.22"/>
    <n v="0"/>
    <n v="199298.86"/>
    <s v="Completed"/>
    <s v="Paid"/>
  </r>
  <r>
    <s v="INV-2026-00474"/>
    <x v="19"/>
    <s v="East"/>
    <s v="Kolkata"/>
    <s v="Distributor"/>
    <s v="Meera Joshi"/>
    <s v="Nexus Ltd"/>
    <x v="4"/>
    <s v="Dress"/>
    <n v="3"/>
    <n v="28256.959999999999"/>
    <n v="84770.880000000005"/>
    <n v="2856.35"/>
    <n v="9225.51"/>
    <n v="72689.02"/>
    <s v="Pending"/>
    <s v="Pending"/>
  </r>
  <r>
    <s v="INV-2026-00475"/>
    <x v="13"/>
    <s v="East"/>
    <s v="Patna"/>
    <s v="Direct Sales"/>
    <s v="Amit Kumar"/>
    <s v="Future Tech"/>
    <x v="3"/>
    <s v="Camera"/>
    <n v="26"/>
    <n v="4644.83"/>
    <n v="120765.58"/>
    <n v="0"/>
    <n v="0"/>
    <n v="120765.58"/>
    <s v="Completed"/>
    <s v="Paid"/>
  </r>
  <r>
    <s v="INV-2026-00476"/>
    <x v="61"/>
    <s v="East"/>
    <s v="Kolkata"/>
    <s v="Direct Sales"/>
    <s v="Amit Kumar"/>
    <s v="Global Traders"/>
    <x v="3"/>
    <s v="Camera"/>
    <n v="47"/>
    <n v="27329.74"/>
    <n v="1284497.78"/>
    <n v="65073.61"/>
    <n v="0"/>
    <n v="1219424.17"/>
    <s v="Cancelled"/>
    <s v="Pending"/>
  </r>
  <r>
    <s v="INV-2026-00477"/>
    <x v="35"/>
    <s v="East"/>
    <s v="Bhubaneswar"/>
    <s v="Retail Store"/>
    <s v="Sneha Reddy"/>
    <s v="Nexus Ltd"/>
    <x v="2"/>
    <s v="Cricket Bat"/>
    <n v="17"/>
    <n v="7197.19"/>
    <n v="122352.23"/>
    <n v="0"/>
    <n v="0"/>
    <n v="122352.23"/>
    <s v="Processing"/>
    <s v="Pending"/>
  </r>
  <r>
    <s v="INV-2026-00478"/>
    <x v="53"/>
    <s v="South"/>
    <s v="Kochi"/>
    <s v="Direct Sales"/>
    <s v="Kavita Nair"/>
    <s v="Prime Retail"/>
    <x v="1"/>
    <s v="Conference Table"/>
    <n v="14"/>
    <n v="3818.21"/>
    <n v="53454.94"/>
    <n v="0"/>
    <n v="2489.1799999999998"/>
    <n v="50965.760000000002"/>
    <s v="Pending"/>
    <s v="Paid"/>
  </r>
  <r>
    <s v="INV-2026-00479"/>
    <x v="91"/>
    <s v="North"/>
    <s v="Lucknow"/>
    <s v="Distributor"/>
    <s v="Amit Kumar"/>
    <s v="Omega Stores"/>
    <x v="2"/>
    <s v="Bicycle"/>
    <n v="44"/>
    <n v="14190.39"/>
    <n v="624377.16"/>
    <n v="62945.43"/>
    <n v="0"/>
    <n v="561431.73"/>
    <s v="Cancelled"/>
    <s v="Pending"/>
  </r>
  <r>
    <s v="INV-2026-00480"/>
    <x v="82"/>
    <s v="North"/>
    <s v="Lucknow"/>
    <s v="Online"/>
    <s v="Kavita Nair"/>
    <s v="ABC Corp"/>
    <x v="4"/>
    <s v="Jacket"/>
    <n v="36"/>
    <n v="1144.18"/>
    <n v="41190.480000000003"/>
    <n v="0"/>
    <n v="5657"/>
    <n v="35533.480000000003"/>
    <s v="Processing"/>
    <s v="Paid"/>
  </r>
  <r>
    <s v="INV-2026-00481"/>
    <x v="22"/>
    <s v="South"/>
    <s v="Kochi"/>
    <s v="Distributor"/>
    <s v="Amit Kumar"/>
    <s v="Nexus Ltd"/>
    <x v="1"/>
    <s v="Cabinet"/>
    <n v="5"/>
    <n v="23313.81"/>
    <n v="116569.05"/>
    <n v="13153.75"/>
    <n v="0"/>
    <n v="103415.3"/>
    <s v="Pending"/>
    <s v="Pending"/>
  </r>
  <r>
    <s v="INV-2026-00482"/>
    <x v="56"/>
    <s v="Central"/>
    <s v="Indore"/>
    <s v="Direct Sales"/>
    <s v="Suresh Gupta"/>
    <s v="Digital Hub"/>
    <x v="4"/>
    <s v="Jeans"/>
    <n v="5"/>
    <n v="1334.64"/>
    <n v="6673.2"/>
    <n v="0"/>
    <n v="0"/>
    <n v="6673.2"/>
    <s v="Completed"/>
    <s v="Paid"/>
  </r>
  <r>
    <s v="INV-2026-00483"/>
    <x v="33"/>
    <s v="South"/>
    <s v="Chennai"/>
    <s v="Online"/>
    <s v="Suresh Gupta"/>
    <s v="Nexus Ltd"/>
    <x v="5"/>
    <s v="Air Conditioner"/>
    <n v="25"/>
    <n v="16350.33"/>
    <n v="408758.25"/>
    <n v="69487.839999999997"/>
    <n v="88908.25"/>
    <n v="250362.16"/>
    <s v="Completed"/>
    <s v="Paid"/>
  </r>
  <r>
    <s v="INV-2026-00484"/>
    <x v="24"/>
    <s v="South"/>
    <s v="Chennai"/>
    <s v="Direct Sales"/>
    <s v="Vijay Singh"/>
    <s v="Urban Store"/>
    <x v="2"/>
    <s v="Yoga Mat"/>
    <n v="8"/>
    <n v="31347.24"/>
    <n v="250777.92"/>
    <n v="35617.83"/>
    <n v="0"/>
    <n v="215160.09"/>
    <s v="Processing"/>
    <s v="Pending"/>
  </r>
  <r>
    <s v="INV-2026-00485"/>
    <x v="75"/>
    <s v="Central"/>
    <s v="Bhopal"/>
    <s v="Direct Sales"/>
    <s v="Priya Patel"/>
    <s v="Nexus Ltd"/>
    <x v="1"/>
    <s v="Desk"/>
    <n v="24"/>
    <n v="41417.5"/>
    <n v="994020"/>
    <n v="0"/>
    <n v="0"/>
    <n v="994020"/>
    <s v="Completed"/>
    <s v="Paid"/>
  </r>
  <r>
    <s v="INV-2026-00486"/>
    <x v="48"/>
    <s v="West"/>
    <s v="Surat"/>
    <s v="Online"/>
    <s v="Amit Kumar"/>
    <s v="Alpha Trading"/>
    <x v="0"/>
    <s v="Whiteboard"/>
    <n v="2"/>
    <n v="32552.97"/>
    <n v="65105.94"/>
    <n v="8367.69"/>
    <n v="0"/>
    <n v="56738.25"/>
    <s v="Completed"/>
    <s v="Paid"/>
  </r>
  <r>
    <s v="INV-2026-00487"/>
    <x v="14"/>
    <s v="North"/>
    <s v="Jaipur"/>
    <s v="Direct Sales"/>
    <s v="Sneha Reddy"/>
    <s v="ABC Corp"/>
    <x v="3"/>
    <s v="Smart Watch"/>
    <n v="37"/>
    <n v="37776.629999999997"/>
    <n v="1397735.31"/>
    <n v="0"/>
    <n v="21062.3"/>
    <n v="1376673.01"/>
    <s v="Completed"/>
    <s v="Paid"/>
  </r>
  <r>
    <s v="INV-2026-00488"/>
    <x v="68"/>
    <s v="West"/>
    <s v="Surat"/>
    <s v="Distributor"/>
    <s v="Vijay Singh"/>
    <s v="Omega Stores"/>
    <x v="1"/>
    <s v="Conference Table"/>
    <n v="5"/>
    <n v="48511.98"/>
    <n v="242559.9"/>
    <n v="41532.480000000003"/>
    <n v="0"/>
    <n v="201027.42"/>
    <s v="Completed"/>
    <s v="Paid"/>
  </r>
  <r>
    <s v="INV-2026-00489"/>
    <x v="69"/>
    <s v="North"/>
    <s v="Jaipur"/>
    <s v="Online"/>
    <s v="Amit Kumar"/>
    <s v="Prime Retail"/>
    <x v="1"/>
    <s v="Sofa"/>
    <n v="5"/>
    <n v="37944.51"/>
    <n v="189722.55"/>
    <n v="33807.160000000003"/>
    <n v="0"/>
    <n v="155915.39000000001"/>
    <s v="Pending"/>
    <s v="Pending"/>
  </r>
  <r>
    <s v="INV-2026-00490"/>
    <x v="37"/>
    <s v="West"/>
    <s v="Mumbai"/>
    <s v="Online"/>
    <s v="Anita Desai"/>
    <s v="Metro Mart"/>
    <x v="0"/>
    <s v="Pen Set"/>
    <n v="25"/>
    <n v="892.41"/>
    <n v="22310.25"/>
    <n v="1654.86"/>
    <n v="0"/>
    <n v="20655.39"/>
    <s v="Cancelled"/>
    <s v="Pending"/>
  </r>
  <r>
    <s v="INV-2026-00491"/>
    <x v="37"/>
    <s v="East"/>
    <s v="Kolkata"/>
    <s v="Online"/>
    <s v="Anita Desai"/>
    <s v="Future Tech"/>
    <x v="2"/>
    <s v="Football"/>
    <n v="13"/>
    <n v="41490.75"/>
    <n v="539379.75"/>
    <n v="83652.27"/>
    <n v="0"/>
    <n v="455727.48"/>
    <s v="Cancelled"/>
    <s v="Pending"/>
  </r>
  <r>
    <s v="INV-2026-00492"/>
    <x v="66"/>
    <s v="West"/>
    <s v="Pune"/>
    <s v="Online"/>
    <s v="Anita Desai"/>
    <s v="Urban Store"/>
    <x v="1"/>
    <s v="Office Chair"/>
    <n v="48"/>
    <n v="21644.400000000001"/>
    <n v="1038931.2"/>
    <n v="164671.4"/>
    <n v="0"/>
    <n v="874259.8"/>
    <s v="Pending"/>
    <s v="Pending"/>
  </r>
  <r>
    <s v="INV-2026-00493"/>
    <x v="77"/>
    <s v="North"/>
    <s v="Chandigarh"/>
    <s v="Distributor"/>
    <s v="Sneha Reddy"/>
    <s v="Smart Systems"/>
    <x v="4"/>
    <s v="Formal Shirt"/>
    <n v="34"/>
    <n v="27861.279999999999"/>
    <n v="947283.52"/>
    <n v="0"/>
    <n v="0"/>
    <n v="947283.52"/>
    <s v="Completed"/>
    <s v="Paid"/>
  </r>
  <r>
    <s v="INV-2026-00494"/>
    <x v="46"/>
    <s v="North"/>
    <s v="Chandigarh"/>
    <s v="Distributor"/>
    <s v="Vijay Singh"/>
    <s v="Alpha Trading"/>
    <x v="4"/>
    <s v="Dress"/>
    <n v="45"/>
    <n v="45368.82"/>
    <n v="2041596.9"/>
    <n v="0"/>
    <n v="0"/>
    <n v="2041596.9"/>
    <s v="Pending"/>
    <s v="Pending"/>
  </r>
  <r>
    <s v="INV-2026-00495"/>
    <x v="42"/>
    <s v="East"/>
    <s v="Kolkata"/>
    <s v="Direct Sales"/>
    <s v="Sneha Reddy"/>
    <s v="Smart Systems"/>
    <x v="3"/>
    <s v="Laptop"/>
    <n v="9"/>
    <n v="26875.07"/>
    <n v="241875.63"/>
    <n v="28926.22"/>
    <n v="0"/>
    <n v="212949.41"/>
    <s v="Processing"/>
    <s v="Pending"/>
  </r>
  <r>
    <s v="INV-2026-00496"/>
    <x v="55"/>
    <s v="Central"/>
    <s v="Bhopal"/>
    <s v="Online"/>
    <s v="Priya Patel"/>
    <s v="Digital Hub"/>
    <x v="0"/>
    <s v="Desk Organizer"/>
    <n v="45"/>
    <n v="2718.83"/>
    <n v="122347.35"/>
    <n v="18246.099999999999"/>
    <n v="10464.41"/>
    <n v="93636.84"/>
    <s v="Processing"/>
    <s v="Paid"/>
  </r>
  <r>
    <s v="INV-2026-00497"/>
    <x v="36"/>
    <s v="West"/>
    <s v="Ahmedabad"/>
    <s v="Retail Store"/>
    <s v="Amit Kumar"/>
    <s v="Global Traders"/>
    <x v="2"/>
    <s v="Yoga Mat"/>
    <n v="46"/>
    <n v="47210.69"/>
    <n v="2171691.7400000002"/>
    <n v="0"/>
    <n v="0"/>
    <n v="2171691.7400000002"/>
    <s v="Processing"/>
    <s v="Paid"/>
  </r>
  <r>
    <s v="INV-2026-00498"/>
    <x v="58"/>
    <s v="Central"/>
    <s v="Raipur"/>
    <s v="Online"/>
    <s v="Priya Patel"/>
    <s v="Digital Hub"/>
    <x v="3"/>
    <s v="Headphones"/>
    <n v="2"/>
    <n v="41081.25"/>
    <n v="82162.5"/>
    <n v="11218.49"/>
    <n v="0"/>
    <n v="70944.009999999995"/>
    <s v="Processing"/>
    <s v="Pending"/>
  </r>
  <r>
    <s v="INV-2026-00499"/>
    <x v="28"/>
    <s v="Central"/>
    <s v="Bhopal"/>
    <s v="Online"/>
    <s v="Priya Patel"/>
    <s v="Nexus Ltd"/>
    <x v="1"/>
    <s v="Cabinet"/>
    <n v="12"/>
    <n v="49706.15"/>
    <n v="596473.80000000005"/>
    <n v="7363.38"/>
    <n v="0"/>
    <n v="589110.42000000004"/>
    <s v="Processing"/>
    <s v="Pending"/>
  </r>
  <r>
    <s v="INV-2026-00500"/>
    <x v="67"/>
    <s v="East"/>
    <s v="Bhubaneswar"/>
    <s v="Retail Store"/>
    <s v="Rajesh Verma"/>
    <s v="ABC Corp"/>
    <x v="2"/>
    <s v="Cricket Bat"/>
    <n v="46"/>
    <n v="45834.13"/>
    <n v="2108369.98"/>
    <n v="173126.65"/>
    <n v="0"/>
    <n v="1935243.33"/>
    <s v="Cancelled"/>
    <s v="Pending"/>
  </r>
  <r>
    <s v="INV-2026-00501"/>
    <x v="80"/>
    <s v="South"/>
    <s v="Kochi"/>
    <s v="Direct Sales"/>
    <s v="Rajesh Verma"/>
    <s v="Alpha Trading"/>
    <x v="1"/>
    <s v="Sofa"/>
    <n v="49"/>
    <n v="22166.82"/>
    <n v="1086174.18"/>
    <n v="83216.39"/>
    <n v="0"/>
    <n v="1002957.79"/>
    <s v="Cancelled"/>
    <s v="Pending"/>
  </r>
  <r>
    <s v="INV-2026-00502"/>
    <x v="68"/>
    <s v="East"/>
    <s v="Patna"/>
    <s v="Distributor"/>
    <s v="Amit Kumar"/>
    <s v="Elite Enterprises"/>
    <x v="0"/>
    <s v="Pen Set"/>
    <n v="23"/>
    <n v="8072.97"/>
    <n v="185678.31"/>
    <n v="0"/>
    <n v="0"/>
    <n v="185678.31"/>
    <s v="Cancelled"/>
    <s v="Pending"/>
  </r>
  <r>
    <s v="INV-2026-00503"/>
    <x v="48"/>
    <s v="North"/>
    <s v="Chandigarh"/>
    <s v="Online"/>
    <s v="Rajesh Verma"/>
    <s v="Metro Mart"/>
    <x v="1"/>
    <s v="Cabinet"/>
    <n v="42"/>
    <n v="6478.32"/>
    <n v="272089.44"/>
    <n v="6681.05"/>
    <n v="0"/>
    <n v="265408.39"/>
    <s v="Pending"/>
    <s v="Pending"/>
  </r>
  <r>
    <s v="INV-2026-00504"/>
    <x v="90"/>
    <s v="Central"/>
    <s v="Indore"/>
    <s v="Retail Store"/>
    <s v="Sneha Reddy"/>
    <s v="XYZ Ltd"/>
    <x v="5"/>
    <s v="Washing Machine"/>
    <n v="20"/>
    <n v="2939.36"/>
    <n v="58787.199999999997"/>
    <n v="3202.72"/>
    <n v="0"/>
    <n v="55584.480000000003"/>
    <s v="Completed"/>
    <s v="Paid"/>
  </r>
  <r>
    <s v="INV-2026-00505"/>
    <x v="4"/>
    <s v="West"/>
    <s v="Pune"/>
    <s v="Online"/>
    <s v="Amit Kumar"/>
    <s v="Alpha Trading"/>
    <x v="0"/>
    <s v="File Folder"/>
    <n v="25"/>
    <n v="9091.2000000000007"/>
    <n v="227280"/>
    <n v="33040.86"/>
    <n v="0"/>
    <n v="194239.14"/>
    <s v="Completed"/>
    <s v="Paid"/>
  </r>
  <r>
    <s v="INV-2026-00506"/>
    <x v="18"/>
    <s v="West"/>
    <s v="Surat"/>
    <s v="Direct Sales"/>
    <s v="Amit Kumar"/>
    <s v="Metro Mart"/>
    <x v="1"/>
    <s v="Conference Table"/>
    <n v="44"/>
    <n v="30929.56"/>
    <n v="1360900.64"/>
    <n v="0"/>
    <n v="0"/>
    <n v="1360900.64"/>
    <s v="Cancelled"/>
    <s v="Pending"/>
  </r>
  <r>
    <s v="INV-2026-00507"/>
    <x v="60"/>
    <s v="Central"/>
    <s v="Raipur"/>
    <s v="Online"/>
    <s v="Rahul Sharma"/>
    <s v="Future Tech"/>
    <x v="0"/>
    <s v="Notebook"/>
    <n v="11"/>
    <n v="1894.59"/>
    <n v="20840.490000000002"/>
    <n v="2979.92"/>
    <n v="0"/>
    <n v="17860.57"/>
    <s v="Cancelled"/>
    <s v="Pending"/>
  </r>
  <r>
    <s v="INV-2026-00508"/>
    <x v="14"/>
    <s v="East"/>
    <s v="Patna"/>
    <s v="Direct Sales"/>
    <s v="Suresh Gupta"/>
    <s v="Omega Stores"/>
    <x v="0"/>
    <s v="Notebook"/>
    <n v="39"/>
    <n v="29630.35"/>
    <n v="1155583.6499999999"/>
    <n v="0"/>
    <n v="0"/>
    <n v="1155583.6499999999"/>
    <s v="Processing"/>
    <s v="Pending"/>
  </r>
  <r>
    <s v="INV-2026-00509"/>
    <x v="31"/>
    <s v="East"/>
    <s v="Guwahati"/>
    <s v="Distributor"/>
    <s v="Kavita Nair"/>
    <s v="ABC Corp"/>
    <x v="3"/>
    <s v="Tablet"/>
    <n v="9"/>
    <n v="28674.61"/>
    <n v="258071.49"/>
    <n v="36679.18"/>
    <n v="0"/>
    <n v="221392.31"/>
    <s v="Completed"/>
    <s v="Paid"/>
  </r>
  <r>
    <s v="INV-2026-00510"/>
    <x v="24"/>
    <s v="East"/>
    <s v="Guwahati"/>
    <s v="Direct Sales"/>
    <s v="Meera Joshi"/>
    <s v="XYZ Ltd"/>
    <x v="4"/>
    <s v="Formal Shirt"/>
    <n v="18"/>
    <n v="47918.69"/>
    <n v="862536.42"/>
    <n v="0"/>
    <n v="0"/>
    <n v="862536.42"/>
    <s v="Cancelled"/>
    <s v="Pending"/>
  </r>
  <r>
    <s v="INV-2026-00511"/>
    <x v="21"/>
    <s v="Central"/>
    <s v="Indore"/>
    <s v="Distributor"/>
    <s v="Amit Kumar"/>
    <s v="Global Traders"/>
    <x v="0"/>
    <s v="Printer Paper"/>
    <n v="34"/>
    <n v="10407.790000000001"/>
    <n v="353864.86"/>
    <n v="49173.79"/>
    <n v="0"/>
    <n v="304691.07"/>
    <s v="Cancelled"/>
    <s v="Pending"/>
  </r>
  <r>
    <s v="INV-2026-00512"/>
    <x v="46"/>
    <s v="West"/>
    <s v="Pune"/>
    <s v="Online"/>
    <s v="Rajesh Verma"/>
    <s v="Urban Store"/>
    <x v="1"/>
    <s v="Desk"/>
    <n v="46"/>
    <n v="46826.03"/>
    <n v="2153997.38"/>
    <n v="0"/>
    <n v="0"/>
    <n v="2153997.38"/>
    <s v="Completed"/>
    <s v="Paid"/>
  </r>
  <r>
    <s v="INV-2026-00513"/>
    <x v="41"/>
    <s v="Central"/>
    <s v="Bhopal"/>
    <s v="Direct Sales"/>
    <s v="Rahul Sharma"/>
    <s v="Tech Solutions"/>
    <x v="1"/>
    <s v="Conference Table"/>
    <n v="24"/>
    <n v="30090.77"/>
    <n v="722178.48"/>
    <n v="75924.14"/>
    <n v="0"/>
    <n v="646254.34"/>
    <s v="Pending"/>
    <s v="Pending"/>
  </r>
  <r>
    <s v="INV-2026-00514"/>
    <x v="23"/>
    <s v="Central"/>
    <s v="Bhopal"/>
    <s v="Online"/>
    <s v="Rajesh Verma"/>
    <s v="Omega Stores"/>
    <x v="0"/>
    <s v="File Folder"/>
    <n v="40"/>
    <n v="34566.089999999997"/>
    <n v="1382643.6"/>
    <n v="38056.33"/>
    <n v="408002.9"/>
    <n v="936584.37"/>
    <s v="Processing"/>
    <s v="Paid"/>
  </r>
  <r>
    <s v="INV-2026-00515"/>
    <x v="38"/>
    <s v="West"/>
    <s v="Ahmedabad"/>
    <s v="Distributor"/>
    <s v="Amit Kumar"/>
    <s v="Nexus Ltd"/>
    <x v="2"/>
    <s v="Yoga Mat"/>
    <n v="35"/>
    <n v="45669.120000000003"/>
    <n v="1598419.2"/>
    <n v="0"/>
    <n v="0"/>
    <n v="1598419.2"/>
    <s v="Completed"/>
    <s v="Paid"/>
  </r>
  <r>
    <s v="INV-2026-00516"/>
    <x v="23"/>
    <s v="South"/>
    <s v="Kochi"/>
    <s v="Direct Sales"/>
    <s v="Priya Patel"/>
    <s v="ABC Corp"/>
    <x v="2"/>
    <s v="Bicycle"/>
    <n v="39"/>
    <n v="49743.26"/>
    <n v="1939987.14"/>
    <n v="0"/>
    <n v="0"/>
    <n v="1939987.14"/>
    <s v="Processing"/>
    <s v="Pending"/>
  </r>
  <r>
    <s v="INV-2026-00517"/>
    <x v="41"/>
    <s v="Central"/>
    <s v="Bhopal"/>
    <s v="Direct Sales"/>
    <s v="Rahul Sharma"/>
    <s v="Metro Mart"/>
    <x v="2"/>
    <s v="Gym Equipment"/>
    <n v="7"/>
    <n v="26613.33"/>
    <n v="186293.31"/>
    <n v="0"/>
    <n v="0"/>
    <n v="186293.31"/>
    <s v="Processing"/>
    <s v="Pending"/>
  </r>
  <r>
    <s v="INV-2026-00518"/>
    <x v="56"/>
    <s v="West"/>
    <s v="Ahmedabad"/>
    <s v="Direct Sales"/>
    <s v="Kavita Nair"/>
    <s v="Digital Hub"/>
    <x v="3"/>
    <s v="Tablet"/>
    <n v="50"/>
    <n v="4782.3100000000004"/>
    <n v="239115.5"/>
    <n v="42990.51"/>
    <n v="59653.96"/>
    <n v="136471.03"/>
    <s v="Pending"/>
    <s v="Pending"/>
  </r>
  <r>
    <s v="INV-2026-00519"/>
    <x v="26"/>
    <s v="Central"/>
    <s v="Indore"/>
    <s v="Direct Sales"/>
    <s v="Meera Joshi"/>
    <s v="Prime Retail"/>
    <x v="0"/>
    <s v="File Folder"/>
    <n v="45"/>
    <n v="13928.57"/>
    <n v="626785.65"/>
    <n v="102989.33"/>
    <n v="0"/>
    <n v="523796.32"/>
    <s v="Completed"/>
    <s v="Paid"/>
  </r>
  <r>
    <s v="INV-2026-00520"/>
    <x v="83"/>
    <s v="North"/>
    <s v="Delhi"/>
    <s v="Online"/>
    <s v="Amit Kumar"/>
    <s v="Nexus Ltd"/>
    <x v="3"/>
    <s v="Camera"/>
    <n v="11"/>
    <n v="2037.4"/>
    <n v="22411.4"/>
    <n v="815.77"/>
    <n v="777.24"/>
    <n v="20818.39"/>
    <s v="Cancelled"/>
    <s v="Pending"/>
  </r>
  <r>
    <s v="INV-2026-00521"/>
    <x v="52"/>
    <s v="East"/>
    <s v="Bhubaneswar"/>
    <s v="Online"/>
    <s v="Amit Kumar"/>
    <s v="Elite Enterprises"/>
    <x v="4"/>
    <s v="Jeans"/>
    <n v="26"/>
    <n v="3944.06"/>
    <n v="102545.56"/>
    <n v="11430.79"/>
    <n v="0"/>
    <n v="91114.77"/>
    <s v="Completed"/>
    <s v="Paid"/>
  </r>
  <r>
    <s v="INV-2026-00522"/>
    <x v="74"/>
    <s v="Central"/>
    <s v="Indore"/>
    <s v="Online"/>
    <s v="Rahul Sharma"/>
    <s v="Omega Stores"/>
    <x v="3"/>
    <s v="Smart Watch"/>
    <n v="1"/>
    <n v="35073.1"/>
    <n v="35073.1"/>
    <n v="0"/>
    <n v="0"/>
    <n v="35073.1"/>
    <s v="Processing"/>
    <s v="Paid"/>
  </r>
  <r>
    <s v="INV-2026-00523"/>
    <x v="28"/>
    <s v="South"/>
    <s v="Chennai"/>
    <s v="Online"/>
    <s v="Sneha Reddy"/>
    <s v="Tech Solutions"/>
    <x v="1"/>
    <s v="Bookshelf"/>
    <n v="24"/>
    <n v="530.16"/>
    <n v="12723.84"/>
    <n v="0"/>
    <n v="0"/>
    <n v="12723.84"/>
    <s v="Processing"/>
    <s v="Pending"/>
  </r>
  <r>
    <s v="INV-2026-00524"/>
    <x v="20"/>
    <s v="West"/>
    <s v="Surat"/>
    <s v="Online"/>
    <s v="Rahul Sharma"/>
    <s v="Omega Stores"/>
    <x v="5"/>
    <s v="Washing Machine"/>
    <n v="26"/>
    <n v="24286.21"/>
    <n v="631441.46"/>
    <n v="47205.93"/>
    <n v="0"/>
    <n v="584235.53"/>
    <s v="Processing"/>
    <s v="Pending"/>
  </r>
  <r>
    <s v="INV-2026-00525"/>
    <x v="70"/>
    <s v="Central"/>
    <s v="Nagpur"/>
    <s v="Distributor"/>
    <s v="Vijay Singh"/>
    <s v="Global Traders"/>
    <x v="5"/>
    <s v="Microwave"/>
    <n v="30"/>
    <n v="2769.12"/>
    <n v="83073.600000000006"/>
    <n v="0"/>
    <n v="0"/>
    <n v="83073.600000000006"/>
    <s v="Processing"/>
    <s v="Pending"/>
  </r>
  <r>
    <s v="INV-2026-00526"/>
    <x v="53"/>
    <s v="East"/>
    <s v="Bhubaneswar"/>
    <s v="Distributor"/>
    <s v="Rajesh Verma"/>
    <s v="Prime Retail"/>
    <x v="5"/>
    <s v="Vacuum Cleaner"/>
    <n v="41"/>
    <n v="34398.99"/>
    <n v="1410358.59"/>
    <n v="89155.47"/>
    <n v="0"/>
    <n v="1321203.1200000001"/>
    <s v="Completed"/>
    <s v="Paid"/>
  </r>
  <r>
    <s v="INV-2026-00527"/>
    <x v="55"/>
    <s v="East"/>
    <s v="Kolkata"/>
    <s v="Direct Sales"/>
    <s v="Vijay Singh"/>
    <s v="Urban Store"/>
    <x v="4"/>
    <s v="Formal Shirt"/>
    <n v="25"/>
    <n v="1229.57"/>
    <n v="30739.25"/>
    <n v="1435.4"/>
    <n v="0"/>
    <n v="29303.85"/>
    <s v="Pending"/>
    <s v="Pending"/>
  </r>
  <r>
    <s v="INV-2026-00528"/>
    <x v="87"/>
    <s v="North"/>
    <s v="Jaipur"/>
    <s v="Direct Sales"/>
    <s v="Meera Joshi"/>
    <s v="Smart Systems"/>
    <x v="1"/>
    <s v="Sofa"/>
    <n v="48"/>
    <n v="44758.84"/>
    <n v="2148424.3199999998"/>
    <n v="15067.78"/>
    <n v="0"/>
    <n v="2133356.54"/>
    <s v="Completed"/>
    <s v="Paid"/>
  </r>
  <r>
    <s v="INV-2026-00529"/>
    <x v="20"/>
    <s v="South"/>
    <s v="Hyderabad"/>
    <s v="Distributor"/>
    <s v="Vijay Singh"/>
    <s v="Tech Solutions"/>
    <x v="0"/>
    <s v="Printer Paper"/>
    <n v="3"/>
    <n v="24386.23"/>
    <n v="73158.69"/>
    <n v="0"/>
    <n v="0"/>
    <n v="73158.69"/>
    <s v="Pending"/>
    <s v="Paid"/>
  </r>
  <r>
    <s v="INV-2026-00530"/>
    <x v="78"/>
    <s v="South"/>
    <s v="Bangalore"/>
    <s v="Retail Store"/>
    <s v="Sneha Reddy"/>
    <s v="ABC Corp"/>
    <x v="2"/>
    <s v="Bicycle"/>
    <n v="2"/>
    <n v="26612.95"/>
    <n v="53225.9"/>
    <n v="1842.6"/>
    <n v="0"/>
    <n v="51383.3"/>
    <s v="Completed"/>
    <s v="Paid"/>
  </r>
  <r>
    <s v="INV-2026-00531"/>
    <x v="61"/>
    <s v="Central"/>
    <s v="Nagpur"/>
    <s v="Distributor"/>
    <s v="Amit Kumar"/>
    <s v="Prime Retail"/>
    <x v="1"/>
    <s v="Bookshelf"/>
    <n v="44"/>
    <n v="42834.75"/>
    <n v="1884729"/>
    <n v="125446.85"/>
    <n v="0"/>
    <n v="1759282.15"/>
    <s v="Pending"/>
    <s v="Pending"/>
  </r>
  <r>
    <s v="INV-2026-00532"/>
    <x v="39"/>
    <s v="West"/>
    <s v="Pune"/>
    <s v="Direct Sales"/>
    <s v="Rahul Sharma"/>
    <s v="Elite Enterprises"/>
    <x v="5"/>
    <s v="Air Conditioner"/>
    <n v="35"/>
    <n v="7687.16"/>
    <n v="269050.59999999998"/>
    <n v="50077.04"/>
    <n v="26657.24"/>
    <n v="192316.32"/>
    <s v="Pending"/>
    <s v="Pending"/>
  </r>
  <r>
    <s v="INV-2026-00533"/>
    <x v="32"/>
    <s v="West"/>
    <s v="Ahmedabad"/>
    <s v="Online"/>
    <s v="Rahul Sharma"/>
    <s v="Nexus Ltd"/>
    <x v="4"/>
    <s v="Shoes"/>
    <n v="11"/>
    <n v="39484.199999999997"/>
    <n v="434326.2"/>
    <n v="0"/>
    <n v="0"/>
    <n v="434326.2"/>
    <s v="Completed"/>
    <s v="Paid"/>
  </r>
  <r>
    <s v="INV-2026-00534"/>
    <x v="90"/>
    <s v="North"/>
    <s v="Delhi"/>
    <s v="Online"/>
    <s v="Amit Kumar"/>
    <s v="Digital Hub"/>
    <x v="0"/>
    <s v="Desk Organizer"/>
    <n v="30"/>
    <n v="28991.64"/>
    <n v="869749.2"/>
    <n v="102461.72"/>
    <n v="64165.58"/>
    <n v="703121.9"/>
    <s v="Completed"/>
    <s v="Overdue"/>
  </r>
  <r>
    <s v="INV-2026-00535"/>
    <x v="78"/>
    <s v="East"/>
    <s v="Guwahati"/>
    <s v="Distributor"/>
    <s v="Suresh Gupta"/>
    <s v="Smart Systems"/>
    <x v="1"/>
    <s v="Bookshelf"/>
    <n v="27"/>
    <n v="50137.37"/>
    <n v="1353708.99"/>
    <n v="47117.2"/>
    <n v="0"/>
    <n v="1306591.79"/>
    <s v="Processing"/>
    <s v="Paid"/>
  </r>
  <r>
    <s v="INV-2026-00536"/>
    <x v="50"/>
    <s v="East"/>
    <s v="Kolkata"/>
    <s v="Online"/>
    <s v="Meera Joshi"/>
    <s v="XYZ Ltd"/>
    <x v="2"/>
    <s v="Gym Equipment"/>
    <n v="25"/>
    <n v="3543.55"/>
    <n v="88588.75"/>
    <n v="0"/>
    <n v="14759.81"/>
    <n v="73828.94"/>
    <s v="Pending"/>
    <s v="Pending"/>
  </r>
  <r>
    <s v="INV-2026-00537"/>
    <x v="53"/>
    <s v="North"/>
    <s v="Chandigarh"/>
    <s v="Direct Sales"/>
    <s v="Vijay Singh"/>
    <s v="Urban Store"/>
    <x v="3"/>
    <s v="Smartphone"/>
    <n v="41"/>
    <n v="30673.95"/>
    <n v="1257631.95"/>
    <n v="0"/>
    <n v="0"/>
    <n v="1257631.95"/>
    <s v="Cancelled"/>
    <s v="Pending"/>
  </r>
  <r>
    <s v="INV-2026-00538"/>
    <x v="5"/>
    <s v="South"/>
    <s v="Bangalore"/>
    <s v="Online"/>
    <s v="Vijay Singh"/>
    <s v="Skyline Corp"/>
    <x v="3"/>
    <s v="Smartphone"/>
    <n v="12"/>
    <n v="45565.67"/>
    <n v="546788.04"/>
    <n v="6533.84"/>
    <n v="0"/>
    <n v="540254.19999999995"/>
    <s v="Completed"/>
    <s v="Paid"/>
  </r>
  <r>
    <s v="INV-2026-00539"/>
    <x v="35"/>
    <s v="Central"/>
    <s v="Indore"/>
    <s v="Direct Sales"/>
    <s v="Amit Kumar"/>
    <s v="Smart Systems"/>
    <x v="3"/>
    <s v="Laptop"/>
    <n v="47"/>
    <n v="9025.11"/>
    <n v="424180.17"/>
    <n v="0"/>
    <n v="0"/>
    <n v="424180.17"/>
    <s v="Completed"/>
    <s v="Overdue"/>
  </r>
  <r>
    <s v="INV-2026-00540"/>
    <x v="50"/>
    <s v="North"/>
    <s v="Jaipur"/>
    <s v="Retail Store"/>
    <s v="Meera Joshi"/>
    <s v="Alpha Trading"/>
    <x v="1"/>
    <s v="Cabinet"/>
    <n v="27"/>
    <n v="43201.63"/>
    <n v="1166444.01"/>
    <n v="5585.34"/>
    <n v="0"/>
    <n v="1160858.67"/>
    <s v="Cancelled"/>
    <s v="Pending"/>
  </r>
  <r>
    <s v="INV-2026-00541"/>
    <x v="84"/>
    <s v="West"/>
    <s v="Ahmedabad"/>
    <s v="Direct Sales"/>
    <s v="Rahul Sharma"/>
    <s v="Metro Mart"/>
    <x v="4"/>
    <s v="T-Shirt"/>
    <n v="6"/>
    <n v="18672.080000000002"/>
    <n v="112032.48"/>
    <n v="2313.0700000000002"/>
    <n v="11335.66"/>
    <n v="98383.75"/>
    <s v="Completed"/>
    <s v="Paid"/>
  </r>
  <r>
    <s v="INV-2026-00542"/>
    <x v="11"/>
    <s v="North"/>
    <s v="Delhi"/>
    <s v="Online"/>
    <s v="Meera Joshi"/>
    <s v="XYZ Ltd"/>
    <x v="0"/>
    <s v="File Folder"/>
    <n v="50"/>
    <n v="25952.98"/>
    <n v="1297649"/>
    <n v="56229.440000000002"/>
    <n v="0"/>
    <n v="1241419.56"/>
    <s v="Cancelled"/>
    <s v="Pending"/>
  </r>
  <r>
    <s v="INV-2026-00543"/>
    <x v="26"/>
    <s v="North"/>
    <s v="Jaipur"/>
    <s v="Online"/>
    <s v="Meera Joshi"/>
    <s v="Future Tech"/>
    <x v="0"/>
    <s v="Whiteboard"/>
    <n v="5"/>
    <n v="7917.94"/>
    <n v="39589.699999999997"/>
    <n v="4551.25"/>
    <n v="0"/>
    <n v="35038.449999999997"/>
    <s v="Completed"/>
    <s v="Paid"/>
  </r>
  <r>
    <s v="INV-2026-00544"/>
    <x v="79"/>
    <s v="West"/>
    <s v="Surat"/>
    <s v="Online"/>
    <s v="Vijay Singh"/>
    <s v="Future Tech"/>
    <x v="1"/>
    <s v="Cabinet"/>
    <n v="15"/>
    <n v="33610.019999999997"/>
    <n v="504150.3"/>
    <n v="52571.23"/>
    <n v="19679.54"/>
    <n v="431899.53"/>
    <s v="Cancelled"/>
    <s v="Pending"/>
  </r>
  <r>
    <s v="INV-2026-00545"/>
    <x v="32"/>
    <s v="North"/>
    <s v="Lucknow"/>
    <s v="Direct Sales"/>
    <s v="Priya Patel"/>
    <s v="Global Traders"/>
    <x v="0"/>
    <s v="Notebook"/>
    <n v="15"/>
    <n v="14002.48"/>
    <n v="210037.2"/>
    <n v="37322.370000000003"/>
    <n v="0"/>
    <n v="172714.83"/>
    <s v="Processing"/>
    <s v="Paid"/>
  </r>
  <r>
    <s v="INV-2026-00546"/>
    <x v="58"/>
    <s v="Central"/>
    <s v="Nagpur"/>
    <s v="Online"/>
    <s v="Vijay Singh"/>
    <s v="Alpha Trading"/>
    <x v="3"/>
    <s v="Headphones"/>
    <n v="47"/>
    <n v="6520.71"/>
    <n v="306473.37"/>
    <n v="58913.73"/>
    <n v="0"/>
    <n v="247559.64"/>
    <s v="Processing"/>
    <s v="Paid"/>
  </r>
  <r>
    <s v="INV-2026-00547"/>
    <x v="17"/>
    <s v="West"/>
    <s v="Ahmedabad"/>
    <s v="Distributor"/>
    <s v="Rajesh Verma"/>
    <s v="ABC Corp"/>
    <x v="2"/>
    <s v="Bicycle"/>
    <n v="9"/>
    <n v="34329.74"/>
    <n v="308967.65999999997"/>
    <n v="0"/>
    <n v="0"/>
    <n v="308967.65999999997"/>
    <s v="Pending"/>
    <s v="Pending"/>
  </r>
  <r>
    <s v="INV-2026-00548"/>
    <x v="54"/>
    <s v="West"/>
    <s v="Mumbai"/>
    <s v="Direct Sales"/>
    <s v="Rahul Sharma"/>
    <s v="Elite Enterprises"/>
    <x v="3"/>
    <s v="Laptop"/>
    <n v="25"/>
    <n v="42533.2"/>
    <n v="1063330"/>
    <n v="25543.439999999999"/>
    <n v="0"/>
    <n v="1037786.56"/>
    <s v="Processing"/>
    <s v="Pending"/>
  </r>
  <r>
    <s v="INV-2026-00549"/>
    <x v="74"/>
    <s v="Central"/>
    <s v="Raipur"/>
    <s v="Online"/>
    <s v="Vijay Singh"/>
    <s v="Digital Hub"/>
    <x v="2"/>
    <s v="Gym Equipment"/>
    <n v="42"/>
    <n v="24580.639999999999"/>
    <n v="1032386.88"/>
    <n v="0"/>
    <n v="0"/>
    <n v="1032386.88"/>
    <s v="Processing"/>
    <s v="Paid"/>
  </r>
  <r>
    <s v="INV-2026-00550"/>
    <x v="53"/>
    <s v="Central"/>
    <s v="Raipur"/>
    <s v="Distributor"/>
    <s v="Rajesh Verma"/>
    <s v="ABC Corp"/>
    <x v="0"/>
    <s v="File Folder"/>
    <n v="39"/>
    <n v="48128.49"/>
    <n v="1877011.11"/>
    <n v="0"/>
    <n v="0"/>
    <n v="1877011.11"/>
    <s v="Cancelled"/>
    <s v="Pending"/>
  </r>
  <r>
    <s v="INV-2026-00551"/>
    <x v="62"/>
    <s v="North"/>
    <s v="Lucknow"/>
    <s v="Online"/>
    <s v="Rahul Sharma"/>
    <s v="Digital Hub"/>
    <x v="4"/>
    <s v="Shoes"/>
    <n v="45"/>
    <n v="21109.919999999998"/>
    <n v="949946.4"/>
    <n v="26534.2"/>
    <n v="0"/>
    <n v="923412.2"/>
    <s v="Cancelled"/>
    <s v="Pending"/>
  </r>
  <r>
    <s v="INV-2026-00552"/>
    <x v="53"/>
    <s v="North"/>
    <s v="Chandigarh"/>
    <s v="Online"/>
    <s v="Vijay Singh"/>
    <s v="Skyline Corp"/>
    <x v="5"/>
    <s v="Microwave"/>
    <n v="39"/>
    <n v="30725.89"/>
    <n v="1198309.71"/>
    <n v="0"/>
    <n v="0"/>
    <n v="1198309.71"/>
    <s v="Cancelled"/>
    <s v="Pending"/>
  </r>
  <r>
    <s v="INV-2026-00553"/>
    <x v="90"/>
    <s v="Central"/>
    <s v="Raipur"/>
    <s v="Online"/>
    <s v="Anita Desai"/>
    <s v="Elite Enterprises"/>
    <x v="1"/>
    <s v="Office Chair"/>
    <n v="26"/>
    <n v="19736.57"/>
    <n v="513150.82"/>
    <n v="0"/>
    <n v="0"/>
    <n v="513150.82"/>
    <s v="Completed"/>
    <s v="Overdue"/>
  </r>
  <r>
    <s v="INV-2026-00554"/>
    <x v="4"/>
    <s v="Central"/>
    <s v="Bhopal"/>
    <s v="Retail Store"/>
    <s v="Anita Desai"/>
    <s v="Global Traders"/>
    <x v="0"/>
    <s v="Notebook"/>
    <n v="20"/>
    <n v="33165.31"/>
    <n v="663306.19999999995"/>
    <n v="111730.68"/>
    <n v="0"/>
    <n v="551575.52"/>
    <s v="Pending"/>
    <s v="Paid"/>
  </r>
  <r>
    <s v="INV-2026-00555"/>
    <x v="3"/>
    <s v="West"/>
    <s v="Ahmedabad"/>
    <s v="Online"/>
    <s v="Suresh Gupta"/>
    <s v="Future Tech"/>
    <x v="2"/>
    <s v="Cricket Bat"/>
    <n v="11"/>
    <n v="48174.15"/>
    <n v="529915.65"/>
    <n v="57664.4"/>
    <n v="22026.65"/>
    <n v="450224.6"/>
    <s v="Pending"/>
    <s v="Paid"/>
  </r>
  <r>
    <s v="INV-2026-00556"/>
    <x v="80"/>
    <s v="North"/>
    <s v="Lucknow"/>
    <s v="Retail Store"/>
    <s v="Kavita Nair"/>
    <s v="Alpha Trading"/>
    <x v="5"/>
    <s v="Vacuum Cleaner"/>
    <n v="26"/>
    <n v="21956.75"/>
    <n v="570875.5"/>
    <n v="0"/>
    <n v="0"/>
    <n v="570875.5"/>
    <s v="Processing"/>
    <s v="Paid"/>
  </r>
  <r>
    <s v="INV-2026-00557"/>
    <x v="38"/>
    <s v="Central"/>
    <s v="Bhopal"/>
    <s v="Distributor"/>
    <s v="Suresh Gupta"/>
    <s v="Digital Hub"/>
    <x v="4"/>
    <s v="Dress"/>
    <n v="17"/>
    <n v="42393.45"/>
    <n v="720688.65"/>
    <n v="41569.93"/>
    <n v="0"/>
    <n v="679118.72"/>
    <s v="Processing"/>
    <s v="Paid"/>
  </r>
  <r>
    <s v="INV-2026-00558"/>
    <x v="38"/>
    <s v="Central"/>
    <s v="Raipur"/>
    <s v="Distributor"/>
    <s v="Rahul Sharma"/>
    <s v="Urban Store"/>
    <x v="3"/>
    <s v="Camera"/>
    <n v="50"/>
    <n v="31280.16"/>
    <n v="1564008"/>
    <n v="222337.9"/>
    <n v="0"/>
    <n v="1341670.1000000001"/>
    <s v="Processing"/>
    <s v="Pending"/>
  </r>
  <r>
    <s v="INV-2026-00559"/>
    <x v="91"/>
    <s v="East"/>
    <s v="Patna"/>
    <s v="Direct Sales"/>
    <s v="Vijay Singh"/>
    <s v="Alpha Trading"/>
    <x v="0"/>
    <s v="Whiteboard"/>
    <n v="30"/>
    <n v="10770.66"/>
    <n v="323119.8"/>
    <n v="3003.78"/>
    <n v="0"/>
    <n v="320116.02"/>
    <s v="Processing"/>
    <s v="Paid"/>
  </r>
  <r>
    <s v="INV-2026-00560"/>
    <x v="26"/>
    <s v="Central"/>
    <s v="Indore"/>
    <s v="Distributor"/>
    <s v="Suresh Gupta"/>
    <s v="Metro Mart"/>
    <x v="2"/>
    <s v="Football"/>
    <n v="24"/>
    <n v="39329.39"/>
    <n v="943905.36"/>
    <n v="158702.32"/>
    <n v="0"/>
    <n v="785203.04"/>
    <s v="Completed"/>
    <s v="Paid"/>
  </r>
  <r>
    <s v="INV-2026-00561"/>
    <x v="33"/>
    <s v="West"/>
    <s v="Pune"/>
    <s v="Online"/>
    <s v="Vijay Singh"/>
    <s v="Elite Enterprises"/>
    <x v="1"/>
    <s v="Conference Table"/>
    <n v="44"/>
    <n v="34296.43"/>
    <n v="1509042.92"/>
    <n v="0"/>
    <n v="0"/>
    <n v="1509042.92"/>
    <s v="Cancelled"/>
    <s v="Pending"/>
  </r>
  <r>
    <s v="INV-2026-00562"/>
    <x v="78"/>
    <s v="North"/>
    <s v="Lucknow"/>
    <s v="Retail Store"/>
    <s v="Rajesh Verma"/>
    <s v="Metro Mart"/>
    <x v="3"/>
    <s v="Laptop"/>
    <n v="26"/>
    <n v="5911.26"/>
    <n v="153692.76"/>
    <n v="18384.12"/>
    <n v="0"/>
    <n v="135308.64000000001"/>
    <s v="Processing"/>
    <s v="Paid"/>
  </r>
  <r>
    <s v="INV-2026-00563"/>
    <x v="65"/>
    <s v="Central"/>
    <s v="Indore"/>
    <s v="Distributor"/>
    <s v="Rahul Sharma"/>
    <s v="Tech Solutions"/>
    <x v="4"/>
    <s v="Jeans"/>
    <n v="30"/>
    <n v="6250.98"/>
    <n v="187529.4"/>
    <n v="0"/>
    <n v="0"/>
    <n v="187529.4"/>
    <s v="Pending"/>
    <s v="Pending"/>
  </r>
  <r>
    <s v="INV-2026-00564"/>
    <x v="50"/>
    <s v="North"/>
    <s v="Delhi"/>
    <s v="Online"/>
    <s v="Kavita Nair"/>
    <s v="Nexus Ltd"/>
    <x v="4"/>
    <s v="T-Shirt"/>
    <n v="17"/>
    <n v="46498.11"/>
    <n v="790467.87"/>
    <n v="0"/>
    <n v="0"/>
    <n v="790467.87"/>
    <s v="Pending"/>
    <s v="Pending"/>
  </r>
  <r>
    <s v="INV-2026-00565"/>
    <x v="56"/>
    <s v="South"/>
    <s v="Chennai"/>
    <s v="Retail Store"/>
    <s v="Sneha Reddy"/>
    <s v="Nexus Ltd"/>
    <x v="0"/>
    <s v="File Folder"/>
    <n v="45"/>
    <n v="46164.42"/>
    <n v="2077398.9"/>
    <n v="152979.03"/>
    <n v="0"/>
    <n v="1924419.87"/>
    <s v="Processing"/>
    <s v="Pending"/>
  </r>
  <r>
    <s v="INV-2026-00566"/>
    <x v="12"/>
    <s v="South"/>
    <s v="Bangalore"/>
    <s v="Retail Store"/>
    <s v="Kavita Nair"/>
    <s v="Omega Stores"/>
    <x v="0"/>
    <s v="File Folder"/>
    <n v="38"/>
    <n v="8836.82"/>
    <n v="335799.16"/>
    <n v="15142.38"/>
    <n v="0"/>
    <n v="320656.78000000003"/>
    <s v="Pending"/>
    <s v="Paid"/>
  </r>
  <r>
    <s v="INV-2026-00567"/>
    <x v="57"/>
    <s v="Central"/>
    <s v="Bhopal"/>
    <s v="Direct Sales"/>
    <s v="Amit Kumar"/>
    <s v="Global Traders"/>
    <x v="0"/>
    <s v="Pen Set"/>
    <n v="23"/>
    <n v="25113.45"/>
    <n v="577609.35"/>
    <n v="7562.94"/>
    <n v="0"/>
    <n v="570046.41"/>
    <s v="Processing"/>
    <s v="Pending"/>
  </r>
  <r>
    <s v="INV-2026-00568"/>
    <x v="72"/>
    <s v="East"/>
    <s v="Kolkata"/>
    <s v="Retail Store"/>
    <s v="Anita Desai"/>
    <s v="Smart Systems"/>
    <x v="4"/>
    <s v="Jeans"/>
    <n v="10"/>
    <n v="15732.51"/>
    <n v="157325.1"/>
    <n v="24387.41"/>
    <n v="0"/>
    <n v="132937.69"/>
    <s v="Pending"/>
    <s v="Pending"/>
  </r>
  <r>
    <s v="INV-2026-00569"/>
    <x v="58"/>
    <s v="West"/>
    <s v="Mumbai"/>
    <s v="Retail Store"/>
    <s v="Suresh Gupta"/>
    <s v="Global Traders"/>
    <x v="2"/>
    <s v="Football"/>
    <n v="41"/>
    <n v="24232.27"/>
    <n v="993523.07"/>
    <n v="133899.15"/>
    <n v="0"/>
    <n v="859623.92"/>
    <s v="Cancelled"/>
    <s v="Pending"/>
  </r>
  <r>
    <s v="INV-2026-00570"/>
    <x v="61"/>
    <s v="West"/>
    <s v="Pune"/>
    <s v="Direct Sales"/>
    <s v="Vijay Singh"/>
    <s v="Nexus Ltd"/>
    <x v="0"/>
    <s v="Pen Set"/>
    <n v="37"/>
    <n v="46242.33"/>
    <n v="1710966.21"/>
    <n v="307777.26"/>
    <n v="0"/>
    <n v="1403188.95"/>
    <s v="Completed"/>
    <s v="Overdue"/>
  </r>
  <r>
    <s v="INV-2026-00571"/>
    <x v="35"/>
    <s v="North"/>
    <s v="Jaipur"/>
    <s v="Retail Store"/>
    <s v="Rajesh Verma"/>
    <s v="Alpha Trading"/>
    <x v="0"/>
    <s v="Desk Organizer"/>
    <n v="10"/>
    <n v="34735.14"/>
    <n v="347351.4"/>
    <n v="0"/>
    <n v="0"/>
    <n v="347351.4"/>
    <s v="Cancelled"/>
    <s v="Pending"/>
  </r>
  <r>
    <s v="INV-2026-00572"/>
    <x v="4"/>
    <s v="South"/>
    <s v="Chennai"/>
    <s v="Direct Sales"/>
    <s v="Sneha Reddy"/>
    <s v="Global Traders"/>
    <x v="1"/>
    <s v="Office Chair"/>
    <n v="47"/>
    <n v="41914.69"/>
    <n v="1969990.43"/>
    <n v="185545.98"/>
    <n v="370991.07"/>
    <n v="1413453.38"/>
    <s v="Cancelled"/>
    <s v="Pending"/>
  </r>
  <r>
    <s v="INV-2026-00573"/>
    <x v="49"/>
    <s v="East"/>
    <s v="Kolkata"/>
    <s v="Distributor"/>
    <s v="Meera Joshi"/>
    <s v="Global Traders"/>
    <x v="1"/>
    <s v="Desk"/>
    <n v="13"/>
    <n v="31615.97"/>
    <n v="411007.61"/>
    <n v="23383.96"/>
    <n v="0"/>
    <n v="387623.65"/>
    <s v="Cancelled"/>
    <s v="Pending"/>
  </r>
  <r>
    <s v="INV-2026-00574"/>
    <x v="26"/>
    <s v="South"/>
    <s v="Bangalore"/>
    <s v="Direct Sales"/>
    <s v="Rajesh Verma"/>
    <s v="Skyline Corp"/>
    <x v="4"/>
    <s v="Shoes"/>
    <n v="10"/>
    <n v="1506.83"/>
    <n v="15068.3"/>
    <n v="301.73"/>
    <n v="0"/>
    <n v="14766.57"/>
    <s v="Completed"/>
    <s v="Paid"/>
  </r>
  <r>
    <s v="INV-2026-00575"/>
    <x v="15"/>
    <s v="West"/>
    <s v="Mumbai"/>
    <s v="Distributor"/>
    <s v="Rahul Sharma"/>
    <s v="Digital Hub"/>
    <x v="0"/>
    <s v="Notebook"/>
    <n v="34"/>
    <n v="32027.25"/>
    <n v="1088926.5"/>
    <n v="109426.59"/>
    <n v="0"/>
    <n v="979499.91"/>
    <s v="Processing"/>
    <s v="Pending"/>
  </r>
  <r>
    <s v="INV-2026-00576"/>
    <x v="31"/>
    <s v="Central"/>
    <s v="Bhopal"/>
    <s v="Distributor"/>
    <s v="Rahul Sharma"/>
    <s v="Nexus Ltd"/>
    <x v="3"/>
    <s v="Camera"/>
    <n v="12"/>
    <n v="9252.6"/>
    <n v="111031.2"/>
    <n v="0"/>
    <n v="0"/>
    <n v="111031.2"/>
    <s v="Pending"/>
    <s v="Pending"/>
  </r>
  <r>
    <s v="INV-2026-00577"/>
    <x v="48"/>
    <s v="North"/>
    <s v="Delhi"/>
    <s v="Direct Sales"/>
    <s v="Sneha Reddy"/>
    <s v="Smart Systems"/>
    <x v="2"/>
    <s v="Bicycle"/>
    <n v="34"/>
    <n v="46228.81"/>
    <n v="1571779.54"/>
    <n v="180784.65"/>
    <n v="0"/>
    <n v="1390994.89"/>
    <s v="Completed"/>
    <s v="Paid"/>
  </r>
  <r>
    <s v="INV-2026-00578"/>
    <x v="6"/>
    <s v="West"/>
    <s v="Ahmedabad"/>
    <s v="Retail Store"/>
    <s v="Kavita Nair"/>
    <s v="Prime Retail"/>
    <x v="4"/>
    <s v="T-Shirt"/>
    <n v="4"/>
    <n v="24939.96"/>
    <n v="99759.84"/>
    <n v="6673.67"/>
    <n v="0"/>
    <n v="93086.17"/>
    <s v="Cancelled"/>
    <s v="Pending"/>
  </r>
  <r>
    <s v="INV-2026-00579"/>
    <x v="75"/>
    <s v="South"/>
    <s v="Chennai"/>
    <s v="Direct Sales"/>
    <s v="Priya Patel"/>
    <s v="Future Tech"/>
    <x v="4"/>
    <s v="Dress"/>
    <n v="17"/>
    <n v="11570.09"/>
    <n v="196691.53"/>
    <n v="0"/>
    <n v="0"/>
    <n v="196691.53"/>
    <s v="Processing"/>
    <s v="Paid"/>
  </r>
  <r>
    <s v="INV-2026-00580"/>
    <x v="52"/>
    <s v="North"/>
    <s v="Chandigarh"/>
    <s v="Direct Sales"/>
    <s v="Priya Patel"/>
    <s v="Metro Mart"/>
    <x v="1"/>
    <s v="Office Chair"/>
    <n v="44"/>
    <n v="40033.21"/>
    <n v="1761461.24"/>
    <n v="151452.51"/>
    <n v="0"/>
    <n v="1610008.73"/>
    <s v="Processing"/>
    <s v="Pending"/>
  </r>
  <r>
    <s v="INV-2026-00581"/>
    <x v="2"/>
    <s v="West"/>
    <s v="Mumbai"/>
    <s v="Retail Store"/>
    <s v="Anita Desai"/>
    <s v="ABC Corp"/>
    <x v="3"/>
    <s v="Tablet"/>
    <n v="29"/>
    <n v="23890.89"/>
    <n v="692835.81"/>
    <n v="131535.88"/>
    <n v="0"/>
    <n v="561299.93000000005"/>
    <s v="Completed"/>
    <s v="Paid"/>
  </r>
  <r>
    <s v="INV-2026-00582"/>
    <x v="12"/>
    <s v="South"/>
    <s v="Kochi"/>
    <s v="Retail Store"/>
    <s v="Priya Patel"/>
    <s v="Nexus Ltd"/>
    <x v="5"/>
    <s v="Microwave"/>
    <n v="32"/>
    <n v="36158.17"/>
    <n v="1157061.44"/>
    <n v="0"/>
    <n v="122927.24"/>
    <n v="1034134.2"/>
    <s v="Processing"/>
    <s v="Pending"/>
  </r>
  <r>
    <s v="INV-2026-00583"/>
    <x v="80"/>
    <s v="North"/>
    <s v="Chandigarh"/>
    <s v="Distributor"/>
    <s v="Priya Patel"/>
    <s v="XYZ Ltd"/>
    <x v="5"/>
    <s v="Refrigerator"/>
    <n v="22"/>
    <n v="17905.21"/>
    <n v="393914.62"/>
    <n v="59707.23"/>
    <n v="0"/>
    <n v="334207.39"/>
    <s v="Processing"/>
    <s v="Pending"/>
  </r>
  <r>
    <s v="INV-2026-00584"/>
    <x v="9"/>
    <s v="West"/>
    <s v="Pune"/>
    <s v="Distributor"/>
    <s v="Kavita Nair"/>
    <s v="Omega Stores"/>
    <x v="5"/>
    <s v="Air Conditioner"/>
    <n v="40"/>
    <n v="2339.2600000000002"/>
    <n v="93570.4"/>
    <n v="2416.71"/>
    <n v="0"/>
    <n v="91153.69"/>
    <s v="Cancelled"/>
    <s v="Pending"/>
  </r>
  <r>
    <s v="INV-2026-00585"/>
    <x v="43"/>
    <s v="North"/>
    <s v="Delhi"/>
    <s v="Online"/>
    <s v="Priya Patel"/>
    <s v="Smart Systems"/>
    <x v="3"/>
    <s v="Smartphone"/>
    <n v="36"/>
    <n v="7211.28"/>
    <n v="259606.08"/>
    <n v="13982.03"/>
    <n v="0"/>
    <n v="245624.05"/>
    <s v="Cancelled"/>
    <s v="Pending"/>
  </r>
  <r>
    <s v="INV-2026-00586"/>
    <x v="67"/>
    <s v="Central"/>
    <s v="Bhopal"/>
    <s v="Direct Sales"/>
    <s v="Anita Desai"/>
    <s v="Global Traders"/>
    <x v="2"/>
    <s v="Tennis Racket"/>
    <n v="23"/>
    <n v="49961.72"/>
    <n v="1149119.56"/>
    <n v="0"/>
    <n v="0"/>
    <n v="1149119.56"/>
    <s v="Pending"/>
    <s v="Pending"/>
  </r>
  <r>
    <s v="INV-2026-00587"/>
    <x v="18"/>
    <s v="Central"/>
    <s v="Bhopal"/>
    <s v="Retail Store"/>
    <s v="Rahul Sharma"/>
    <s v="Skyline Corp"/>
    <x v="2"/>
    <s v="Bicycle"/>
    <n v="38"/>
    <n v="42200.160000000003"/>
    <n v="1603606.08"/>
    <n v="149099.87"/>
    <n v="0"/>
    <n v="1454506.21"/>
    <s v="Pending"/>
    <s v="Paid"/>
  </r>
  <r>
    <s v="INV-2026-00588"/>
    <x v="63"/>
    <s v="East"/>
    <s v="Bhubaneswar"/>
    <s v="Retail Store"/>
    <s v="Kavita Nair"/>
    <s v="Tech Solutions"/>
    <x v="5"/>
    <s v="Vacuum Cleaner"/>
    <n v="46"/>
    <n v="29097.13"/>
    <n v="1338467.98"/>
    <n v="208901.2"/>
    <n v="0"/>
    <n v="1129566.78"/>
    <s v="Pending"/>
    <s v="Paid"/>
  </r>
  <r>
    <s v="INV-2026-00589"/>
    <x v="70"/>
    <s v="West"/>
    <s v="Surat"/>
    <s v="Direct Sales"/>
    <s v="Sneha Reddy"/>
    <s v="Omega Stores"/>
    <x v="3"/>
    <s v="Tablet"/>
    <n v="5"/>
    <n v="20345.310000000001"/>
    <n v="101726.55"/>
    <n v="16322.31"/>
    <n v="0"/>
    <n v="85404.24"/>
    <s v="Completed"/>
    <s v="Paid"/>
  </r>
  <r>
    <s v="INV-2026-00590"/>
    <x v="73"/>
    <s v="North"/>
    <s v="Jaipur"/>
    <s v="Direct Sales"/>
    <s v="Vijay Singh"/>
    <s v="Tech Solutions"/>
    <x v="3"/>
    <s v="Camera"/>
    <n v="5"/>
    <n v="20261.87"/>
    <n v="101309.35"/>
    <n v="20095.689999999999"/>
    <n v="0"/>
    <n v="81213.66"/>
    <s v="Pending"/>
    <s v="Pending"/>
  </r>
  <r>
    <s v="INV-2026-00591"/>
    <x v="21"/>
    <s v="Central"/>
    <s v="Nagpur"/>
    <s v="Distributor"/>
    <s v="Sneha Reddy"/>
    <s v="Global Traders"/>
    <x v="5"/>
    <s v="Vacuum Cleaner"/>
    <n v="49"/>
    <n v="47403.81"/>
    <n v="2322786.69"/>
    <n v="0"/>
    <n v="0"/>
    <n v="2322786.69"/>
    <s v="Pending"/>
    <s v="Paid"/>
  </r>
  <r>
    <s v="INV-2026-00592"/>
    <x v="58"/>
    <s v="West"/>
    <s v="Ahmedabad"/>
    <s v="Distributor"/>
    <s v="Anita Desai"/>
    <s v="XYZ Ltd"/>
    <x v="2"/>
    <s v="Football"/>
    <n v="24"/>
    <n v="5982.79"/>
    <n v="143586.96"/>
    <n v="1396.99"/>
    <n v="14669.66"/>
    <n v="127520.31"/>
    <s v="Cancelled"/>
    <s v="Pending"/>
  </r>
  <r>
    <s v="INV-2026-00593"/>
    <x v="35"/>
    <s v="West"/>
    <s v="Pune"/>
    <s v="Direct Sales"/>
    <s v="Kavita Nair"/>
    <s v="Alpha Trading"/>
    <x v="2"/>
    <s v="Gym Equipment"/>
    <n v="24"/>
    <n v="25061.5"/>
    <n v="601476"/>
    <n v="19472.3"/>
    <n v="0"/>
    <n v="582003.69999999995"/>
    <s v="Pending"/>
    <s v="Pending"/>
  </r>
  <r>
    <s v="INV-2026-00594"/>
    <x v="24"/>
    <s v="Central"/>
    <s v="Indore"/>
    <s v="Online"/>
    <s v="Vijay Singh"/>
    <s v="Urban Store"/>
    <x v="5"/>
    <s v="Microwave"/>
    <n v="2"/>
    <n v="29385.56"/>
    <n v="58771.12"/>
    <n v="9316.75"/>
    <n v="0"/>
    <n v="49454.37"/>
    <s v="Processing"/>
    <s v="Paid"/>
  </r>
  <r>
    <s v="INV-2026-00595"/>
    <x v="73"/>
    <s v="South"/>
    <s v="Kochi"/>
    <s v="Distributor"/>
    <s v="Amit Kumar"/>
    <s v="Metro Mart"/>
    <x v="0"/>
    <s v="Whiteboard"/>
    <n v="7"/>
    <n v="5933.41"/>
    <n v="41533.870000000003"/>
    <n v="4395.84"/>
    <n v="0"/>
    <n v="37138.03"/>
    <s v="Processing"/>
    <s v="Pending"/>
  </r>
  <r>
    <s v="INV-2026-00596"/>
    <x v="66"/>
    <s v="South"/>
    <s v="Hyderabad"/>
    <s v="Distributor"/>
    <s v="Rahul Sharma"/>
    <s v="Future Tech"/>
    <x v="0"/>
    <s v="Printer Paper"/>
    <n v="6"/>
    <n v="50272.39"/>
    <n v="301634.34000000003"/>
    <n v="14315.78"/>
    <n v="0"/>
    <n v="287318.56"/>
    <s v="Processing"/>
    <s v="Pending"/>
  </r>
  <r>
    <s v="INV-2026-00597"/>
    <x v="8"/>
    <s v="West"/>
    <s v="Surat"/>
    <s v="Online"/>
    <s v="Amit Kumar"/>
    <s v="Nexus Ltd"/>
    <x v="0"/>
    <s v="Printer Paper"/>
    <n v="30"/>
    <n v="10514.07"/>
    <n v="315422.09999999998"/>
    <n v="11482.09"/>
    <n v="0"/>
    <n v="303940.01"/>
    <s v="Pending"/>
    <s v="Pending"/>
  </r>
  <r>
    <s v="INV-2026-00598"/>
    <x v="30"/>
    <s v="Central"/>
    <s v="Indore"/>
    <s v="Retail Store"/>
    <s v="Vijay Singh"/>
    <s v="Tech Solutions"/>
    <x v="0"/>
    <s v="Pen Set"/>
    <n v="42"/>
    <n v="39140.1"/>
    <n v="1643884.2"/>
    <n v="74884.56"/>
    <n v="0"/>
    <n v="1568999.64"/>
    <s v="Cancelled"/>
    <s v="Pending"/>
  </r>
  <r>
    <s v="INV-2026-00599"/>
    <x v="13"/>
    <s v="South"/>
    <s v="Bangalore"/>
    <s v="Retail Store"/>
    <s v="Rahul Sharma"/>
    <s v="Skyline Corp"/>
    <x v="2"/>
    <s v="Yoga Mat"/>
    <n v="42"/>
    <n v="15919.63"/>
    <n v="668624.46"/>
    <n v="0"/>
    <n v="12580.82"/>
    <n v="656043.64"/>
    <s v="Processing"/>
    <s v="Paid"/>
  </r>
  <r>
    <s v="INV-2026-00600"/>
    <x v="17"/>
    <s v="South"/>
    <s v="Hyderabad"/>
    <s v="Retail Store"/>
    <s v="Rajesh Verma"/>
    <s v="Alpha Trading"/>
    <x v="4"/>
    <s v="Dress"/>
    <n v="44"/>
    <n v="24570.720000000001"/>
    <n v="1081111.68"/>
    <n v="59804.02"/>
    <n v="0"/>
    <n v="1021307.66"/>
    <s v="Completed"/>
    <s v="Overdue"/>
  </r>
  <r>
    <s v="INV-2026-00601"/>
    <x v="86"/>
    <s v="East"/>
    <s v="Bhubaneswar"/>
    <s v="Direct Sales"/>
    <s v="Sneha Reddy"/>
    <s v="XYZ Ltd"/>
    <x v="1"/>
    <s v="Cabinet"/>
    <n v="5"/>
    <n v="10689.65"/>
    <n v="53448.25"/>
    <n v="0"/>
    <n v="0"/>
    <n v="53448.25"/>
    <s v="Completed"/>
    <s v="Paid"/>
  </r>
  <r>
    <s v="INV-2026-00602"/>
    <x v="19"/>
    <s v="South"/>
    <s v="Kochi"/>
    <s v="Direct Sales"/>
    <s v="Rahul Sharma"/>
    <s v="Digital Hub"/>
    <x v="5"/>
    <s v="TV"/>
    <n v="10"/>
    <n v="20825.73"/>
    <n v="208257.3"/>
    <n v="15913.71"/>
    <n v="21786.38"/>
    <n v="170557.21"/>
    <s v="Completed"/>
    <s v="Overdue"/>
  </r>
  <r>
    <s v="INV-2026-00603"/>
    <x v="53"/>
    <s v="Central"/>
    <s v="Raipur"/>
    <s v="Distributor"/>
    <s v="Priya Patel"/>
    <s v="Elite Enterprises"/>
    <x v="3"/>
    <s v="Laptop"/>
    <n v="49"/>
    <n v="23566.68"/>
    <n v="1154767.32"/>
    <n v="53342.62"/>
    <n v="0"/>
    <n v="1101424.7"/>
    <s v="Cancelled"/>
    <s v="Pending"/>
  </r>
  <r>
    <s v="INV-2026-00604"/>
    <x v="3"/>
    <s v="Central"/>
    <s v="Indore"/>
    <s v="Distributor"/>
    <s v="Rajesh Verma"/>
    <s v="Nexus Ltd"/>
    <x v="3"/>
    <s v="Camera"/>
    <n v="11"/>
    <n v="40598.6"/>
    <n v="446584.6"/>
    <n v="42201.58"/>
    <n v="0"/>
    <n v="404383.02"/>
    <s v="Completed"/>
    <s v="Paid"/>
  </r>
  <r>
    <s v="INV-2026-00605"/>
    <x v="32"/>
    <s v="South"/>
    <s v="Bangalore"/>
    <s v="Direct Sales"/>
    <s v="Kavita Nair"/>
    <s v="Skyline Corp"/>
    <x v="2"/>
    <s v="Cricket Bat"/>
    <n v="16"/>
    <n v="36208.19"/>
    <n v="579331.04"/>
    <n v="36626.79"/>
    <n v="0"/>
    <n v="542704.25"/>
    <s v="Pending"/>
    <s v="Pending"/>
  </r>
  <r>
    <s v="INV-2026-00606"/>
    <x v="11"/>
    <s v="North"/>
    <s v="Lucknow"/>
    <s v="Direct Sales"/>
    <s v="Amit Kumar"/>
    <s v="Prime Retail"/>
    <x v="0"/>
    <s v="Whiteboard"/>
    <n v="44"/>
    <n v="32664.28"/>
    <n v="1437228.32"/>
    <n v="240196.89"/>
    <n v="0"/>
    <n v="1197031.43"/>
    <s v="Pending"/>
    <s v="Pending"/>
  </r>
  <r>
    <s v="INV-2026-00607"/>
    <x v="17"/>
    <s v="Central"/>
    <s v="Raipur"/>
    <s v="Distributor"/>
    <s v="Sneha Reddy"/>
    <s v="Skyline Corp"/>
    <x v="2"/>
    <s v="Tennis Racket"/>
    <n v="22"/>
    <n v="34007.199999999997"/>
    <n v="748158.4"/>
    <n v="80462.86"/>
    <n v="0"/>
    <n v="667695.54"/>
    <s v="Completed"/>
    <s v="Paid"/>
  </r>
  <r>
    <s v="INV-2026-00608"/>
    <x v="3"/>
    <s v="North"/>
    <s v="Delhi"/>
    <s v="Retail Store"/>
    <s v="Anita Desai"/>
    <s v="Smart Systems"/>
    <x v="3"/>
    <s v="Smartphone"/>
    <n v="35"/>
    <n v="16617.759999999998"/>
    <n v="581621.6"/>
    <n v="2159.17"/>
    <n v="0"/>
    <n v="579462.43000000005"/>
    <s v="Pending"/>
    <s v="Pending"/>
  </r>
  <r>
    <s v="INV-2026-00609"/>
    <x v="36"/>
    <s v="North"/>
    <s v="Jaipur"/>
    <s v="Direct Sales"/>
    <s v="Rahul Sharma"/>
    <s v="Smart Systems"/>
    <x v="3"/>
    <s v="Laptop"/>
    <n v="47"/>
    <n v="11163.91"/>
    <n v="524703.77"/>
    <n v="0"/>
    <n v="0"/>
    <n v="524703.77"/>
    <s v="Pending"/>
    <s v="Paid"/>
  </r>
  <r>
    <s v="INV-2026-00610"/>
    <x v="20"/>
    <s v="East"/>
    <s v="Kolkata"/>
    <s v="Online"/>
    <s v="Anita Desai"/>
    <s v="Future Tech"/>
    <x v="5"/>
    <s v="Refrigerator"/>
    <n v="49"/>
    <n v="2774.07"/>
    <n v="135929.43"/>
    <n v="7727.92"/>
    <n v="999.54"/>
    <n v="127201.97"/>
    <s v="Pending"/>
    <s v="Pending"/>
  </r>
  <r>
    <s v="INV-2026-00611"/>
    <x v="30"/>
    <s v="South"/>
    <s v="Chennai"/>
    <s v="Distributor"/>
    <s v="Priya Patel"/>
    <s v="Metro Mart"/>
    <x v="0"/>
    <s v="Desk Organizer"/>
    <n v="22"/>
    <n v="14962.31"/>
    <n v="329170.82"/>
    <n v="21889.91"/>
    <n v="0"/>
    <n v="307280.90999999997"/>
    <s v="Pending"/>
    <s v="Paid"/>
  </r>
  <r>
    <s v="INV-2026-00612"/>
    <x v="6"/>
    <s v="South"/>
    <s v="Kochi"/>
    <s v="Retail Store"/>
    <s v="Suresh Gupta"/>
    <s v="Tech Solutions"/>
    <x v="5"/>
    <s v="Air Conditioner"/>
    <n v="33"/>
    <n v="1728.48"/>
    <n v="57039.839999999997"/>
    <n v="0"/>
    <n v="0"/>
    <n v="57039.839999999997"/>
    <s v="Processing"/>
    <s v="Paid"/>
  </r>
  <r>
    <s v="INV-2026-00613"/>
    <x v="77"/>
    <s v="Central"/>
    <s v="Bhopal"/>
    <s v="Direct Sales"/>
    <s v="Rahul Sharma"/>
    <s v="Metro Mart"/>
    <x v="5"/>
    <s v="Microwave"/>
    <n v="39"/>
    <n v="19782.169999999998"/>
    <n v="771504.63"/>
    <n v="64095.92"/>
    <n v="0"/>
    <n v="707408.71"/>
    <s v="Processing"/>
    <s v="Pending"/>
  </r>
  <r>
    <s v="INV-2026-00614"/>
    <x v="7"/>
    <s v="West"/>
    <s v="Mumbai"/>
    <s v="Distributor"/>
    <s v="Meera Joshi"/>
    <s v="Digital Hub"/>
    <x v="3"/>
    <s v="Headphones"/>
    <n v="44"/>
    <n v="50388.07"/>
    <n v="2217075.08"/>
    <n v="360539.76"/>
    <n v="0"/>
    <n v="1856535.32"/>
    <s v="Processing"/>
    <s v="Pending"/>
  </r>
  <r>
    <s v="INV-2026-00615"/>
    <x v="61"/>
    <s v="East"/>
    <s v="Bhubaneswar"/>
    <s v="Online"/>
    <s v="Priya Patel"/>
    <s v="Elite Enterprises"/>
    <x v="5"/>
    <s v="TV"/>
    <n v="49"/>
    <n v="10115.780000000001"/>
    <n v="495673.22"/>
    <n v="94507.01"/>
    <n v="106896.39"/>
    <n v="294269.82"/>
    <s v="Processing"/>
    <s v="Pending"/>
  </r>
  <r>
    <s v="INV-2026-00616"/>
    <x v="57"/>
    <s v="West"/>
    <s v="Mumbai"/>
    <s v="Direct Sales"/>
    <s v="Rahul Sharma"/>
    <s v="Nexus Ltd"/>
    <x v="4"/>
    <s v="Dress"/>
    <n v="14"/>
    <n v="5782.23"/>
    <n v="80951.22"/>
    <n v="10745.38"/>
    <n v="4670.22"/>
    <n v="65535.62"/>
    <s v="Pending"/>
    <s v="Pending"/>
  </r>
  <r>
    <s v="INV-2026-00617"/>
    <x v="50"/>
    <s v="East"/>
    <s v="Guwahati"/>
    <s v="Online"/>
    <s v="Priya Patel"/>
    <s v="Prime Retail"/>
    <x v="5"/>
    <s v="Refrigerator"/>
    <n v="29"/>
    <n v="13426.72"/>
    <n v="389374.88"/>
    <n v="15396.18"/>
    <n v="0"/>
    <n v="373978.7"/>
    <s v="Processing"/>
    <s v="Pending"/>
  </r>
  <r>
    <s v="INV-2026-00618"/>
    <x v="21"/>
    <s v="West"/>
    <s v="Mumbai"/>
    <s v="Distributor"/>
    <s v="Priya Patel"/>
    <s v="ABC Corp"/>
    <x v="1"/>
    <s v="Sofa"/>
    <n v="3"/>
    <n v="44749.75"/>
    <n v="134249.25"/>
    <n v="20940.099999999999"/>
    <n v="0"/>
    <n v="113309.15"/>
    <s v="Processing"/>
    <s v="Pending"/>
  </r>
  <r>
    <s v="INV-2026-00619"/>
    <x v="43"/>
    <s v="Central"/>
    <s v="Bhopal"/>
    <s v="Online"/>
    <s v="Rahul Sharma"/>
    <s v="Omega Stores"/>
    <x v="3"/>
    <s v="Tablet"/>
    <n v="1"/>
    <n v="12193.32"/>
    <n v="12193.32"/>
    <n v="0"/>
    <n v="0"/>
    <n v="12193.32"/>
    <s v="Pending"/>
    <s v="Pending"/>
  </r>
  <r>
    <s v="INV-2026-00620"/>
    <x v="15"/>
    <s v="South"/>
    <s v="Bangalore"/>
    <s v="Direct Sales"/>
    <s v="Meera Joshi"/>
    <s v="Tech Solutions"/>
    <x v="3"/>
    <s v="Camera"/>
    <n v="50"/>
    <n v="19948.759999999998"/>
    <n v="997438"/>
    <n v="16912.830000000002"/>
    <n v="0"/>
    <n v="980525.17"/>
    <s v="Cancelled"/>
    <s v="Pending"/>
  </r>
  <r>
    <s v="INV-2026-00621"/>
    <x v="16"/>
    <s v="North"/>
    <s v="Delhi"/>
    <s v="Online"/>
    <s v="Vijay Singh"/>
    <s v="Urban Store"/>
    <x v="2"/>
    <s v="Yoga Mat"/>
    <n v="7"/>
    <n v="29950.65"/>
    <n v="209654.55"/>
    <n v="0"/>
    <n v="0"/>
    <n v="209654.55"/>
    <s v="Processing"/>
    <s v="Pending"/>
  </r>
  <r>
    <s v="INV-2026-00622"/>
    <x v="32"/>
    <s v="South"/>
    <s v="Bangalore"/>
    <s v="Direct Sales"/>
    <s v="Priya Patel"/>
    <s v="Skyline Corp"/>
    <x v="4"/>
    <s v="Dress"/>
    <n v="15"/>
    <n v="41086.019999999997"/>
    <n v="616290.30000000005"/>
    <n v="0"/>
    <n v="12620.51"/>
    <n v="603669.79"/>
    <s v="Pending"/>
    <s v="Pending"/>
  </r>
  <r>
    <s v="INV-2026-00623"/>
    <x v="24"/>
    <s v="East"/>
    <s v="Patna"/>
    <s v="Retail Store"/>
    <s v="Rahul Sharma"/>
    <s v="Future Tech"/>
    <x v="5"/>
    <s v="Air Conditioner"/>
    <n v="10"/>
    <n v="14315.16"/>
    <n v="143151.6"/>
    <n v="12347.73"/>
    <n v="0"/>
    <n v="130803.87"/>
    <s v="Processing"/>
    <s v="Pending"/>
  </r>
  <r>
    <s v="INV-2026-00624"/>
    <x v="52"/>
    <s v="East"/>
    <s v="Kolkata"/>
    <s v="Retail Store"/>
    <s v="Suresh Gupta"/>
    <s v="Future Tech"/>
    <x v="5"/>
    <s v="Air Conditioner"/>
    <n v="2"/>
    <n v="29382.34"/>
    <n v="58764.68"/>
    <n v="0"/>
    <n v="0"/>
    <n v="58764.68"/>
    <s v="Pending"/>
    <s v="Pending"/>
  </r>
  <r>
    <s v="INV-2026-00625"/>
    <x v="33"/>
    <s v="South"/>
    <s v="Hyderabad"/>
    <s v="Retail Store"/>
    <s v="Sneha Reddy"/>
    <s v="XYZ Ltd"/>
    <x v="2"/>
    <s v="Bicycle"/>
    <n v="49"/>
    <n v="43402.51"/>
    <n v="2126722.9900000002"/>
    <n v="82900.960000000006"/>
    <n v="0"/>
    <n v="2043822.03"/>
    <s v="Processing"/>
    <s v="Paid"/>
  </r>
  <r>
    <s v="INV-2026-00626"/>
    <x v="1"/>
    <s v="North"/>
    <s v="Lucknow"/>
    <s v="Online"/>
    <s v="Meera Joshi"/>
    <s v="Smart Systems"/>
    <x v="1"/>
    <s v="Office Chair"/>
    <n v="35"/>
    <n v="31933.61"/>
    <n v="1117676.3500000001"/>
    <n v="67836.75"/>
    <n v="0"/>
    <n v="1049839.6000000001"/>
    <s v="Completed"/>
    <s v="Paid"/>
  </r>
  <r>
    <s v="INV-2026-00627"/>
    <x v="79"/>
    <s v="South"/>
    <s v="Hyderabad"/>
    <s v="Online"/>
    <s v="Vijay Singh"/>
    <s v="Prime Retail"/>
    <x v="0"/>
    <s v="Pen Set"/>
    <n v="20"/>
    <n v="35118.51"/>
    <n v="702370.2"/>
    <n v="0"/>
    <n v="0"/>
    <n v="702370.2"/>
    <s v="Pending"/>
    <s v="Paid"/>
  </r>
  <r>
    <s v="INV-2026-00628"/>
    <x v="29"/>
    <s v="West"/>
    <s v="Mumbai"/>
    <s v="Direct Sales"/>
    <s v="Amit Kumar"/>
    <s v="Future Tech"/>
    <x v="5"/>
    <s v="Refrigerator"/>
    <n v="45"/>
    <n v="19845.72"/>
    <n v="893057.4"/>
    <n v="0"/>
    <n v="0"/>
    <n v="893057.4"/>
    <s v="Processing"/>
    <s v="Paid"/>
  </r>
  <r>
    <s v="INV-2026-00629"/>
    <x v="88"/>
    <s v="West"/>
    <s v="Pune"/>
    <s v="Distributor"/>
    <s v="Rahul Sharma"/>
    <s v="Alpha Trading"/>
    <x v="3"/>
    <s v="Headphones"/>
    <n v="25"/>
    <n v="27668.7"/>
    <n v="691717.5"/>
    <n v="107341.24"/>
    <n v="0"/>
    <n v="584376.26"/>
    <s v="Cancelled"/>
    <s v="Pending"/>
  </r>
  <r>
    <s v="INV-2026-00630"/>
    <x v="70"/>
    <s v="Central"/>
    <s v="Nagpur"/>
    <s v="Direct Sales"/>
    <s v="Vijay Singh"/>
    <s v="Urban Store"/>
    <x v="4"/>
    <s v="Jeans"/>
    <n v="50"/>
    <n v="49728.71"/>
    <n v="2486435.5"/>
    <n v="130990.26"/>
    <n v="0"/>
    <n v="2355445.2400000002"/>
    <s v="Completed"/>
    <s v="Pending"/>
  </r>
  <r>
    <s v="INV-2026-00631"/>
    <x v="89"/>
    <s v="South"/>
    <s v="Chennai"/>
    <s v="Online"/>
    <s v="Meera Joshi"/>
    <s v="Skyline Corp"/>
    <x v="0"/>
    <s v="File Folder"/>
    <n v="48"/>
    <n v="6667.56"/>
    <n v="320042.88"/>
    <n v="0"/>
    <n v="0"/>
    <n v="320042.88"/>
    <s v="Cancelled"/>
    <s v="Pending"/>
  </r>
  <r>
    <s v="INV-2026-00632"/>
    <x v="50"/>
    <s v="South"/>
    <s v="Kochi"/>
    <s v="Direct Sales"/>
    <s v="Anita Desai"/>
    <s v="Omega Stores"/>
    <x v="4"/>
    <s v="Jeans"/>
    <n v="10"/>
    <n v="22756.47"/>
    <n v="227564.7"/>
    <n v="0"/>
    <n v="0"/>
    <n v="227564.7"/>
    <s v="Completed"/>
    <s v="Overdue"/>
  </r>
  <r>
    <s v="INV-2026-00633"/>
    <x v="1"/>
    <s v="South"/>
    <s v="Chennai"/>
    <s v="Retail Store"/>
    <s v="Meera Joshi"/>
    <s v="Digital Hub"/>
    <x v="4"/>
    <s v="Jacket"/>
    <n v="48"/>
    <n v="8809.39"/>
    <n v="422850.72"/>
    <n v="31401.42"/>
    <n v="0"/>
    <n v="391449.3"/>
    <s v="Processing"/>
    <s v="Pending"/>
  </r>
  <r>
    <s v="INV-2026-00634"/>
    <x v="0"/>
    <s v="South"/>
    <s v="Chennai"/>
    <s v="Online"/>
    <s v="Rajesh Verma"/>
    <s v="Metro Mart"/>
    <x v="1"/>
    <s v="Sofa"/>
    <n v="39"/>
    <n v="4943.58"/>
    <n v="192799.62"/>
    <n v="13173.93"/>
    <n v="0"/>
    <n v="179625.69"/>
    <s v="Pending"/>
    <s v="Paid"/>
  </r>
  <r>
    <s v="INV-2026-00635"/>
    <x v="20"/>
    <s v="South"/>
    <s v="Hyderabad"/>
    <s v="Online"/>
    <s v="Priya Patel"/>
    <s v="Future Tech"/>
    <x v="4"/>
    <s v="T-Shirt"/>
    <n v="33"/>
    <n v="30484.959999999999"/>
    <n v="1006003.68"/>
    <n v="132575.18"/>
    <n v="0"/>
    <n v="873428.5"/>
    <s v="Pending"/>
    <s v="Paid"/>
  </r>
  <r>
    <s v="INV-2026-00636"/>
    <x v="20"/>
    <s v="West"/>
    <s v="Surat"/>
    <s v="Retail Store"/>
    <s v="Rajesh Verma"/>
    <s v="Global Traders"/>
    <x v="2"/>
    <s v="Yoga Mat"/>
    <n v="48"/>
    <n v="572.14"/>
    <n v="27462.720000000001"/>
    <n v="0"/>
    <n v="0"/>
    <n v="27462.720000000001"/>
    <s v="Pending"/>
    <s v="Pending"/>
  </r>
  <r>
    <s v="INV-2026-00637"/>
    <x v="62"/>
    <s v="South"/>
    <s v="Hyderabad"/>
    <s v="Online"/>
    <s v="Sneha Reddy"/>
    <s v="Skyline Corp"/>
    <x v="2"/>
    <s v="Cricket Bat"/>
    <n v="5"/>
    <n v="24281.67"/>
    <n v="121408.35"/>
    <n v="21630.04"/>
    <n v="0"/>
    <n v="99778.31"/>
    <s v="Completed"/>
    <s v="Paid"/>
  </r>
  <r>
    <s v="INV-2026-00638"/>
    <x v="36"/>
    <s v="West"/>
    <s v="Surat"/>
    <s v="Online"/>
    <s v="Amit Kumar"/>
    <s v="ABC Corp"/>
    <x v="0"/>
    <s v="Notebook"/>
    <n v="5"/>
    <n v="8095.04"/>
    <n v="40475.199999999997"/>
    <n v="0"/>
    <n v="0"/>
    <n v="40475.199999999997"/>
    <s v="Cancelled"/>
    <s v="Pending"/>
  </r>
  <r>
    <s v="INV-2026-00639"/>
    <x v="21"/>
    <s v="West"/>
    <s v="Pune"/>
    <s v="Direct Sales"/>
    <s v="Kavita Nair"/>
    <s v="Skyline Corp"/>
    <x v="4"/>
    <s v="Shoes"/>
    <n v="46"/>
    <n v="907.43"/>
    <n v="41741.78"/>
    <n v="143.77000000000001"/>
    <n v="0"/>
    <n v="41598.01"/>
    <s v="Processing"/>
    <s v="Paid"/>
  </r>
  <r>
    <s v="INV-2026-00640"/>
    <x v="88"/>
    <s v="South"/>
    <s v="Kochi"/>
    <s v="Retail Store"/>
    <s v="Priya Patel"/>
    <s v="Elite Enterprises"/>
    <x v="3"/>
    <s v="Smart Watch"/>
    <n v="46"/>
    <n v="4855.2700000000004"/>
    <n v="223342.42"/>
    <n v="0"/>
    <n v="0"/>
    <n v="223342.42"/>
    <s v="Processing"/>
    <s v="Paid"/>
  </r>
  <r>
    <s v="INV-2026-00641"/>
    <x v="89"/>
    <s v="South"/>
    <s v="Kochi"/>
    <s v="Retail Store"/>
    <s v="Kavita Nair"/>
    <s v="ABC Corp"/>
    <x v="4"/>
    <s v="Dress"/>
    <n v="12"/>
    <n v="32873.53"/>
    <n v="394482.36"/>
    <n v="0"/>
    <n v="0"/>
    <n v="394482.36"/>
    <s v="Completed"/>
    <s v="Paid"/>
  </r>
  <r>
    <s v="INV-2026-00642"/>
    <x v="62"/>
    <s v="West"/>
    <s v="Ahmedabad"/>
    <s v="Distributor"/>
    <s v="Priya Patel"/>
    <s v="Digital Hub"/>
    <x v="3"/>
    <s v="Tablet"/>
    <n v="14"/>
    <n v="27428.04"/>
    <n v="383992.56"/>
    <n v="58731.01"/>
    <n v="0"/>
    <n v="325261.55"/>
    <s v="Completed"/>
    <s v="Paid"/>
  </r>
  <r>
    <s v="INV-2026-00643"/>
    <x v="1"/>
    <s v="South"/>
    <s v="Hyderabad"/>
    <s v="Direct Sales"/>
    <s v="Vijay Singh"/>
    <s v="Prime Retail"/>
    <x v="0"/>
    <s v="Printer Paper"/>
    <n v="19"/>
    <n v="5060.54"/>
    <n v="96150.26"/>
    <n v="2500.64"/>
    <n v="0"/>
    <n v="93649.62"/>
    <s v="Processing"/>
    <s v="Paid"/>
  </r>
  <r>
    <s v="INV-2026-00644"/>
    <x v="52"/>
    <s v="South"/>
    <s v="Hyderabad"/>
    <s v="Retail Store"/>
    <s v="Vijay Singh"/>
    <s v="Alpha Trading"/>
    <x v="3"/>
    <s v="Tablet"/>
    <n v="9"/>
    <n v="19757.7"/>
    <n v="177819.3"/>
    <n v="9026.7800000000007"/>
    <n v="0"/>
    <n v="168792.52"/>
    <s v="Pending"/>
    <s v="Pending"/>
  </r>
  <r>
    <s v="INV-2026-00645"/>
    <x v="38"/>
    <s v="South"/>
    <s v="Bangalore"/>
    <s v="Direct Sales"/>
    <s v="Sneha Reddy"/>
    <s v="Smart Systems"/>
    <x v="2"/>
    <s v="Football"/>
    <n v="31"/>
    <n v="36803.03"/>
    <n v="1140893.93"/>
    <n v="0"/>
    <n v="0"/>
    <n v="1140893.93"/>
    <s v="Cancelled"/>
    <s v="Pending"/>
  </r>
  <r>
    <s v="INV-2026-00646"/>
    <x v="85"/>
    <s v="North"/>
    <s v="Jaipur"/>
    <s v="Distributor"/>
    <s v="Kavita Nair"/>
    <s v="Future Tech"/>
    <x v="5"/>
    <s v="Air Conditioner"/>
    <n v="49"/>
    <n v="13860.37"/>
    <n v="679158.13"/>
    <n v="0"/>
    <n v="138856.46"/>
    <n v="540301.67000000004"/>
    <s v="Cancelled"/>
    <s v="Pending"/>
  </r>
  <r>
    <s v="INV-2026-00647"/>
    <x v="90"/>
    <s v="South"/>
    <s v="Hyderabad"/>
    <s v="Retail Store"/>
    <s v="Anita Desai"/>
    <s v="Urban Store"/>
    <x v="2"/>
    <s v="Football"/>
    <n v="41"/>
    <n v="14604.63"/>
    <n v="598789.82999999996"/>
    <n v="68466.789999999994"/>
    <n v="0"/>
    <n v="530323.04"/>
    <s v="Pending"/>
    <s v="Paid"/>
  </r>
  <r>
    <s v="INV-2026-00648"/>
    <x v="16"/>
    <s v="East"/>
    <s v="Guwahati"/>
    <s v="Online"/>
    <s v="Sneha Reddy"/>
    <s v="Elite Enterprises"/>
    <x v="1"/>
    <s v="Conference Table"/>
    <n v="12"/>
    <n v="41531.919999999998"/>
    <n v="498383.04"/>
    <n v="0"/>
    <n v="0"/>
    <n v="498383.04"/>
    <s v="Cancelled"/>
    <s v="Pending"/>
  </r>
  <r>
    <s v="INV-2026-00649"/>
    <x v="59"/>
    <s v="East"/>
    <s v="Kolkata"/>
    <s v="Distributor"/>
    <s v="Amit Kumar"/>
    <s v="Global Traders"/>
    <x v="0"/>
    <s v="Whiteboard"/>
    <n v="16"/>
    <n v="44566.55"/>
    <n v="713064.8"/>
    <n v="0"/>
    <n v="0"/>
    <n v="713064.8"/>
    <s v="Processing"/>
    <s v="Pending"/>
  </r>
  <r>
    <s v="INV-2026-00650"/>
    <x v="53"/>
    <s v="North"/>
    <s v="Lucknow"/>
    <s v="Retail Store"/>
    <s v="Sneha Reddy"/>
    <s v="Future Tech"/>
    <x v="1"/>
    <s v="Desk"/>
    <n v="29"/>
    <n v="44509.57"/>
    <n v="1290777.53"/>
    <n v="209561.4"/>
    <n v="0"/>
    <n v="1081216.1299999999"/>
    <s v="Completed"/>
    <s v="Overdue"/>
  </r>
  <r>
    <s v="INV-2026-00651"/>
    <x v="18"/>
    <s v="East"/>
    <s v="Guwahati"/>
    <s v="Online"/>
    <s v="Vijay Singh"/>
    <s v="Prime Retail"/>
    <x v="2"/>
    <s v="Tennis Racket"/>
    <n v="4"/>
    <n v="1593.83"/>
    <n v="6375.32"/>
    <n v="1135.55"/>
    <n v="0"/>
    <n v="5239.7700000000004"/>
    <s v="Processing"/>
    <s v="Pending"/>
  </r>
  <r>
    <s v="INV-2026-00652"/>
    <x v="77"/>
    <s v="East"/>
    <s v="Patna"/>
    <s v="Direct Sales"/>
    <s v="Sneha Reddy"/>
    <s v="XYZ Ltd"/>
    <x v="4"/>
    <s v="Jacket"/>
    <n v="1"/>
    <n v="47863.040000000001"/>
    <n v="47863.040000000001"/>
    <n v="9284.94"/>
    <n v="11286.7"/>
    <n v="27291.4"/>
    <s v="Processing"/>
    <s v="Pending"/>
  </r>
  <r>
    <s v="INV-2026-00653"/>
    <x v="70"/>
    <s v="East"/>
    <s v="Guwahati"/>
    <s v="Retail Store"/>
    <s v="Vijay Singh"/>
    <s v="XYZ Ltd"/>
    <x v="5"/>
    <s v="Microwave"/>
    <n v="19"/>
    <n v="11543.45"/>
    <n v="219325.55"/>
    <n v="0"/>
    <n v="0"/>
    <n v="219325.55"/>
    <s v="Completed"/>
    <s v="Pending"/>
  </r>
  <r>
    <s v="INV-2026-00654"/>
    <x v="87"/>
    <s v="Central"/>
    <s v="Bhopal"/>
    <s v="Direct Sales"/>
    <s v="Amit Kumar"/>
    <s v="Tech Solutions"/>
    <x v="4"/>
    <s v="Formal Shirt"/>
    <n v="28"/>
    <n v="15243.24"/>
    <n v="426810.72"/>
    <n v="0"/>
    <n v="0"/>
    <n v="426810.72"/>
    <s v="Pending"/>
    <s v="Paid"/>
  </r>
  <r>
    <s v="INV-2026-00655"/>
    <x v="82"/>
    <s v="East"/>
    <s v="Kolkata"/>
    <s v="Retail Store"/>
    <s v="Rajesh Verma"/>
    <s v="Nexus Ltd"/>
    <x v="5"/>
    <s v="Microwave"/>
    <n v="3"/>
    <n v="49192.32"/>
    <n v="147576.95999999999"/>
    <n v="0"/>
    <n v="0"/>
    <n v="147576.95999999999"/>
    <s v="Completed"/>
    <s v="Overdue"/>
  </r>
  <r>
    <s v="INV-2026-00656"/>
    <x v="81"/>
    <s v="South"/>
    <s v="Bangalore"/>
    <s v="Retail Store"/>
    <s v="Suresh Gupta"/>
    <s v="Omega Stores"/>
    <x v="0"/>
    <s v="Whiteboard"/>
    <n v="44"/>
    <n v="2408.15"/>
    <n v="105958.6"/>
    <n v="0"/>
    <n v="0"/>
    <n v="105958.6"/>
    <s v="Pending"/>
    <s v="Pending"/>
  </r>
  <r>
    <s v="INV-2026-00657"/>
    <x v="56"/>
    <s v="South"/>
    <s v="Chennai"/>
    <s v="Retail Store"/>
    <s v="Anita Desai"/>
    <s v="Alpha Trading"/>
    <x v="3"/>
    <s v="Smart Watch"/>
    <n v="4"/>
    <n v="45504.12"/>
    <n v="182016.48"/>
    <n v="20757.5"/>
    <n v="0"/>
    <n v="161258.98000000001"/>
    <s v="Completed"/>
    <s v="Paid"/>
  </r>
  <r>
    <s v="INV-2026-00658"/>
    <x v="60"/>
    <s v="Central"/>
    <s v="Indore"/>
    <s v="Online"/>
    <s v="Meera Joshi"/>
    <s v="Skyline Corp"/>
    <x v="2"/>
    <s v="Yoga Mat"/>
    <n v="2"/>
    <n v="19909.64"/>
    <n v="39819.279999999999"/>
    <n v="0"/>
    <n v="0"/>
    <n v="39819.279999999999"/>
    <s v="Completed"/>
    <s v="Paid"/>
  </r>
  <r>
    <s v="INV-2026-00659"/>
    <x v="90"/>
    <s v="Central"/>
    <s v="Indore"/>
    <s v="Distributor"/>
    <s v="Meera Joshi"/>
    <s v="Smart Systems"/>
    <x v="4"/>
    <s v="Dress"/>
    <n v="37"/>
    <n v="44330.01"/>
    <n v="1640210.37"/>
    <n v="0"/>
    <n v="0"/>
    <n v="1640210.37"/>
    <s v="Cancelled"/>
    <s v="Pending"/>
  </r>
  <r>
    <s v="INV-2026-00660"/>
    <x v="24"/>
    <s v="West"/>
    <s v="Surat"/>
    <s v="Online"/>
    <s v="Suresh Gupta"/>
    <s v="Prime Retail"/>
    <x v="5"/>
    <s v="Microwave"/>
    <n v="16"/>
    <n v="22101.97"/>
    <n v="353631.52"/>
    <n v="0"/>
    <n v="57460.17"/>
    <n v="296171.34999999998"/>
    <s v="Pending"/>
    <s v="Pending"/>
  </r>
  <r>
    <s v="INV-2026-00661"/>
    <x v="53"/>
    <s v="Central"/>
    <s v="Raipur"/>
    <s v="Retail Store"/>
    <s v="Priya Patel"/>
    <s v="Nexus Ltd"/>
    <x v="0"/>
    <s v="Printer Paper"/>
    <n v="23"/>
    <n v="2832.15"/>
    <n v="65139.45"/>
    <n v="7628.24"/>
    <n v="0"/>
    <n v="57511.21"/>
    <s v="Pending"/>
    <s v="Paid"/>
  </r>
  <r>
    <s v="INV-2026-00662"/>
    <x v="18"/>
    <s v="South"/>
    <s v="Kochi"/>
    <s v="Direct Sales"/>
    <s v="Rajesh Verma"/>
    <s v="Omega Stores"/>
    <x v="1"/>
    <s v="Sofa"/>
    <n v="6"/>
    <n v="11151.35"/>
    <n v="66908.100000000006"/>
    <n v="6075.73"/>
    <n v="0"/>
    <n v="60832.37"/>
    <s v="Pending"/>
    <s v="Pending"/>
  </r>
  <r>
    <s v="INV-2026-00663"/>
    <x v="81"/>
    <s v="Central"/>
    <s v="Indore"/>
    <s v="Distributor"/>
    <s v="Rajesh Verma"/>
    <s v="ABC Corp"/>
    <x v="2"/>
    <s v="Yoga Mat"/>
    <n v="22"/>
    <n v="47816.23"/>
    <n v="1051957.06"/>
    <n v="24900.52"/>
    <n v="0"/>
    <n v="1027056.54"/>
    <s v="Processing"/>
    <s v="Pending"/>
  </r>
  <r>
    <s v="INV-2026-00664"/>
    <x v="89"/>
    <s v="South"/>
    <s v="Bangalore"/>
    <s v="Direct Sales"/>
    <s v="Vijay Singh"/>
    <s v="ABC Corp"/>
    <x v="1"/>
    <s v="Cabinet"/>
    <n v="18"/>
    <n v="20984.400000000001"/>
    <n v="377719.2"/>
    <n v="73135.59"/>
    <n v="0"/>
    <n v="304583.61"/>
    <s v="Completed"/>
    <s v="Paid"/>
  </r>
  <r>
    <s v="INV-2026-00665"/>
    <x v="51"/>
    <s v="North"/>
    <s v="Chandigarh"/>
    <s v="Distributor"/>
    <s v="Rahul Sharma"/>
    <s v="Tech Solutions"/>
    <x v="3"/>
    <s v="Smartphone"/>
    <n v="9"/>
    <n v="11682.21"/>
    <n v="105139.89"/>
    <n v="8398.83"/>
    <n v="0"/>
    <n v="96741.06"/>
    <s v="Processing"/>
    <s v="Pending"/>
  </r>
  <r>
    <s v="INV-2026-00666"/>
    <x v="8"/>
    <s v="Central"/>
    <s v="Nagpur"/>
    <s v="Distributor"/>
    <s v="Rahul Sharma"/>
    <s v="Digital Hub"/>
    <x v="2"/>
    <s v="Gym Equipment"/>
    <n v="22"/>
    <n v="22505.56"/>
    <n v="495122.32"/>
    <n v="38269.21"/>
    <n v="0"/>
    <n v="456853.11"/>
    <s v="Pending"/>
    <s v="Pending"/>
  </r>
  <r>
    <s v="INV-2026-00667"/>
    <x v="23"/>
    <s v="West"/>
    <s v="Ahmedabad"/>
    <s v="Retail Store"/>
    <s v="Suresh Gupta"/>
    <s v="XYZ Ltd"/>
    <x v="4"/>
    <s v="T-Shirt"/>
    <n v="44"/>
    <n v="13287.37"/>
    <n v="584644.28"/>
    <n v="109679.54"/>
    <n v="50080.46"/>
    <n v="424884.28"/>
    <s v="Completed"/>
    <s v="Paid"/>
  </r>
  <r>
    <s v="INV-2026-00668"/>
    <x v="87"/>
    <s v="East"/>
    <s v="Guwahati"/>
    <s v="Online"/>
    <s v="Meera Joshi"/>
    <s v="Elite Enterprises"/>
    <x v="4"/>
    <s v="Dress"/>
    <n v="21"/>
    <n v="47419.93"/>
    <n v="995818.53"/>
    <n v="0"/>
    <n v="0"/>
    <n v="995818.53"/>
    <s v="Completed"/>
    <s v="Paid"/>
  </r>
  <r>
    <s v="INV-2026-00669"/>
    <x v="32"/>
    <s v="East"/>
    <s v="Patna"/>
    <s v="Retail Store"/>
    <s v="Rajesh Verma"/>
    <s v="Digital Hub"/>
    <x v="0"/>
    <s v="Printer Paper"/>
    <n v="10"/>
    <n v="34356.39"/>
    <n v="343563.9"/>
    <n v="24142.06"/>
    <n v="0"/>
    <n v="319421.84000000003"/>
    <s v="Cancelled"/>
    <s v="Pending"/>
  </r>
  <r>
    <s v="INV-2026-00670"/>
    <x v="84"/>
    <s v="North"/>
    <s v="Lucknow"/>
    <s v="Distributor"/>
    <s v="Amit Kumar"/>
    <s v="Alpha Trading"/>
    <x v="5"/>
    <s v="Air Conditioner"/>
    <n v="14"/>
    <n v="33798.58"/>
    <n v="473180.12"/>
    <n v="0"/>
    <n v="0"/>
    <n v="473180.12"/>
    <s v="Processing"/>
    <s v="Pending"/>
  </r>
  <r>
    <s v="INV-2026-00671"/>
    <x v="82"/>
    <s v="East"/>
    <s v="Kolkata"/>
    <s v="Distributor"/>
    <s v="Anita Desai"/>
    <s v="XYZ Ltd"/>
    <x v="4"/>
    <s v="Jacket"/>
    <n v="32"/>
    <n v="5775.3"/>
    <n v="184809.60000000001"/>
    <n v="0"/>
    <n v="0"/>
    <n v="184809.60000000001"/>
    <s v="Cancelled"/>
    <s v="Pending"/>
  </r>
  <r>
    <s v="INV-2026-00672"/>
    <x v="47"/>
    <s v="North"/>
    <s v="Chandigarh"/>
    <s v="Retail Store"/>
    <s v="Priya Patel"/>
    <s v="Nexus Ltd"/>
    <x v="5"/>
    <s v="Air Conditioner"/>
    <n v="6"/>
    <n v="48560.22"/>
    <n v="291361.32"/>
    <n v="44670.27"/>
    <n v="0"/>
    <n v="246691.05"/>
    <s v="Cancelled"/>
    <s v="Pending"/>
  </r>
  <r>
    <s v="INV-2026-00673"/>
    <x v="60"/>
    <s v="Central"/>
    <s v="Nagpur"/>
    <s v="Direct Sales"/>
    <s v="Suresh Gupta"/>
    <s v="Future Tech"/>
    <x v="2"/>
    <s v="Gym Equipment"/>
    <n v="36"/>
    <n v="12395.87"/>
    <n v="446251.32"/>
    <n v="0"/>
    <n v="0"/>
    <n v="446251.32"/>
    <s v="Cancelled"/>
    <s v="Pending"/>
  </r>
  <r>
    <s v="INV-2026-00674"/>
    <x v="80"/>
    <s v="South"/>
    <s v="Bangalore"/>
    <s v="Online"/>
    <s v="Meera Joshi"/>
    <s v="Future Tech"/>
    <x v="4"/>
    <s v="Shoes"/>
    <n v="29"/>
    <n v="33408.980000000003"/>
    <n v="968860.42"/>
    <n v="175242.78"/>
    <n v="273054.93"/>
    <n v="520562.71"/>
    <s v="Completed"/>
    <s v="Paid"/>
  </r>
  <r>
    <s v="INV-2026-00675"/>
    <x v="46"/>
    <s v="East"/>
    <s v="Patna"/>
    <s v="Retail Store"/>
    <s v="Sneha Reddy"/>
    <s v="Metro Mart"/>
    <x v="3"/>
    <s v="Smart Watch"/>
    <n v="12"/>
    <n v="26458.87"/>
    <n v="317506.44"/>
    <n v="24192.53"/>
    <n v="54464.959999999999"/>
    <n v="238848.95"/>
    <s v="Cancelled"/>
    <s v="Pending"/>
  </r>
  <r>
    <s v="INV-2026-00676"/>
    <x v="84"/>
    <s v="North"/>
    <s v="Delhi"/>
    <s v="Direct Sales"/>
    <s v="Vijay Singh"/>
    <s v="Smart Systems"/>
    <x v="2"/>
    <s v="Football"/>
    <n v="1"/>
    <n v="26824.52"/>
    <n v="26824.52"/>
    <n v="0"/>
    <n v="0"/>
    <n v="26824.52"/>
    <s v="Pending"/>
    <s v="Paid"/>
  </r>
  <r>
    <s v="INV-2026-00677"/>
    <x v="65"/>
    <s v="North"/>
    <s v="Lucknow"/>
    <s v="Direct Sales"/>
    <s v="Sneha Reddy"/>
    <s v="Prime Retail"/>
    <x v="1"/>
    <s v="Cabinet"/>
    <n v="26"/>
    <n v="38225.56"/>
    <n v="993864.56"/>
    <n v="48218.53"/>
    <n v="0"/>
    <n v="945646.03"/>
    <s v="Cancelled"/>
    <s v="Pending"/>
  </r>
  <r>
    <s v="INV-2026-00678"/>
    <x v="80"/>
    <s v="East"/>
    <s v="Patna"/>
    <s v="Retail Store"/>
    <s v="Anita Desai"/>
    <s v="Prime Retail"/>
    <x v="3"/>
    <s v="Camera"/>
    <n v="43"/>
    <n v="20788.96"/>
    <n v="893925.28"/>
    <n v="0"/>
    <n v="0"/>
    <n v="893925.28"/>
    <s v="Completed"/>
    <s v="Paid"/>
  </r>
  <r>
    <s v="INV-2026-00679"/>
    <x v="69"/>
    <s v="West"/>
    <s v="Ahmedabad"/>
    <s v="Distributor"/>
    <s v="Meera Joshi"/>
    <s v="Smart Systems"/>
    <x v="0"/>
    <s v="Printer Paper"/>
    <n v="25"/>
    <n v="37266.03"/>
    <n v="931650.75"/>
    <n v="0"/>
    <n v="0"/>
    <n v="931650.75"/>
    <s v="Pending"/>
    <s v="Pending"/>
  </r>
  <r>
    <s v="INV-2026-00680"/>
    <x v="2"/>
    <s v="West"/>
    <s v="Pune"/>
    <s v="Online"/>
    <s v="Suresh Gupta"/>
    <s v="XYZ Ltd"/>
    <x v="2"/>
    <s v="Yoga Mat"/>
    <n v="35"/>
    <n v="18317.490000000002"/>
    <n v="641112.15"/>
    <n v="390.29"/>
    <n v="160061.94"/>
    <n v="480659.92"/>
    <s v="Cancelled"/>
    <s v="Pending"/>
  </r>
  <r>
    <s v="INV-2026-00681"/>
    <x v="8"/>
    <s v="East"/>
    <s v="Bhubaneswar"/>
    <s v="Direct Sales"/>
    <s v="Priya Patel"/>
    <s v="Future Tech"/>
    <x v="5"/>
    <s v="Microwave"/>
    <n v="24"/>
    <n v="16628.39"/>
    <n v="399081.36"/>
    <n v="0"/>
    <n v="0"/>
    <n v="399081.36"/>
    <s v="Pending"/>
    <s v="Paid"/>
  </r>
  <r>
    <s v="INV-2026-00682"/>
    <x v="14"/>
    <s v="Central"/>
    <s v="Raipur"/>
    <s v="Distributor"/>
    <s v="Vijay Singh"/>
    <s v="Global Traders"/>
    <x v="5"/>
    <s v="Vacuum Cleaner"/>
    <n v="25"/>
    <n v="12054.48"/>
    <n v="301362"/>
    <n v="50266.09"/>
    <n v="0"/>
    <n v="251095.91"/>
    <s v="Pending"/>
    <s v="Pending"/>
  </r>
  <r>
    <s v="INV-2026-00683"/>
    <x v="18"/>
    <s v="East"/>
    <s v="Guwahati"/>
    <s v="Distributor"/>
    <s v="Suresh Gupta"/>
    <s v="Smart Systems"/>
    <x v="2"/>
    <s v="Gym Equipment"/>
    <n v="41"/>
    <n v="17623.71"/>
    <n v="722572.11"/>
    <n v="0"/>
    <n v="0"/>
    <n v="722572.11"/>
    <s v="Pending"/>
    <s v="Pending"/>
  </r>
  <r>
    <s v="INV-2026-00684"/>
    <x v="11"/>
    <s v="West"/>
    <s v="Pune"/>
    <s v="Online"/>
    <s v="Priya Patel"/>
    <s v="Skyline Corp"/>
    <x v="5"/>
    <s v="Air Conditioner"/>
    <n v="13"/>
    <n v="41487.06"/>
    <n v="539331.78"/>
    <n v="53833.05"/>
    <n v="21214.6"/>
    <n v="464284.13"/>
    <s v="Processing"/>
    <s v="Pending"/>
  </r>
  <r>
    <s v="INV-2026-00685"/>
    <x v="84"/>
    <s v="Central"/>
    <s v="Indore"/>
    <s v="Direct Sales"/>
    <s v="Sneha Reddy"/>
    <s v="Metro Mart"/>
    <x v="5"/>
    <s v="Air Conditioner"/>
    <n v="12"/>
    <n v="5339.11"/>
    <n v="64069.32"/>
    <n v="0"/>
    <n v="0"/>
    <n v="64069.32"/>
    <s v="Cancelled"/>
    <s v="Pending"/>
  </r>
  <r>
    <s v="INV-2026-00686"/>
    <x v="45"/>
    <s v="North"/>
    <s v="Lucknow"/>
    <s v="Direct Sales"/>
    <s v="Priya Patel"/>
    <s v="Alpha Trading"/>
    <x v="5"/>
    <s v="Refrigerator"/>
    <n v="6"/>
    <n v="12005.96"/>
    <n v="72035.759999999995"/>
    <n v="2799.89"/>
    <n v="0"/>
    <n v="69235.87"/>
    <s v="Pending"/>
    <s v="Pending"/>
  </r>
  <r>
    <s v="INV-2026-00687"/>
    <x v="15"/>
    <s v="West"/>
    <s v="Mumbai"/>
    <s v="Retail Store"/>
    <s v="Vijay Singh"/>
    <s v="Metro Mart"/>
    <x v="5"/>
    <s v="Air Conditioner"/>
    <n v="11"/>
    <n v="9072.84"/>
    <n v="99801.24"/>
    <n v="5221.7299999999996"/>
    <n v="19558.03"/>
    <n v="75021.48"/>
    <s v="Cancelled"/>
    <s v="Pending"/>
  </r>
  <r>
    <s v="INV-2026-00688"/>
    <x v="42"/>
    <s v="East"/>
    <s v="Guwahati"/>
    <s v="Direct Sales"/>
    <s v="Amit Kumar"/>
    <s v="Elite Enterprises"/>
    <x v="2"/>
    <s v="Gym Equipment"/>
    <n v="46"/>
    <n v="39467.07"/>
    <n v="1815485.22"/>
    <n v="0"/>
    <n v="0"/>
    <n v="1815485.22"/>
    <s v="Completed"/>
    <s v="Pending"/>
  </r>
  <r>
    <s v="INV-2026-00689"/>
    <x v="89"/>
    <s v="East"/>
    <s v="Bhubaneswar"/>
    <s v="Retail Store"/>
    <s v="Rajesh Verma"/>
    <s v="Smart Systems"/>
    <x v="1"/>
    <s v="Desk"/>
    <n v="13"/>
    <n v="39077.449999999997"/>
    <n v="508006.85"/>
    <n v="0"/>
    <n v="0"/>
    <n v="508006.85"/>
    <s v="Completed"/>
    <s v="Paid"/>
  </r>
  <r>
    <s v="INV-2026-00690"/>
    <x v="57"/>
    <s v="South"/>
    <s v="Bangalore"/>
    <s v="Distributor"/>
    <s v="Suresh Gupta"/>
    <s v="XYZ Ltd"/>
    <x v="1"/>
    <s v="Bookshelf"/>
    <n v="24"/>
    <n v="4669.0600000000004"/>
    <n v="112057.44"/>
    <n v="4345.25"/>
    <n v="0"/>
    <n v="107712.19"/>
    <s v="Completed"/>
    <s v="Pending"/>
  </r>
  <r>
    <s v="INV-2026-00691"/>
    <x v="85"/>
    <s v="Central"/>
    <s v="Raipur"/>
    <s v="Online"/>
    <s v="Kavita Nair"/>
    <s v="Global Traders"/>
    <x v="5"/>
    <s v="Washing Machine"/>
    <n v="24"/>
    <n v="4773.92"/>
    <n v="114574.08"/>
    <n v="8737.24"/>
    <n v="0"/>
    <n v="105836.84"/>
    <s v="Cancelled"/>
    <s v="Pending"/>
  </r>
  <r>
    <s v="INV-2026-00692"/>
    <x v="16"/>
    <s v="West"/>
    <s v="Pune"/>
    <s v="Online"/>
    <s v="Rahul Sharma"/>
    <s v="Skyline Corp"/>
    <x v="2"/>
    <s v="Tennis Racket"/>
    <n v="28"/>
    <n v="48704.28"/>
    <n v="1363719.84"/>
    <n v="261506.28"/>
    <n v="0"/>
    <n v="1102213.56"/>
    <s v="Pending"/>
    <s v="Pending"/>
  </r>
  <r>
    <s v="INV-2026-00693"/>
    <x v="42"/>
    <s v="South"/>
    <s v="Kochi"/>
    <s v="Direct Sales"/>
    <s v="Meera Joshi"/>
    <s v="Omega Stores"/>
    <x v="5"/>
    <s v="Refrigerator"/>
    <n v="10"/>
    <n v="3195.59"/>
    <n v="31955.9"/>
    <n v="0"/>
    <n v="9007.83"/>
    <n v="22948.07"/>
    <s v="Processing"/>
    <s v="Pending"/>
  </r>
  <r>
    <s v="INV-2026-00694"/>
    <x v="58"/>
    <s v="Central"/>
    <s v="Raipur"/>
    <s v="Direct Sales"/>
    <s v="Vijay Singh"/>
    <s v="Nexus Ltd"/>
    <x v="5"/>
    <s v="Vacuum Cleaner"/>
    <n v="37"/>
    <n v="8203.67"/>
    <n v="303535.78999999998"/>
    <n v="6907.6"/>
    <n v="90238.41"/>
    <n v="206389.78"/>
    <s v="Pending"/>
    <s v="Paid"/>
  </r>
  <r>
    <s v="INV-2026-00695"/>
    <x v="7"/>
    <s v="South"/>
    <s v="Kochi"/>
    <s v="Direct Sales"/>
    <s v="Rajesh Verma"/>
    <s v="Alpha Trading"/>
    <x v="0"/>
    <s v="Whiteboard"/>
    <n v="50"/>
    <n v="12348.19"/>
    <n v="617409.5"/>
    <n v="36093.31"/>
    <n v="0"/>
    <n v="581316.18999999994"/>
    <s v="Pending"/>
    <s v="Paid"/>
  </r>
  <r>
    <s v="INV-2026-00696"/>
    <x v="13"/>
    <s v="West"/>
    <s v="Ahmedabad"/>
    <s v="Direct Sales"/>
    <s v="Meera Joshi"/>
    <s v="Alpha Trading"/>
    <x v="5"/>
    <s v="Refrigerator"/>
    <n v="8"/>
    <n v="30946.76"/>
    <n v="247574.08"/>
    <n v="34520.11"/>
    <n v="12368.46"/>
    <n v="200685.51"/>
    <s v="Completed"/>
    <s v="Overdue"/>
  </r>
  <r>
    <s v="INV-2026-00697"/>
    <x v="72"/>
    <s v="East"/>
    <s v="Bhubaneswar"/>
    <s v="Retail Store"/>
    <s v="Vijay Singh"/>
    <s v="Digital Hub"/>
    <x v="4"/>
    <s v="Jeans"/>
    <n v="39"/>
    <n v="37879.550000000003"/>
    <n v="1477302.45"/>
    <n v="0"/>
    <n v="0"/>
    <n v="1477302.45"/>
    <s v="Pending"/>
    <s v="Pending"/>
  </r>
  <r>
    <s v="INV-2026-00698"/>
    <x v="65"/>
    <s v="Central"/>
    <s v="Bhopal"/>
    <s v="Retail Store"/>
    <s v="Rajesh Verma"/>
    <s v="XYZ Ltd"/>
    <x v="1"/>
    <s v="Desk"/>
    <n v="41"/>
    <n v="12081.9"/>
    <n v="495357.9"/>
    <n v="78740.240000000005"/>
    <n v="0"/>
    <n v="416617.66"/>
    <s v="Completed"/>
    <s v="Paid"/>
  </r>
  <r>
    <s v="INV-2026-00699"/>
    <x v="78"/>
    <s v="North"/>
    <s v="Chandigarh"/>
    <s v="Distributor"/>
    <s v="Anita Desai"/>
    <s v="Future Tech"/>
    <x v="1"/>
    <s v="Sofa"/>
    <n v="9"/>
    <n v="38163.35"/>
    <n v="343470.15"/>
    <n v="0"/>
    <n v="0"/>
    <n v="343470.15"/>
    <s v="Cancelled"/>
    <s v="Pending"/>
  </r>
  <r>
    <s v="INV-2026-00700"/>
    <x v="36"/>
    <s v="West"/>
    <s v="Pune"/>
    <s v="Retail Store"/>
    <s v="Kavita Nair"/>
    <s v="Metro Mart"/>
    <x v="0"/>
    <s v="Pen Set"/>
    <n v="44"/>
    <n v="27632.69"/>
    <n v="1215838.3600000001"/>
    <n v="0"/>
    <n v="0"/>
    <n v="1215838.3600000001"/>
    <s v="Processing"/>
    <s v="Paid"/>
  </r>
  <r>
    <s v="INV-2026-00701"/>
    <x v="14"/>
    <s v="Central"/>
    <s v="Nagpur"/>
    <s v="Retail Store"/>
    <s v="Meera Joshi"/>
    <s v="Alpha Trading"/>
    <x v="3"/>
    <s v="Smartphone"/>
    <n v="26"/>
    <n v="34036.25"/>
    <n v="884942.5"/>
    <n v="0"/>
    <n v="222104.48"/>
    <n v="662838.02"/>
    <s v="Processing"/>
    <s v="Pending"/>
  </r>
  <r>
    <s v="INV-2026-00702"/>
    <x v="69"/>
    <s v="East"/>
    <s v="Kolkata"/>
    <s v="Direct Sales"/>
    <s v="Kavita Nair"/>
    <s v="Global Traders"/>
    <x v="3"/>
    <s v="Smart Watch"/>
    <n v="5"/>
    <n v="10007.16"/>
    <n v="50035.8"/>
    <n v="424.31"/>
    <n v="0"/>
    <n v="49611.49"/>
    <s v="Pending"/>
    <s v="Pending"/>
  </r>
  <r>
    <s v="INV-2026-00703"/>
    <x v="57"/>
    <s v="Central"/>
    <s v="Raipur"/>
    <s v="Distributor"/>
    <s v="Anita Desai"/>
    <s v="ABC Corp"/>
    <x v="4"/>
    <s v="T-Shirt"/>
    <n v="37"/>
    <n v="15001.76"/>
    <n v="555065.12"/>
    <n v="0"/>
    <n v="0"/>
    <n v="555065.12"/>
    <s v="Cancelled"/>
    <s v="Pending"/>
  </r>
  <r>
    <s v="INV-2026-00704"/>
    <x v="46"/>
    <s v="West"/>
    <s v="Ahmedabad"/>
    <s v="Retail Store"/>
    <s v="Rahul Sharma"/>
    <s v="Tech Solutions"/>
    <x v="1"/>
    <s v="Bookshelf"/>
    <n v="11"/>
    <n v="28921"/>
    <n v="318131"/>
    <n v="29011.63"/>
    <n v="0"/>
    <n v="289119.37"/>
    <s v="Processing"/>
    <s v="Paid"/>
  </r>
  <r>
    <s v="INV-2026-00705"/>
    <x v="23"/>
    <s v="Central"/>
    <s v="Raipur"/>
    <s v="Online"/>
    <s v="Kavita Nair"/>
    <s v="Skyline Corp"/>
    <x v="4"/>
    <s v="Dress"/>
    <n v="26"/>
    <n v="47780.65"/>
    <n v="1242296.8999999999"/>
    <n v="214573.3"/>
    <n v="0"/>
    <n v="1027723.6"/>
    <s v="Cancelled"/>
    <s v="Pending"/>
  </r>
  <r>
    <s v="INV-2026-00706"/>
    <x v="83"/>
    <s v="East"/>
    <s v="Kolkata"/>
    <s v="Retail Store"/>
    <s v="Rajesh Verma"/>
    <s v="Future Tech"/>
    <x v="4"/>
    <s v="Formal Shirt"/>
    <n v="15"/>
    <n v="32722.41"/>
    <n v="490836.15"/>
    <n v="28632.880000000001"/>
    <n v="0"/>
    <n v="462203.27"/>
    <s v="Processing"/>
    <s v="Pending"/>
  </r>
  <r>
    <s v="INV-2026-00707"/>
    <x v="50"/>
    <s v="South"/>
    <s v="Hyderabad"/>
    <s v="Online"/>
    <s v="Rahul Sharma"/>
    <s v="ABC Corp"/>
    <x v="4"/>
    <s v="Shoes"/>
    <n v="41"/>
    <n v="20805.830000000002"/>
    <n v="853039.03"/>
    <n v="0"/>
    <n v="94119.54"/>
    <n v="758919.49"/>
    <s v="Completed"/>
    <s v="Overdue"/>
  </r>
  <r>
    <s v="INV-2026-00708"/>
    <x v="84"/>
    <s v="East"/>
    <s v="Kolkata"/>
    <s v="Direct Sales"/>
    <s v="Kavita Nair"/>
    <s v="Metro Mart"/>
    <x v="1"/>
    <s v="Conference Table"/>
    <n v="28"/>
    <n v="29566.15"/>
    <n v="827852.2"/>
    <n v="6980.02"/>
    <n v="0"/>
    <n v="820872.18"/>
    <s v="Processing"/>
    <s v="Pending"/>
  </r>
  <r>
    <s v="INV-2026-00709"/>
    <x v="65"/>
    <s v="South"/>
    <s v="Hyderabad"/>
    <s v="Online"/>
    <s v="Vijay Singh"/>
    <s v="Urban Store"/>
    <x v="3"/>
    <s v="Laptop"/>
    <n v="8"/>
    <n v="18902.14"/>
    <n v="151217.12"/>
    <n v="29065.79"/>
    <n v="0"/>
    <n v="122151.33"/>
    <s v="Processing"/>
    <s v="Pending"/>
  </r>
  <r>
    <s v="INV-2026-00710"/>
    <x v="64"/>
    <s v="Central"/>
    <s v="Indore"/>
    <s v="Retail Store"/>
    <s v="Rajesh Verma"/>
    <s v="Alpha Trading"/>
    <x v="5"/>
    <s v="Refrigerator"/>
    <n v="3"/>
    <n v="9893.0499999999993"/>
    <n v="29679.15"/>
    <n v="0"/>
    <n v="0"/>
    <n v="29679.15"/>
    <s v="Pending"/>
    <s v="Paid"/>
  </r>
  <r>
    <s v="INV-2026-00711"/>
    <x v="54"/>
    <s v="South"/>
    <s v="Bangalore"/>
    <s v="Distributor"/>
    <s v="Meera Joshi"/>
    <s v="Skyline Corp"/>
    <x v="4"/>
    <s v="Formal Shirt"/>
    <n v="4"/>
    <n v="13064.17"/>
    <n v="52256.68"/>
    <n v="0"/>
    <n v="0"/>
    <n v="52256.68"/>
    <s v="Completed"/>
    <s v="Pending"/>
  </r>
  <r>
    <s v="INV-2026-00712"/>
    <x v="90"/>
    <s v="North"/>
    <s v="Lucknow"/>
    <s v="Retail Store"/>
    <s v="Meera Joshi"/>
    <s v="Future Tech"/>
    <x v="0"/>
    <s v="Printer Paper"/>
    <n v="16"/>
    <n v="32516.04"/>
    <n v="520256.64"/>
    <n v="0"/>
    <n v="0"/>
    <n v="520256.64"/>
    <s v="Pending"/>
    <s v="Pending"/>
  </r>
  <r>
    <s v="INV-2026-00713"/>
    <x v="29"/>
    <s v="South"/>
    <s v="Kochi"/>
    <s v="Direct Sales"/>
    <s v="Rajesh Verma"/>
    <s v="Alpha Trading"/>
    <x v="5"/>
    <s v="TV"/>
    <n v="48"/>
    <n v="36453.370000000003"/>
    <n v="1749761.76"/>
    <n v="20082.46"/>
    <n v="487230.33"/>
    <n v="1242448.97"/>
    <s v="Completed"/>
    <s v="Paid"/>
  </r>
  <r>
    <s v="INV-2026-00714"/>
    <x v="7"/>
    <s v="East"/>
    <s v="Patna"/>
    <s v="Online"/>
    <s v="Suresh Gupta"/>
    <s v="XYZ Ltd"/>
    <x v="4"/>
    <s v="Jeans"/>
    <n v="22"/>
    <n v="45405.89"/>
    <n v="998929.58"/>
    <n v="0"/>
    <n v="0"/>
    <n v="998929.58"/>
    <s v="Processing"/>
    <s v="Pending"/>
  </r>
  <r>
    <s v="INV-2026-00715"/>
    <x v="1"/>
    <s v="West"/>
    <s v="Pune"/>
    <s v="Online"/>
    <s v="Kavita Nair"/>
    <s v="Prime Retail"/>
    <x v="5"/>
    <s v="TV"/>
    <n v="40"/>
    <n v="19764"/>
    <n v="790560"/>
    <n v="58833.18"/>
    <n v="0"/>
    <n v="731726.82"/>
    <s v="Processing"/>
    <s v="Pending"/>
  </r>
  <r>
    <s v="INV-2026-00716"/>
    <x v="81"/>
    <s v="West"/>
    <s v="Ahmedabad"/>
    <s v="Online"/>
    <s v="Vijay Singh"/>
    <s v="Urban Store"/>
    <x v="2"/>
    <s v="Gym Equipment"/>
    <n v="29"/>
    <n v="15725.91"/>
    <n v="456051.39"/>
    <n v="0"/>
    <n v="0"/>
    <n v="456051.39"/>
    <s v="Processing"/>
    <s v="Pending"/>
  </r>
  <r>
    <s v="INV-2026-00717"/>
    <x v="87"/>
    <s v="South"/>
    <s v="Chennai"/>
    <s v="Online"/>
    <s v="Amit Kumar"/>
    <s v="Digital Hub"/>
    <x v="1"/>
    <s v="Sofa"/>
    <n v="12"/>
    <n v="39410.1"/>
    <n v="472921.2"/>
    <n v="0"/>
    <n v="0"/>
    <n v="472921.2"/>
    <s v="Processing"/>
    <s v="Pending"/>
  </r>
  <r>
    <s v="INV-2026-00718"/>
    <x v="16"/>
    <s v="North"/>
    <s v="Lucknow"/>
    <s v="Distributor"/>
    <s v="Priya Patel"/>
    <s v="Alpha Trading"/>
    <x v="0"/>
    <s v="Desk Organizer"/>
    <n v="40"/>
    <n v="4502.74"/>
    <n v="180109.6"/>
    <n v="0"/>
    <n v="0"/>
    <n v="180109.6"/>
    <s v="Processing"/>
    <s v="Paid"/>
  </r>
  <r>
    <s v="INV-2026-00719"/>
    <x v="38"/>
    <s v="East"/>
    <s v="Kolkata"/>
    <s v="Distributor"/>
    <s v="Kavita Nair"/>
    <s v="Elite Enterprises"/>
    <x v="5"/>
    <s v="Refrigerator"/>
    <n v="13"/>
    <n v="30653.86"/>
    <n v="398500.18"/>
    <n v="7788.96"/>
    <n v="0"/>
    <n v="390711.22"/>
    <s v="Pending"/>
    <s v="Paid"/>
  </r>
  <r>
    <s v="INV-2026-00720"/>
    <x v="25"/>
    <s v="North"/>
    <s v="Chandigarh"/>
    <s v="Online"/>
    <s v="Rajesh Verma"/>
    <s v="Urban Store"/>
    <x v="0"/>
    <s v="Printer Paper"/>
    <n v="41"/>
    <n v="43873.02"/>
    <n v="1798793.82"/>
    <n v="194706.95"/>
    <n v="0"/>
    <n v="1604086.87"/>
    <s v="Cancelled"/>
    <s v="Pending"/>
  </r>
  <r>
    <s v="INV-2026-00721"/>
    <x v="57"/>
    <s v="West"/>
    <s v="Pune"/>
    <s v="Direct Sales"/>
    <s v="Meera Joshi"/>
    <s v="Elite Enterprises"/>
    <x v="2"/>
    <s v="Football"/>
    <n v="42"/>
    <n v="33273.19"/>
    <n v="1397473.98"/>
    <n v="0"/>
    <n v="0"/>
    <n v="1397473.98"/>
    <s v="Pending"/>
    <s v="Pending"/>
  </r>
  <r>
    <s v="INV-2026-00722"/>
    <x v="72"/>
    <s v="North"/>
    <s v="Delhi"/>
    <s v="Distributor"/>
    <s v="Amit Kumar"/>
    <s v="Smart Systems"/>
    <x v="5"/>
    <s v="Washing Machine"/>
    <n v="43"/>
    <n v="18850.240000000002"/>
    <n v="810560.32"/>
    <n v="0"/>
    <n v="0"/>
    <n v="810560.32"/>
    <s v="Pending"/>
    <s v="Pending"/>
  </r>
  <r>
    <s v="INV-2026-00723"/>
    <x v="43"/>
    <s v="Central"/>
    <s v="Raipur"/>
    <s v="Online"/>
    <s v="Suresh Gupta"/>
    <s v="Elite Enterprises"/>
    <x v="0"/>
    <s v="File Folder"/>
    <n v="3"/>
    <n v="45773.7"/>
    <n v="137321.1"/>
    <n v="1499.77"/>
    <n v="0"/>
    <n v="135821.32999999999"/>
    <s v="Processing"/>
    <s v="Paid"/>
  </r>
  <r>
    <s v="INV-2026-00724"/>
    <x v="9"/>
    <s v="Central"/>
    <s v="Nagpur"/>
    <s v="Online"/>
    <s v="Sneha Reddy"/>
    <s v="Alpha Trading"/>
    <x v="5"/>
    <s v="TV"/>
    <n v="38"/>
    <n v="1318.54"/>
    <n v="50104.52"/>
    <n v="9456.5400000000009"/>
    <n v="0"/>
    <n v="40647.980000000003"/>
    <s v="Cancelled"/>
    <s v="Pending"/>
  </r>
  <r>
    <s v="INV-2026-00725"/>
    <x v="71"/>
    <s v="West"/>
    <s v="Mumbai"/>
    <s v="Online"/>
    <s v="Vijay Singh"/>
    <s v="Tech Solutions"/>
    <x v="4"/>
    <s v="Jeans"/>
    <n v="15"/>
    <n v="7145.27"/>
    <n v="107179.05"/>
    <n v="0"/>
    <n v="0"/>
    <n v="107179.05"/>
    <s v="Processing"/>
    <s v="Pending"/>
  </r>
  <r>
    <s v="INV-2026-00726"/>
    <x v="42"/>
    <s v="East"/>
    <s v="Patna"/>
    <s v="Distributor"/>
    <s v="Suresh Gupta"/>
    <s v="Alpha Trading"/>
    <x v="0"/>
    <s v="Pen Set"/>
    <n v="41"/>
    <n v="22400.92"/>
    <n v="918437.72"/>
    <n v="0"/>
    <n v="0"/>
    <n v="918437.72"/>
    <s v="Completed"/>
    <s v="Paid"/>
  </r>
  <r>
    <s v="INV-2026-00727"/>
    <x v="27"/>
    <s v="West"/>
    <s v="Ahmedabad"/>
    <s v="Distributor"/>
    <s v="Kavita Nair"/>
    <s v="Alpha Trading"/>
    <x v="5"/>
    <s v="Air Conditioner"/>
    <n v="38"/>
    <n v="8180.84"/>
    <n v="310871.92"/>
    <n v="0"/>
    <n v="0"/>
    <n v="310871.92"/>
    <s v="Processing"/>
    <s v="Pending"/>
  </r>
  <r>
    <s v="INV-2026-00728"/>
    <x v="44"/>
    <s v="Central"/>
    <s v="Nagpur"/>
    <s v="Distributor"/>
    <s v="Amit Kumar"/>
    <s v="Skyline Corp"/>
    <x v="2"/>
    <s v="Gym Equipment"/>
    <n v="25"/>
    <n v="13804.2"/>
    <n v="345105"/>
    <n v="38775.03"/>
    <n v="0"/>
    <n v="306329.96999999997"/>
    <s v="Completed"/>
    <s v="Paid"/>
  </r>
  <r>
    <s v="INV-2026-00729"/>
    <x v="26"/>
    <s v="North"/>
    <s v="Jaipur"/>
    <s v="Retail Store"/>
    <s v="Priya Patel"/>
    <s v="Skyline Corp"/>
    <x v="2"/>
    <s v="Football"/>
    <n v="16"/>
    <n v="17485.75"/>
    <n v="279772"/>
    <n v="2615.02"/>
    <n v="5710.43"/>
    <n v="271446.55"/>
    <s v="Processing"/>
    <s v="Pending"/>
  </r>
  <r>
    <s v="INV-2026-00730"/>
    <x v="41"/>
    <s v="South"/>
    <s v="Chennai"/>
    <s v="Direct Sales"/>
    <s v="Priya Patel"/>
    <s v="Omega Stores"/>
    <x v="5"/>
    <s v="Microwave"/>
    <n v="2"/>
    <n v="40307.120000000003"/>
    <n v="80614.240000000005"/>
    <n v="0"/>
    <n v="0"/>
    <n v="80614.240000000005"/>
    <s v="Pending"/>
    <s v="Pending"/>
  </r>
  <r>
    <s v="INV-2026-00731"/>
    <x v="85"/>
    <s v="South"/>
    <s v="Chennai"/>
    <s v="Online"/>
    <s v="Amit Kumar"/>
    <s v="Omega Stores"/>
    <x v="4"/>
    <s v="Shoes"/>
    <n v="50"/>
    <n v="44193.14"/>
    <n v="2209657"/>
    <n v="246526.07"/>
    <n v="0"/>
    <n v="1963130.93"/>
    <s v="Pending"/>
    <s v="Pending"/>
  </r>
  <r>
    <s v="INV-2026-00732"/>
    <x v="48"/>
    <s v="West"/>
    <s v="Mumbai"/>
    <s v="Direct Sales"/>
    <s v="Rajesh Verma"/>
    <s v="ABC Corp"/>
    <x v="3"/>
    <s v="Tablet"/>
    <n v="44"/>
    <n v="23975.66"/>
    <n v="1054929.04"/>
    <n v="151883.42000000001"/>
    <n v="0"/>
    <n v="903045.62"/>
    <s v="Pending"/>
    <s v="Pending"/>
  </r>
  <r>
    <s v="INV-2026-00733"/>
    <x v="18"/>
    <s v="South"/>
    <s v="Bangalore"/>
    <s v="Online"/>
    <s v="Vijay Singh"/>
    <s v="Skyline Corp"/>
    <x v="1"/>
    <s v="Desk"/>
    <n v="15"/>
    <n v="5708.18"/>
    <n v="85622.7"/>
    <n v="0"/>
    <n v="0"/>
    <n v="85622.7"/>
    <s v="Completed"/>
    <s v="Paid"/>
  </r>
  <r>
    <s v="INV-2026-00734"/>
    <x v="6"/>
    <s v="South"/>
    <s v="Bangalore"/>
    <s v="Direct Sales"/>
    <s v="Suresh Gupta"/>
    <s v="Skyline Corp"/>
    <x v="4"/>
    <s v="Shoes"/>
    <n v="49"/>
    <n v="25808.35"/>
    <n v="1264609.1499999999"/>
    <n v="0"/>
    <n v="0"/>
    <n v="1264609.1499999999"/>
    <s v="Pending"/>
    <s v="Pending"/>
  </r>
  <r>
    <s v="INV-2026-00735"/>
    <x v="56"/>
    <s v="West"/>
    <s v="Surat"/>
    <s v="Distributor"/>
    <s v="Rajesh Verma"/>
    <s v="Prime Retail"/>
    <x v="2"/>
    <s v="Gym Equipment"/>
    <n v="28"/>
    <n v="22299.439999999999"/>
    <n v="624384.31999999995"/>
    <n v="0"/>
    <n v="0"/>
    <n v="624384.31999999995"/>
    <s v="Processing"/>
    <s v="Pending"/>
  </r>
  <r>
    <s v="INV-2026-00736"/>
    <x v="91"/>
    <s v="Central"/>
    <s v="Indore"/>
    <s v="Distributor"/>
    <s v="Rajesh Verma"/>
    <s v="Smart Systems"/>
    <x v="2"/>
    <s v="Yoga Mat"/>
    <n v="11"/>
    <n v="32621.3"/>
    <n v="358834.3"/>
    <n v="70913.48"/>
    <n v="0"/>
    <n v="287920.82"/>
    <s v="Cancelled"/>
    <s v="Pending"/>
  </r>
  <r>
    <s v="INV-2026-00737"/>
    <x v="3"/>
    <s v="Central"/>
    <s v="Nagpur"/>
    <s v="Direct Sales"/>
    <s v="Kavita Nair"/>
    <s v="Skyline Corp"/>
    <x v="2"/>
    <s v="Cricket Bat"/>
    <n v="40"/>
    <n v="39420.339999999997"/>
    <n v="1576813.6"/>
    <n v="123578.87"/>
    <n v="0"/>
    <n v="1453234.73"/>
    <s v="Completed"/>
    <s v="Paid"/>
  </r>
  <r>
    <s v="INV-2026-00738"/>
    <x v="22"/>
    <s v="North"/>
    <s v="Jaipur"/>
    <s v="Online"/>
    <s v="Priya Patel"/>
    <s v="XYZ Ltd"/>
    <x v="3"/>
    <s v="Smart Watch"/>
    <n v="34"/>
    <n v="27604.71"/>
    <n v="938560.14"/>
    <n v="0"/>
    <n v="0"/>
    <n v="938560.14"/>
    <s v="Completed"/>
    <s v="Paid"/>
  </r>
  <r>
    <s v="INV-2026-00739"/>
    <x v="3"/>
    <s v="South"/>
    <s v="Hyderabad"/>
    <s v="Retail Store"/>
    <s v="Meera Joshi"/>
    <s v="ABC Corp"/>
    <x v="2"/>
    <s v="Yoga Mat"/>
    <n v="11"/>
    <n v="28537.279999999999"/>
    <n v="313910.08"/>
    <n v="0"/>
    <n v="73696.84"/>
    <n v="240213.24"/>
    <s v="Pending"/>
    <s v="Pending"/>
  </r>
  <r>
    <s v="INV-2026-00740"/>
    <x v="37"/>
    <s v="Central"/>
    <s v="Nagpur"/>
    <s v="Distributor"/>
    <s v="Rahul Sharma"/>
    <s v="Nexus Ltd"/>
    <x v="3"/>
    <s v="Camera"/>
    <n v="50"/>
    <n v="20303.330000000002"/>
    <n v="1015166.5"/>
    <n v="0"/>
    <n v="0"/>
    <n v="1015166.5"/>
    <s v="Pending"/>
    <s v="Paid"/>
  </r>
  <r>
    <s v="INV-2026-00741"/>
    <x v="26"/>
    <s v="Central"/>
    <s v="Bhopal"/>
    <s v="Online"/>
    <s v="Suresh Gupta"/>
    <s v="Metro Mart"/>
    <x v="5"/>
    <s v="TV"/>
    <n v="48"/>
    <n v="7208.35"/>
    <n v="346000.8"/>
    <n v="29846.720000000001"/>
    <n v="0"/>
    <n v="316154.08"/>
    <s v="Completed"/>
    <s v="Pending"/>
  </r>
  <r>
    <s v="INV-2026-00742"/>
    <x v="82"/>
    <s v="East"/>
    <s v="Guwahati"/>
    <s v="Retail Store"/>
    <s v="Anita Desai"/>
    <s v="Skyline Corp"/>
    <x v="3"/>
    <s v="Smart Watch"/>
    <n v="2"/>
    <n v="6320.5"/>
    <n v="12641"/>
    <n v="555.66999999999996"/>
    <n v="0"/>
    <n v="12085.33"/>
    <s v="Cancelled"/>
    <s v="Pending"/>
  </r>
  <r>
    <s v="INV-2026-00743"/>
    <x v="84"/>
    <s v="East"/>
    <s v="Patna"/>
    <s v="Retail Store"/>
    <s v="Suresh Gupta"/>
    <s v="Skyline Corp"/>
    <x v="1"/>
    <s v="Desk"/>
    <n v="27"/>
    <n v="30781.21"/>
    <n v="831092.67"/>
    <n v="0"/>
    <n v="0"/>
    <n v="831092.67"/>
    <s v="Processing"/>
    <s v="Paid"/>
  </r>
  <r>
    <s v="INV-2026-00744"/>
    <x v="26"/>
    <s v="South"/>
    <s v="Kochi"/>
    <s v="Online"/>
    <s v="Suresh Gupta"/>
    <s v="Digital Hub"/>
    <x v="4"/>
    <s v="T-Shirt"/>
    <n v="5"/>
    <n v="41675.360000000001"/>
    <n v="208376.8"/>
    <n v="27242.639999999999"/>
    <n v="0"/>
    <n v="181134.16"/>
    <s v="Processing"/>
    <s v="Pending"/>
  </r>
  <r>
    <s v="INV-2026-00745"/>
    <x v="42"/>
    <s v="South"/>
    <s v="Kochi"/>
    <s v="Distributor"/>
    <s v="Anita Desai"/>
    <s v="Prime Retail"/>
    <x v="5"/>
    <s v="Air Conditioner"/>
    <n v="11"/>
    <n v="28990.01"/>
    <n v="318890.11"/>
    <n v="0"/>
    <n v="0"/>
    <n v="318890.11"/>
    <s v="Completed"/>
    <s v="Paid"/>
  </r>
  <r>
    <s v="INV-2026-00746"/>
    <x v="53"/>
    <s v="West"/>
    <s v="Pune"/>
    <s v="Direct Sales"/>
    <s v="Suresh Gupta"/>
    <s v="ABC Corp"/>
    <x v="1"/>
    <s v="Office Chair"/>
    <n v="30"/>
    <n v="47506.11"/>
    <n v="1425183.3"/>
    <n v="0"/>
    <n v="256868.34"/>
    <n v="1168314.96"/>
    <s v="Completed"/>
    <s v="Paid"/>
  </r>
  <r>
    <s v="INV-2026-00747"/>
    <x v="24"/>
    <s v="West"/>
    <s v="Ahmedabad"/>
    <s v="Online"/>
    <s v="Priya Patel"/>
    <s v="Elite Enterprises"/>
    <x v="3"/>
    <s v="Headphones"/>
    <n v="46"/>
    <n v="45577.26"/>
    <n v="2096553.96"/>
    <n v="0"/>
    <n v="0"/>
    <n v="2096553.96"/>
    <s v="Pending"/>
    <s v="Pending"/>
  </r>
  <r>
    <s v="INV-2026-00748"/>
    <x v="61"/>
    <s v="North"/>
    <s v="Lucknow"/>
    <s v="Online"/>
    <s v="Rajesh Verma"/>
    <s v="Global Traders"/>
    <x v="0"/>
    <s v="Notebook"/>
    <n v="35"/>
    <n v="38676.78"/>
    <n v="1353687.3"/>
    <n v="21797.1"/>
    <n v="0"/>
    <n v="1331890.2"/>
    <s v="Completed"/>
    <s v="Paid"/>
  </r>
  <r>
    <s v="INV-2026-00749"/>
    <x v="81"/>
    <s v="East"/>
    <s v="Bhubaneswar"/>
    <s v="Direct Sales"/>
    <s v="Anita Desai"/>
    <s v="Tech Solutions"/>
    <x v="0"/>
    <s v="Pen Set"/>
    <n v="49"/>
    <n v="13880.13"/>
    <n v="680126.37"/>
    <n v="0"/>
    <n v="0"/>
    <n v="680126.37"/>
    <s v="Completed"/>
    <s v="Paid"/>
  </r>
  <r>
    <s v="INV-2026-00750"/>
    <x v="37"/>
    <s v="South"/>
    <s v="Kochi"/>
    <s v="Direct Sales"/>
    <s v="Vijay Singh"/>
    <s v="Nexus Ltd"/>
    <x v="2"/>
    <s v="Bicycle"/>
    <n v="37"/>
    <n v="2474.98"/>
    <n v="91574.26"/>
    <n v="0"/>
    <n v="17711.490000000002"/>
    <n v="73862.77"/>
    <s v="Cancelled"/>
    <s v="Pending"/>
  </r>
  <r>
    <s v="INV-2026-00751"/>
    <x v="70"/>
    <s v="East"/>
    <s v="Guwahati"/>
    <s v="Distributor"/>
    <s v="Amit Kumar"/>
    <s v="Skyline Corp"/>
    <x v="4"/>
    <s v="Shoes"/>
    <n v="9"/>
    <n v="28456.09"/>
    <n v="256104.81"/>
    <n v="13882.49"/>
    <n v="0"/>
    <n v="242222.32"/>
    <s v="Cancelled"/>
    <s v="Pending"/>
  </r>
  <r>
    <s v="INV-2026-00752"/>
    <x v="67"/>
    <s v="West"/>
    <s v="Mumbai"/>
    <s v="Online"/>
    <s v="Rahul Sharma"/>
    <s v="Global Traders"/>
    <x v="2"/>
    <s v="Tennis Racket"/>
    <n v="20"/>
    <n v="32130.99"/>
    <n v="642619.80000000005"/>
    <n v="19362.07"/>
    <n v="0"/>
    <n v="623257.73"/>
    <s v="Processing"/>
    <s v="Pending"/>
  </r>
  <r>
    <s v="INV-2026-00753"/>
    <x v="73"/>
    <s v="South"/>
    <s v="Hyderabad"/>
    <s v="Distributor"/>
    <s v="Meera Joshi"/>
    <s v="Global Traders"/>
    <x v="1"/>
    <s v="Office Chair"/>
    <n v="50"/>
    <n v="33387.910000000003"/>
    <n v="1669395.5"/>
    <n v="148555.41"/>
    <n v="232207.86"/>
    <n v="1288632.23"/>
    <s v="Pending"/>
    <s v="Pending"/>
  </r>
  <r>
    <s v="INV-2026-00754"/>
    <x v="77"/>
    <s v="West"/>
    <s v="Ahmedabad"/>
    <s v="Distributor"/>
    <s v="Meera Joshi"/>
    <s v="Nexus Ltd"/>
    <x v="0"/>
    <s v="Pen Set"/>
    <n v="15"/>
    <n v="49526.79"/>
    <n v="742901.85"/>
    <n v="85423.22"/>
    <n v="0"/>
    <n v="657478.63"/>
    <s v="Completed"/>
    <s v="Paid"/>
  </r>
  <r>
    <s v="INV-2026-00755"/>
    <x v="64"/>
    <s v="Central"/>
    <s v="Nagpur"/>
    <s v="Retail Store"/>
    <s v="Amit Kumar"/>
    <s v="ABC Corp"/>
    <x v="2"/>
    <s v="Bicycle"/>
    <n v="48"/>
    <n v="40768.400000000001"/>
    <n v="1956883.2"/>
    <n v="0"/>
    <n v="0"/>
    <n v="1956883.2"/>
    <s v="Cancelled"/>
    <s v="Pending"/>
  </r>
  <r>
    <s v="INV-2026-00756"/>
    <x v="33"/>
    <s v="South"/>
    <s v="Bangalore"/>
    <s v="Direct Sales"/>
    <s v="Rahul Sharma"/>
    <s v="Smart Systems"/>
    <x v="1"/>
    <s v="Conference Table"/>
    <n v="16"/>
    <n v="41217.599999999999"/>
    <n v="659481.59999999998"/>
    <n v="0"/>
    <n v="0"/>
    <n v="659481.59999999998"/>
    <s v="Cancelled"/>
    <s v="Pending"/>
  </r>
  <r>
    <s v="INV-2026-00757"/>
    <x v="55"/>
    <s v="West"/>
    <s v="Pune"/>
    <s v="Retail Store"/>
    <s v="Meera Joshi"/>
    <s v="Omega Stores"/>
    <x v="2"/>
    <s v="Cricket Bat"/>
    <n v="40"/>
    <n v="17890.490000000002"/>
    <n v="715619.6"/>
    <n v="0"/>
    <n v="0"/>
    <n v="715619.6"/>
    <s v="Completed"/>
    <s v="Paid"/>
  </r>
  <r>
    <s v="INV-2026-00758"/>
    <x v="78"/>
    <s v="South"/>
    <s v="Hyderabad"/>
    <s v="Online"/>
    <s v="Rahul Sharma"/>
    <s v="Prime Retail"/>
    <x v="2"/>
    <s v="Bicycle"/>
    <n v="50"/>
    <n v="20033.57"/>
    <n v="1001678.5"/>
    <n v="0"/>
    <n v="234671.52"/>
    <n v="767006.98"/>
    <s v="Completed"/>
    <s v="Paid"/>
  </r>
  <r>
    <s v="INV-2026-00759"/>
    <x v="9"/>
    <s v="East"/>
    <s v="Kolkata"/>
    <s v="Online"/>
    <s v="Priya Patel"/>
    <s v="Future Tech"/>
    <x v="0"/>
    <s v="Whiteboard"/>
    <n v="4"/>
    <n v="16499.25"/>
    <n v="65997"/>
    <n v="7245.98"/>
    <n v="3460.52"/>
    <n v="55290.5"/>
    <s v="Completed"/>
    <s v="Paid"/>
  </r>
  <r>
    <s v="INV-2026-00760"/>
    <x v="19"/>
    <s v="South"/>
    <s v="Hyderabad"/>
    <s v="Direct Sales"/>
    <s v="Anita Desai"/>
    <s v="Metro Mart"/>
    <x v="2"/>
    <s v="Football"/>
    <n v="15"/>
    <n v="35640.65"/>
    <n v="534609.75"/>
    <n v="34096.080000000002"/>
    <n v="0"/>
    <n v="500513.67"/>
    <s v="Completed"/>
    <s v="Paid"/>
  </r>
  <r>
    <s v="INV-2026-00761"/>
    <x v="12"/>
    <s v="North"/>
    <s v="Jaipur"/>
    <s v="Online"/>
    <s v="Vijay Singh"/>
    <s v="Digital Hub"/>
    <x v="4"/>
    <s v="Jeans"/>
    <n v="40"/>
    <n v="10031.31"/>
    <n v="401252.4"/>
    <n v="0"/>
    <n v="109344.59"/>
    <n v="291907.81"/>
    <s v="Completed"/>
    <s v="Paid"/>
  </r>
  <r>
    <s v="INV-2026-00762"/>
    <x v="13"/>
    <s v="East"/>
    <s v="Bhubaneswar"/>
    <s v="Direct Sales"/>
    <s v="Anita Desai"/>
    <s v="Omega Stores"/>
    <x v="1"/>
    <s v="Cabinet"/>
    <n v="23"/>
    <n v="45954.99"/>
    <n v="1056964.77"/>
    <n v="0"/>
    <n v="0"/>
    <n v="1056964.77"/>
    <s v="Completed"/>
    <s v="Paid"/>
  </r>
  <r>
    <s v="INV-2026-00763"/>
    <x v="84"/>
    <s v="West"/>
    <s v="Mumbai"/>
    <s v="Retail Store"/>
    <s v="Suresh Gupta"/>
    <s v="Prime Retail"/>
    <x v="0"/>
    <s v="Whiteboard"/>
    <n v="34"/>
    <n v="22031.49"/>
    <n v="749070.66"/>
    <n v="57419.74"/>
    <n v="0"/>
    <n v="691650.92"/>
    <s v="Processing"/>
    <s v="Pending"/>
  </r>
  <r>
    <s v="INV-2026-00764"/>
    <x v="30"/>
    <s v="East"/>
    <s v="Patna"/>
    <s v="Distributor"/>
    <s v="Kavita Nair"/>
    <s v="Smart Systems"/>
    <x v="2"/>
    <s v="Bicycle"/>
    <n v="33"/>
    <n v="49187.54"/>
    <n v="1623188.82"/>
    <n v="137256.24"/>
    <n v="0"/>
    <n v="1485932.58"/>
    <s v="Cancelled"/>
    <s v="Pending"/>
  </r>
  <r>
    <s v="INV-2026-00765"/>
    <x v="1"/>
    <s v="North"/>
    <s v="Jaipur"/>
    <s v="Retail Store"/>
    <s v="Priya Patel"/>
    <s v="XYZ Ltd"/>
    <x v="5"/>
    <s v="Air Conditioner"/>
    <n v="37"/>
    <n v="22374.55"/>
    <n v="827858.35"/>
    <n v="0"/>
    <n v="0"/>
    <n v="827858.35"/>
    <s v="Pending"/>
    <s v="Pending"/>
  </r>
  <r>
    <s v="INV-2026-00766"/>
    <x v="50"/>
    <s v="South"/>
    <s v="Chennai"/>
    <s v="Retail Store"/>
    <s v="Meera Joshi"/>
    <s v="Omega Stores"/>
    <x v="2"/>
    <s v="Cricket Bat"/>
    <n v="43"/>
    <n v="28641.03"/>
    <n v="1231564.29"/>
    <n v="0"/>
    <n v="0"/>
    <n v="1231564.29"/>
    <s v="Processing"/>
    <s v="Pending"/>
  </r>
  <r>
    <s v="INV-2026-00767"/>
    <x v="58"/>
    <s v="West"/>
    <s v="Surat"/>
    <s v="Online"/>
    <s v="Rajesh Verma"/>
    <s v="ABC Corp"/>
    <x v="3"/>
    <s v="Smartphone"/>
    <n v="6"/>
    <n v="39898.83"/>
    <n v="239392.98"/>
    <n v="41751.97"/>
    <n v="0"/>
    <n v="197641.01"/>
    <s v="Completed"/>
    <s v="Paid"/>
  </r>
  <r>
    <s v="INV-2026-00768"/>
    <x v="60"/>
    <s v="Central"/>
    <s v="Indore"/>
    <s v="Direct Sales"/>
    <s v="Amit Kumar"/>
    <s v="Future Tech"/>
    <x v="3"/>
    <s v="Camera"/>
    <n v="14"/>
    <n v="27923.4"/>
    <n v="390927.6"/>
    <n v="71086.42"/>
    <n v="0"/>
    <n v="319841.18"/>
    <s v="Completed"/>
    <s v="Pending"/>
  </r>
  <r>
    <s v="INV-2026-00769"/>
    <x v="71"/>
    <s v="East"/>
    <s v="Kolkata"/>
    <s v="Distributor"/>
    <s v="Anita Desai"/>
    <s v="Prime Retail"/>
    <x v="2"/>
    <s v="Football"/>
    <n v="4"/>
    <n v="25468.799999999999"/>
    <n v="101875.2"/>
    <n v="0"/>
    <n v="0"/>
    <n v="101875.2"/>
    <s v="Pending"/>
    <s v="Pending"/>
  </r>
  <r>
    <s v="INV-2026-00770"/>
    <x v="41"/>
    <s v="West"/>
    <s v="Pune"/>
    <s v="Direct Sales"/>
    <s v="Meera Joshi"/>
    <s v="Omega Stores"/>
    <x v="4"/>
    <s v="Dress"/>
    <n v="47"/>
    <n v="33046.49"/>
    <n v="1553185.03"/>
    <n v="65386.03"/>
    <n v="0"/>
    <n v="1487799"/>
    <s v="Pending"/>
    <s v="Pending"/>
  </r>
  <r>
    <s v="INV-2026-00771"/>
    <x v="20"/>
    <s v="West"/>
    <s v="Pune"/>
    <s v="Online"/>
    <s v="Suresh Gupta"/>
    <s v="Global Traders"/>
    <x v="3"/>
    <s v="Camera"/>
    <n v="31"/>
    <n v="12874.47"/>
    <n v="399108.57"/>
    <n v="37087.18"/>
    <n v="0"/>
    <n v="362021.39"/>
    <s v="Cancelled"/>
    <s v="Pending"/>
  </r>
  <r>
    <s v="INV-2026-00772"/>
    <x v="45"/>
    <s v="Central"/>
    <s v="Indore"/>
    <s v="Direct Sales"/>
    <s v="Meera Joshi"/>
    <s v="XYZ Ltd"/>
    <x v="3"/>
    <s v="Smart Watch"/>
    <n v="46"/>
    <n v="20653.59"/>
    <n v="950065.14"/>
    <n v="0"/>
    <n v="174146.73"/>
    <n v="775918.41"/>
    <s v="Processing"/>
    <s v="Paid"/>
  </r>
  <r>
    <s v="INV-2026-00773"/>
    <x v="70"/>
    <s v="Central"/>
    <s v="Raipur"/>
    <s v="Online"/>
    <s v="Suresh Gupta"/>
    <s v="Nexus Ltd"/>
    <x v="3"/>
    <s v="Smartphone"/>
    <n v="9"/>
    <n v="42532.959999999999"/>
    <n v="382796.64"/>
    <n v="70210.960000000006"/>
    <n v="0"/>
    <n v="312585.68"/>
    <s v="Processing"/>
    <s v="Pending"/>
  </r>
  <r>
    <s v="INV-2026-00774"/>
    <x v="8"/>
    <s v="West"/>
    <s v="Mumbai"/>
    <s v="Retail Store"/>
    <s v="Anita Desai"/>
    <s v="Future Tech"/>
    <x v="1"/>
    <s v="Conference Table"/>
    <n v="8"/>
    <n v="37474.129999999997"/>
    <n v="299793.03999999998"/>
    <n v="4635.5600000000004"/>
    <n v="0"/>
    <n v="295157.48"/>
    <s v="Pending"/>
    <s v="Pending"/>
  </r>
  <r>
    <s v="INV-2026-00775"/>
    <x v="80"/>
    <s v="West"/>
    <s v="Mumbai"/>
    <s v="Retail Store"/>
    <s v="Rajesh Verma"/>
    <s v="ABC Corp"/>
    <x v="1"/>
    <s v="Conference Table"/>
    <n v="27"/>
    <n v="47068.93"/>
    <n v="1270861.1100000001"/>
    <n v="171525.44"/>
    <n v="0"/>
    <n v="1099335.67"/>
    <s v="Pending"/>
    <s v="Pending"/>
  </r>
  <r>
    <s v="INV-2026-00776"/>
    <x v="65"/>
    <s v="West"/>
    <s v="Ahmedabad"/>
    <s v="Distributor"/>
    <s v="Sneha Reddy"/>
    <s v="ABC Corp"/>
    <x v="5"/>
    <s v="TV"/>
    <n v="46"/>
    <n v="35098.1"/>
    <n v="1614512.6"/>
    <n v="0"/>
    <n v="0"/>
    <n v="1614512.6"/>
    <s v="Cancelled"/>
    <s v="Pending"/>
  </r>
  <r>
    <s v="INV-2026-00777"/>
    <x v="80"/>
    <s v="South"/>
    <s v="Chennai"/>
    <s v="Retail Store"/>
    <s v="Rahul Sharma"/>
    <s v="Urban Store"/>
    <x v="5"/>
    <s v="Air Conditioner"/>
    <n v="14"/>
    <n v="33344.129999999997"/>
    <n v="466817.82"/>
    <n v="12999.26"/>
    <n v="0"/>
    <n v="453818.56"/>
    <s v="Cancelled"/>
    <s v="Pending"/>
  </r>
  <r>
    <s v="INV-2026-00778"/>
    <x v="44"/>
    <s v="West"/>
    <s v="Ahmedabad"/>
    <s v="Direct Sales"/>
    <s v="Meera Joshi"/>
    <s v="Smart Systems"/>
    <x v="0"/>
    <s v="File Folder"/>
    <n v="18"/>
    <n v="10876.68"/>
    <n v="195780.24"/>
    <n v="0"/>
    <n v="0"/>
    <n v="195780.24"/>
    <s v="Completed"/>
    <s v="Paid"/>
  </r>
  <r>
    <s v="INV-2026-00779"/>
    <x v="6"/>
    <s v="West"/>
    <s v="Mumbai"/>
    <s v="Direct Sales"/>
    <s v="Kavita Nair"/>
    <s v="Omega Stores"/>
    <x v="1"/>
    <s v="Sofa"/>
    <n v="31"/>
    <n v="22771.61"/>
    <n v="705919.91"/>
    <n v="40093.730000000003"/>
    <n v="0"/>
    <n v="665826.18000000005"/>
    <s v="Cancelled"/>
    <s v="Pending"/>
  </r>
  <r>
    <s v="INV-2026-00780"/>
    <x v="50"/>
    <s v="South"/>
    <s v="Hyderabad"/>
    <s v="Direct Sales"/>
    <s v="Kavita Nair"/>
    <s v="Skyline Corp"/>
    <x v="4"/>
    <s v="Jacket"/>
    <n v="2"/>
    <n v="3064.98"/>
    <n v="6129.96"/>
    <n v="1173.71"/>
    <n v="0"/>
    <n v="4956.25"/>
    <s v="Cancelled"/>
    <s v="Pending"/>
  </r>
  <r>
    <s v="INV-2026-00781"/>
    <x v="38"/>
    <s v="North"/>
    <s v="Delhi"/>
    <s v="Direct Sales"/>
    <s v="Kavita Nair"/>
    <s v="Global Traders"/>
    <x v="2"/>
    <s v="Yoga Mat"/>
    <n v="3"/>
    <n v="38097.279999999999"/>
    <n v="114291.84"/>
    <n v="7618.68"/>
    <n v="0"/>
    <n v="106673.16"/>
    <s v="Cancelled"/>
    <s v="Pending"/>
  </r>
  <r>
    <s v="INV-2026-00782"/>
    <x v="25"/>
    <s v="East"/>
    <s v="Patna"/>
    <s v="Retail Store"/>
    <s v="Vijay Singh"/>
    <s v="Alpha Trading"/>
    <x v="0"/>
    <s v="Notebook"/>
    <n v="37"/>
    <n v="3730.39"/>
    <n v="138024.43"/>
    <n v="20828.55"/>
    <n v="0"/>
    <n v="117195.88"/>
    <s v="Pending"/>
    <s v="Pending"/>
  </r>
  <r>
    <s v="INV-2026-00783"/>
    <x v="78"/>
    <s v="Central"/>
    <s v="Indore"/>
    <s v="Online"/>
    <s v="Meera Joshi"/>
    <s v="XYZ Ltd"/>
    <x v="5"/>
    <s v="Microwave"/>
    <n v="29"/>
    <n v="20592.47"/>
    <n v="597181.63"/>
    <n v="0"/>
    <n v="0"/>
    <n v="597181.63"/>
    <s v="Cancelled"/>
    <s v="Pending"/>
  </r>
  <r>
    <s v="INV-2026-00784"/>
    <x v="4"/>
    <s v="North"/>
    <s v="Jaipur"/>
    <s v="Online"/>
    <s v="Vijay Singh"/>
    <s v="Skyline Corp"/>
    <x v="0"/>
    <s v="File Folder"/>
    <n v="6"/>
    <n v="22027.46"/>
    <n v="132164.76"/>
    <n v="5196.34"/>
    <n v="0"/>
    <n v="126968.42"/>
    <s v="Cancelled"/>
    <s v="Pending"/>
  </r>
  <r>
    <s v="INV-2026-00785"/>
    <x v="56"/>
    <s v="North"/>
    <s v="Delhi"/>
    <s v="Online"/>
    <s v="Rahul Sharma"/>
    <s v="Digital Hub"/>
    <x v="5"/>
    <s v="Washing Machine"/>
    <n v="43"/>
    <n v="38048.69"/>
    <n v="1636093.67"/>
    <n v="106773.86"/>
    <n v="352161.32"/>
    <n v="1177158.49"/>
    <s v="Completed"/>
    <s v="Paid"/>
  </r>
  <r>
    <s v="INV-2026-00786"/>
    <x v="26"/>
    <s v="South"/>
    <s v="Bangalore"/>
    <s v="Retail Store"/>
    <s v="Anita Desai"/>
    <s v="Global Traders"/>
    <x v="2"/>
    <s v="Tennis Racket"/>
    <n v="46"/>
    <n v="39288.379999999997"/>
    <n v="1807265.48"/>
    <n v="0"/>
    <n v="0"/>
    <n v="1807265.48"/>
    <s v="Cancelled"/>
    <s v="Pending"/>
  </r>
  <r>
    <s v="INV-2026-00787"/>
    <x v="91"/>
    <s v="North"/>
    <s v="Chandigarh"/>
    <s v="Direct Sales"/>
    <s v="Amit Kumar"/>
    <s v="Skyline Corp"/>
    <x v="0"/>
    <s v="Whiteboard"/>
    <n v="48"/>
    <n v="5527.1"/>
    <n v="265300.8"/>
    <n v="48939.8"/>
    <n v="0"/>
    <n v="216361"/>
    <s v="Completed"/>
    <s v="Paid"/>
  </r>
  <r>
    <s v="INV-2026-00788"/>
    <x v="22"/>
    <s v="South"/>
    <s v="Chennai"/>
    <s v="Online"/>
    <s v="Sneha Reddy"/>
    <s v="Urban Store"/>
    <x v="3"/>
    <s v="Laptop"/>
    <n v="26"/>
    <n v="11383.88"/>
    <n v="295980.88"/>
    <n v="46938.39"/>
    <n v="0"/>
    <n v="249042.49"/>
    <s v="Processing"/>
    <s v="Pending"/>
  </r>
  <r>
    <s v="INV-2026-00789"/>
    <x v="26"/>
    <s v="South"/>
    <s v="Hyderabad"/>
    <s v="Direct Sales"/>
    <s v="Meera Joshi"/>
    <s v="Future Tech"/>
    <x v="2"/>
    <s v="Tennis Racket"/>
    <n v="15"/>
    <n v="20258"/>
    <n v="303870"/>
    <n v="175.51"/>
    <n v="0"/>
    <n v="303694.49"/>
    <s v="Completed"/>
    <s v="Paid"/>
  </r>
  <r>
    <s v="INV-2026-00790"/>
    <x v="43"/>
    <s v="North"/>
    <s v="Lucknow"/>
    <s v="Direct Sales"/>
    <s v="Amit Kumar"/>
    <s v="Global Traders"/>
    <x v="1"/>
    <s v="Bookshelf"/>
    <n v="9"/>
    <n v="27059.03"/>
    <n v="243531.27"/>
    <n v="15312.78"/>
    <n v="0"/>
    <n v="228218.49"/>
    <s v="Completed"/>
    <s v="Paid"/>
  </r>
  <r>
    <s v="INV-2026-00791"/>
    <x v="14"/>
    <s v="South"/>
    <s v="Chennai"/>
    <s v="Retail Store"/>
    <s v="Amit Kumar"/>
    <s v="Omega Stores"/>
    <x v="0"/>
    <s v="Desk Organizer"/>
    <n v="36"/>
    <n v="23899.47"/>
    <n v="860380.92"/>
    <n v="102384.93"/>
    <n v="0"/>
    <n v="757995.99"/>
    <s v="Pending"/>
    <s v="Paid"/>
  </r>
  <r>
    <s v="INV-2026-00792"/>
    <x v="59"/>
    <s v="West"/>
    <s v="Pune"/>
    <s v="Distributor"/>
    <s v="Kavita Nair"/>
    <s v="Alpha Trading"/>
    <x v="4"/>
    <s v="Dress"/>
    <n v="2"/>
    <n v="15495.38"/>
    <n v="30990.76"/>
    <n v="0"/>
    <n v="1315.62"/>
    <n v="29675.14"/>
    <s v="Cancelled"/>
    <s v="Pending"/>
  </r>
  <r>
    <s v="INV-2026-00793"/>
    <x v="6"/>
    <s v="East"/>
    <s v="Patna"/>
    <s v="Direct Sales"/>
    <s v="Suresh Gupta"/>
    <s v="Nexus Ltd"/>
    <x v="5"/>
    <s v="Air Conditioner"/>
    <n v="35"/>
    <n v="33583.29"/>
    <n v="1175415.1499999999"/>
    <n v="0"/>
    <n v="0"/>
    <n v="1175415.1499999999"/>
    <s v="Pending"/>
    <s v="Pending"/>
  </r>
  <r>
    <s v="INV-2026-00794"/>
    <x v="78"/>
    <s v="East"/>
    <s v="Kolkata"/>
    <s v="Distributor"/>
    <s v="Vijay Singh"/>
    <s v="Digital Hub"/>
    <x v="2"/>
    <s v="Yoga Mat"/>
    <n v="18"/>
    <n v="33383.99"/>
    <n v="600911.81999999995"/>
    <n v="0"/>
    <n v="0"/>
    <n v="600911.81999999995"/>
    <s v="Cancelled"/>
    <s v="Pending"/>
  </r>
  <r>
    <s v="INV-2026-00795"/>
    <x v="6"/>
    <s v="East"/>
    <s v="Patna"/>
    <s v="Online"/>
    <s v="Sneha Reddy"/>
    <s v="Metro Mart"/>
    <x v="4"/>
    <s v="T-Shirt"/>
    <n v="28"/>
    <n v="22953.64"/>
    <n v="642701.92000000004"/>
    <n v="0"/>
    <n v="0"/>
    <n v="642701.92000000004"/>
    <s v="Pending"/>
    <s v="Pending"/>
  </r>
  <r>
    <s v="INV-2026-00796"/>
    <x v="70"/>
    <s v="North"/>
    <s v="Chandigarh"/>
    <s v="Direct Sales"/>
    <s v="Rahul Sharma"/>
    <s v="Prime Retail"/>
    <x v="1"/>
    <s v="Desk"/>
    <n v="17"/>
    <n v="39865.120000000003"/>
    <n v="677707.04"/>
    <n v="89126.74"/>
    <n v="0"/>
    <n v="588580.30000000005"/>
    <s v="Pending"/>
    <s v="Pending"/>
  </r>
  <r>
    <s v="INV-2026-00797"/>
    <x v="39"/>
    <s v="West"/>
    <s v="Ahmedabad"/>
    <s v="Retail Store"/>
    <s v="Sneha Reddy"/>
    <s v="Elite Enterprises"/>
    <x v="5"/>
    <s v="Air Conditioner"/>
    <n v="23"/>
    <n v="16495.52"/>
    <n v="379396.96"/>
    <n v="0"/>
    <n v="0"/>
    <n v="379396.96"/>
    <s v="Processing"/>
    <s v="Pending"/>
  </r>
  <r>
    <s v="INV-2026-00798"/>
    <x v="32"/>
    <s v="South"/>
    <s v="Hyderabad"/>
    <s v="Direct Sales"/>
    <s v="Sneha Reddy"/>
    <s v="Metro Mart"/>
    <x v="0"/>
    <s v="Notebook"/>
    <n v="6"/>
    <n v="28766.2"/>
    <n v="172597.2"/>
    <n v="31477.33"/>
    <n v="0"/>
    <n v="141119.87"/>
    <s v="Completed"/>
    <s v="Paid"/>
  </r>
  <r>
    <s v="INV-2026-00799"/>
    <x v="50"/>
    <s v="East"/>
    <s v="Patna"/>
    <s v="Distributor"/>
    <s v="Amit Kumar"/>
    <s v="Omega Stores"/>
    <x v="5"/>
    <s v="Refrigerator"/>
    <n v="33"/>
    <n v="19894.97"/>
    <n v="656534.01"/>
    <n v="25160.62"/>
    <n v="170570.67"/>
    <n v="460802.72"/>
    <s v="Completed"/>
    <s v="Paid"/>
  </r>
  <r>
    <s v="INV-2026-00800"/>
    <x v="61"/>
    <s v="East"/>
    <s v="Kolkata"/>
    <s v="Direct Sales"/>
    <s v="Kavita Nair"/>
    <s v="Tech Solutions"/>
    <x v="3"/>
    <s v="Tablet"/>
    <n v="6"/>
    <n v="2733.77"/>
    <n v="16402.62"/>
    <n v="1610.02"/>
    <n v="0"/>
    <n v="14792.6"/>
    <s v="Cancelled"/>
    <s v="Pending"/>
  </r>
  <r>
    <s v="INV-2026-00801"/>
    <x v="5"/>
    <s v="North"/>
    <s v="Chandigarh"/>
    <s v="Distributor"/>
    <s v="Kavita Nair"/>
    <s v="Omega Stores"/>
    <x v="0"/>
    <s v="Whiteboard"/>
    <n v="2"/>
    <n v="30412.59"/>
    <n v="60825.18"/>
    <n v="6007.9"/>
    <n v="0"/>
    <n v="54817.279999999999"/>
    <s v="Cancelled"/>
    <s v="Pending"/>
  </r>
  <r>
    <s v="INV-2026-00802"/>
    <x v="45"/>
    <s v="South"/>
    <s v="Bangalore"/>
    <s v="Direct Sales"/>
    <s v="Kavita Nair"/>
    <s v="Global Traders"/>
    <x v="3"/>
    <s v="Smart Watch"/>
    <n v="4"/>
    <n v="3670.56"/>
    <n v="14682.24"/>
    <n v="2267.4499999999998"/>
    <n v="0"/>
    <n v="12414.79"/>
    <s v="Processing"/>
    <s v="Paid"/>
  </r>
  <r>
    <s v="INV-2026-00803"/>
    <x v="17"/>
    <s v="North"/>
    <s v="Jaipur"/>
    <s v="Online"/>
    <s v="Suresh Gupta"/>
    <s v="Nexus Ltd"/>
    <x v="3"/>
    <s v="Smart Watch"/>
    <n v="20"/>
    <n v="28488.36"/>
    <n v="569767.19999999995"/>
    <n v="0"/>
    <n v="0"/>
    <n v="569767.19999999995"/>
    <s v="Completed"/>
    <s v="Paid"/>
  </r>
  <r>
    <s v="INV-2026-00804"/>
    <x v="60"/>
    <s v="North"/>
    <s v="Lucknow"/>
    <s v="Retail Store"/>
    <s v="Vijay Singh"/>
    <s v="Prime Retail"/>
    <x v="0"/>
    <s v="Pen Set"/>
    <n v="43"/>
    <n v="40203.550000000003"/>
    <n v="1728752.65"/>
    <n v="32404.31"/>
    <n v="0"/>
    <n v="1696348.34"/>
    <s v="Processing"/>
    <s v="Paid"/>
  </r>
  <r>
    <s v="INV-2026-00805"/>
    <x v="26"/>
    <s v="West"/>
    <s v="Surat"/>
    <s v="Direct Sales"/>
    <s v="Priya Patel"/>
    <s v="Tech Solutions"/>
    <x v="2"/>
    <s v="Yoga Mat"/>
    <n v="49"/>
    <n v="35101.74"/>
    <n v="1719985.26"/>
    <n v="0"/>
    <n v="333361.73"/>
    <n v="1386623.53"/>
    <s v="Cancelled"/>
    <s v="Pending"/>
  </r>
  <r>
    <s v="INV-2026-00806"/>
    <x v="89"/>
    <s v="Central"/>
    <s v="Raipur"/>
    <s v="Direct Sales"/>
    <s v="Priya Patel"/>
    <s v="Smart Systems"/>
    <x v="5"/>
    <s v="Microwave"/>
    <n v="47"/>
    <n v="9905.02"/>
    <n v="465535.94"/>
    <n v="0"/>
    <n v="0"/>
    <n v="465535.94"/>
    <s v="Processing"/>
    <s v="Paid"/>
  </r>
  <r>
    <s v="INV-2026-00807"/>
    <x v="16"/>
    <s v="Central"/>
    <s v="Raipur"/>
    <s v="Online"/>
    <s v="Meera Joshi"/>
    <s v="Digital Hub"/>
    <x v="5"/>
    <s v="Air Conditioner"/>
    <n v="5"/>
    <n v="41317.25"/>
    <n v="206586.25"/>
    <n v="32328.51"/>
    <n v="0"/>
    <n v="174257.74"/>
    <s v="Completed"/>
    <s v="Paid"/>
  </r>
  <r>
    <s v="INV-2026-00808"/>
    <x v="51"/>
    <s v="West"/>
    <s v="Surat"/>
    <s v="Retail Store"/>
    <s v="Priya Patel"/>
    <s v="Metro Mart"/>
    <x v="3"/>
    <s v="Laptop"/>
    <n v="15"/>
    <n v="5238.68"/>
    <n v="78580.2"/>
    <n v="0"/>
    <n v="0"/>
    <n v="78580.2"/>
    <s v="Cancelled"/>
    <s v="Pending"/>
  </r>
  <r>
    <s v="INV-2026-00809"/>
    <x v="22"/>
    <s v="Central"/>
    <s v="Indore"/>
    <s v="Retail Store"/>
    <s v="Rajesh Verma"/>
    <s v="Digital Hub"/>
    <x v="2"/>
    <s v="Yoga Mat"/>
    <n v="21"/>
    <n v="8807.07"/>
    <n v="184948.47"/>
    <n v="2462.09"/>
    <n v="0"/>
    <n v="182486.38"/>
    <s v="Cancelled"/>
    <s v="Pending"/>
  </r>
  <r>
    <s v="INV-2026-00810"/>
    <x v="32"/>
    <s v="East"/>
    <s v="Bhubaneswar"/>
    <s v="Distributor"/>
    <s v="Amit Kumar"/>
    <s v="Nexus Ltd"/>
    <x v="4"/>
    <s v="Jacket"/>
    <n v="23"/>
    <n v="45242.13"/>
    <n v="1040568.99"/>
    <n v="0"/>
    <n v="0"/>
    <n v="1040568.99"/>
    <s v="Completed"/>
    <s v="Paid"/>
  </r>
  <r>
    <s v="INV-2026-00811"/>
    <x v="56"/>
    <s v="East"/>
    <s v="Kolkata"/>
    <s v="Distributor"/>
    <s v="Kavita Nair"/>
    <s v="Nexus Ltd"/>
    <x v="2"/>
    <s v="Cricket Bat"/>
    <n v="41"/>
    <n v="12134.4"/>
    <n v="497510.40000000002"/>
    <n v="0"/>
    <n v="0"/>
    <n v="497510.40000000002"/>
    <s v="Cancelled"/>
    <s v="Pending"/>
  </r>
  <r>
    <s v="INV-2026-00812"/>
    <x v="4"/>
    <s v="South"/>
    <s v="Kochi"/>
    <s v="Distributor"/>
    <s v="Sneha Reddy"/>
    <s v="Elite Enterprises"/>
    <x v="1"/>
    <s v="Conference Table"/>
    <n v="17"/>
    <n v="41173.599999999999"/>
    <n v="699951.2"/>
    <n v="129714.47"/>
    <n v="0"/>
    <n v="570236.73"/>
    <s v="Processing"/>
    <s v="Pending"/>
  </r>
  <r>
    <s v="INV-2026-00813"/>
    <x v="55"/>
    <s v="North"/>
    <s v="Lucknow"/>
    <s v="Direct Sales"/>
    <s v="Rajesh Verma"/>
    <s v="Alpha Trading"/>
    <x v="3"/>
    <s v="Smart Watch"/>
    <n v="47"/>
    <n v="17499.919999999998"/>
    <n v="822496.24"/>
    <n v="107091.71"/>
    <n v="0"/>
    <n v="715404.53"/>
    <s v="Cancelled"/>
    <s v="Pending"/>
  </r>
  <r>
    <s v="INV-2026-00814"/>
    <x v="75"/>
    <s v="West"/>
    <s v="Pune"/>
    <s v="Online"/>
    <s v="Amit Kumar"/>
    <s v="Omega Stores"/>
    <x v="2"/>
    <s v="Gym Equipment"/>
    <n v="9"/>
    <n v="35474.14"/>
    <n v="319267.26"/>
    <n v="0"/>
    <n v="81514.16"/>
    <n v="237753.1"/>
    <s v="Cancelled"/>
    <s v="Pending"/>
  </r>
  <r>
    <s v="INV-2026-00815"/>
    <x v="39"/>
    <s v="Central"/>
    <s v="Raipur"/>
    <s v="Retail Store"/>
    <s v="Kavita Nair"/>
    <s v="Elite Enterprises"/>
    <x v="4"/>
    <s v="Shoes"/>
    <n v="15"/>
    <n v="7095.81"/>
    <n v="106437.15"/>
    <n v="0"/>
    <n v="0"/>
    <n v="106437.15"/>
    <s v="Pending"/>
    <s v="Pending"/>
  </r>
  <r>
    <s v="INV-2026-00816"/>
    <x v="37"/>
    <s v="South"/>
    <s v="Chennai"/>
    <s v="Online"/>
    <s v="Meera Joshi"/>
    <s v="Digital Hub"/>
    <x v="2"/>
    <s v="Gym Equipment"/>
    <n v="30"/>
    <n v="26382.22"/>
    <n v="791466.6"/>
    <n v="0"/>
    <n v="108073.73"/>
    <n v="683392.87"/>
    <s v="Pending"/>
    <s v="Pending"/>
  </r>
  <r>
    <s v="INV-2026-00817"/>
    <x v="56"/>
    <s v="South"/>
    <s v="Chennai"/>
    <s v="Direct Sales"/>
    <s v="Kavita Nair"/>
    <s v="Skyline Corp"/>
    <x v="2"/>
    <s v="Bicycle"/>
    <n v="9"/>
    <n v="39968.14"/>
    <n v="359713.26"/>
    <n v="0"/>
    <n v="87172.01"/>
    <n v="272541.25"/>
    <s v="Pending"/>
    <s v="Pending"/>
  </r>
  <r>
    <s v="INV-2026-00818"/>
    <x v="53"/>
    <s v="North"/>
    <s v="Chandigarh"/>
    <s v="Direct Sales"/>
    <s v="Kavita Nair"/>
    <s v="Elite Enterprises"/>
    <x v="5"/>
    <s v="Air Conditioner"/>
    <n v="35"/>
    <n v="11303.97"/>
    <n v="395638.95"/>
    <n v="0"/>
    <n v="0"/>
    <n v="395638.95"/>
    <s v="Pending"/>
    <s v="Paid"/>
  </r>
  <r>
    <s v="INV-2026-00819"/>
    <x v="88"/>
    <s v="North"/>
    <s v="Lucknow"/>
    <s v="Retail Store"/>
    <s v="Meera Joshi"/>
    <s v="Elite Enterprises"/>
    <x v="3"/>
    <s v="Smart Watch"/>
    <n v="45"/>
    <n v="44486.12"/>
    <n v="2001875.4"/>
    <n v="231209.7"/>
    <n v="0"/>
    <n v="1770665.7"/>
    <s v="Completed"/>
    <s v="Overdue"/>
  </r>
  <r>
    <s v="INV-2026-00820"/>
    <x v="72"/>
    <s v="North"/>
    <s v="Delhi"/>
    <s v="Direct Sales"/>
    <s v="Kavita Nair"/>
    <s v="Future Tech"/>
    <x v="1"/>
    <s v="Cabinet"/>
    <n v="21"/>
    <n v="25952.95"/>
    <n v="545011.94999999995"/>
    <n v="78062.070000000007"/>
    <n v="0"/>
    <n v="466949.88"/>
    <s v="Cancelled"/>
    <s v="Pending"/>
  </r>
  <r>
    <s v="INV-2026-00821"/>
    <x v="10"/>
    <s v="West"/>
    <s v="Pune"/>
    <s v="Retail Store"/>
    <s v="Amit Kumar"/>
    <s v="Prime Retail"/>
    <x v="1"/>
    <s v="Conference Table"/>
    <n v="22"/>
    <n v="32490.71"/>
    <n v="714795.62"/>
    <n v="0"/>
    <n v="0"/>
    <n v="714795.62"/>
    <s v="Completed"/>
    <s v="Paid"/>
  </r>
  <r>
    <s v="INV-2026-00822"/>
    <x v="10"/>
    <s v="North"/>
    <s v="Chandigarh"/>
    <s v="Distributor"/>
    <s v="Rajesh Verma"/>
    <s v="Metro Mart"/>
    <x v="4"/>
    <s v="Jeans"/>
    <n v="13"/>
    <n v="7832.62"/>
    <n v="101824.06"/>
    <n v="0"/>
    <n v="0"/>
    <n v="101824.06"/>
    <s v="Pending"/>
    <s v="Paid"/>
  </r>
  <r>
    <s v="INV-2026-00823"/>
    <x v="27"/>
    <s v="East"/>
    <s v="Patna"/>
    <s v="Distributor"/>
    <s v="Vijay Singh"/>
    <s v="Smart Systems"/>
    <x v="4"/>
    <s v="Jeans"/>
    <n v="17"/>
    <n v="10561.7"/>
    <n v="179548.9"/>
    <n v="6519.8"/>
    <n v="0"/>
    <n v="173029.1"/>
    <s v="Cancelled"/>
    <s v="Pending"/>
  </r>
  <r>
    <s v="INV-2026-00824"/>
    <x v="2"/>
    <s v="East"/>
    <s v="Kolkata"/>
    <s v="Online"/>
    <s v="Kavita Nair"/>
    <s v="Nexus Ltd"/>
    <x v="1"/>
    <s v="Bookshelf"/>
    <n v="5"/>
    <n v="23497.96"/>
    <n v="117489.8"/>
    <n v="18595.84"/>
    <n v="0"/>
    <n v="98893.96"/>
    <s v="Processing"/>
    <s v="Pending"/>
  </r>
  <r>
    <s v="INV-2026-00825"/>
    <x v="0"/>
    <s v="North"/>
    <s v="Chandigarh"/>
    <s v="Online"/>
    <s v="Amit Kumar"/>
    <s v="Future Tech"/>
    <x v="4"/>
    <s v="Jeans"/>
    <n v="16"/>
    <n v="13670.89"/>
    <n v="218734.24"/>
    <n v="0"/>
    <n v="0"/>
    <n v="218734.24"/>
    <s v="Cancelled"/>
    <s v="Pending"/>
  </r>
  <r>
    <s v="INV-2026-00826"/>
    <x v="55"/>
    <s v="South"/>
    <s v="Chennai"/>
    <s v="Online"/>
    <s v="Rajesh Verma"/>
    <s v="Nexus Ltd"/>
    <x v="1"/>
    <s v="Bookshelf"/>
    <n v="24"/>
    <n v="8930.17"/>
    <n v="214324.08"/>
    <n v="0"/>
    <n v="52399.4"/>
    <n v="161924.68"/>
    <s v="Pending"/>
    <s v="Pending"/>
  </r>
  <r>
    <s v="INV-2026-00827"/>
    <x v="6"/>
    <s v="West"/>
    <s v="Surat"/>
    <s v="Retail Store"/>
    <s v="Sneha Reddy"/>
    <s v="Skyline Corp"/>
    <x v="3"/>
    <s v="Headphones"/>
    <n v="13"/>
    <n v="15510.7"/>
    <n v="201639.1"/>
    <n v="0"/>
    <n v="0"/>
    <n v="201639.1"/>
    <s v="Processing"/>
    <s v="Pending"/>
  </r>
  <r>
    <s v="INV-2026-00828"/>
    <x v="30"/>
    <s v="Central"/>
    <s v="Nagpur"/>
    <s v="Retail Store"/>
    <s v="Rajesh Verma"/>
    <s v="ABC Corp"/>
    <x v="2"/>
    <s v="Football"/>
    <n v="46"/>
    <n v="3293.92"/>
    <n v="151520.32000000001"/>
    <n v="10682.89"/>
    <n v="0"/>
    <n v="140837.43"/>
    <s v="Completed"/>
    <s v="Paid"/>
  </r>
  <r>
    <s v="INV-2026-00829"/>
    <x v="29"/>
    <s v="Central"/>
    <s v="Bhopal"/>
    <s v="Online"/>
    <s v="Rahul Sharma"/>
    <s v="Alpha Trading"/>
    <x v="2"/>
    <s v="Yoga Mat"/>
    <n v="47"/>
    <n v="34939.57"/>
    <n v="1642159.79"/>
    <n v="317915.67"/>
    <n v="0"/>
    <n v="1324244.1200000001"/>
    <s v="Pending"/>
    <s v="Paid"/>
  </r>
  <r>
    <s v="INV-2026-00830"/>
    <x v="81"/>
    <s v="South"/>
    <s v="Kochi"/>
    <s v="Online"/>
    <s v="Sneha Reddy"/>
    <s v="Global Traders"/>
    <x v="3"/>
    <s v="Camera"/>
    <n v="25"/>
    <n v="4079.4"/>
    <n v="101985"/>
    <n v="1515.24"/>
    <n v="7103.59"/>
    <n v="93366.17"/>
    <s v="Pending"/>
    <s v="Pending"/>
  </r>
  <r>
    <s v="INV-2026-00831"/>
    <x v="61"/>
    <s v="South"/>
    <s v="Chennai"/>
    <s v="Direct Sales"/>
    <s v="Anita Desai"/>
    <s v="Global Traders"/>
    <x v="0"/>
    <s v="Whiteboard"/>
    <n v="19"/>
    <n v="42635.78"/>
    <n v="810079.82"/>
    <n v="33195.49"/>
    <n v="0"/>
    <n v="776884.33"/>
    <s v="Processing"/>
    <s v="Paid"/>
  </r>
  <r>
    <s v="INV-2026-00832"/>
    <x v="82"/>
    <s v="Central"/>
    <s v="Bhopal"/>
    <s v="Online"/>
    <s v="Amit Kumar"/>
    <s v="Smart Systems"/>
    <x v="2"/>
    <s v="Yoga Mat"/>
    <n v="41"/>
    <n v="29996.63"/>
    <n v="1229861.83"/>
    <n v="227835.62"/>
    <n v="104751.63"/>
    <n v="897274.58"/>
    <s v="Processing"/>
    <s v="Pending"/>
  </r>
  <r>
    <s v="INV-2026-00833"/>
    <x v="19"/>
    <s v="West"/>
    <s v="Mumbai"/>
    <s v="Retail Store"/>
    <s v="Sneha Reddy"/>
    <s v="Prime Retail"/>
    <x v="5"/>
    <s v="Refrigerator"/>
    <n v="50"/>
    <n v="8348.25"/>
    <n v="417412.5"/>
    <n v="0"/>
    <n v="0"/>
    <n v="417412.5"/>
    <s v="Pending"/>
    <s v="Pending"/>
  </r>
  <r>
    <s v="INV-2026-00834"/>
    <x v="44"/>
    <s v="North"/>
    <s v="Chandigarh"/>
    <s v="Direct Sales"/>
    <s v="Sneha Reddy"/>
    <s v="XYZ Ltd"/>
    <x v="5"/>
    <s v="Vacuum Cleaner"/>
    <n v="4"/>
    <n v="4392.4799999999996"/>
    <n v="17569.919999999998"/>
    <n v="1641.43"/>
    <n v="0"/>
    <n v="15928.49"/>
    <s v="Processing"/>
    <s v="Pending"/>
  </r>
  <r>
    <s v="INV-2026-00835"/>
    <x v="29"/>
    <s v="South"/>
    <s v="Bangalore"/>
    <s v="Direct Sales"/>
    <s v="Sneha Reddy"/>
    <s v="Prime Retail"/>
    <x v="4"/>
    <s v="Shoes"/>
    <n v="4"/>
    <n v="24714.09"/>
    <n v="98856.36"/>
    <n v="8990.2099999999991"/>
    <n v="0"/>
    <n v="89866.15"/>
    <s v="Completed"/>
    <s v="Pending"/>
  </r>
  <r>
    <s v="INV-2026-00836"/>
    <x v="28"/>
    <s v="North"/>
    <s v="Delhi"/>
    <s v="Retail Store"/>
    <s v="Anita Desai"/>
    <s v="Omega Stores"/>
    <x v="0"/>
    <s v="Desk Organizer"/>
    <n v="32"/>
    <n v="29490.17"/>
    <n v="943685.44"/>
    <n v="159137.64000000001"/>
    <n v="0"/>
    <n v="784547.8"/>
    <s v="Completed"/>
    <s v="Paid"/>
  </r>
  <r>
    <s v="INV-2026-00837"/>
    <x v="70"/>
    <s v="North"/>
    <s v="Delhi"/>
    <s v="Direct Sales"/>
    <s v="Anita Desai"/>
    <s v="Digital Hub"/>
    <x v="1"/>
    <s v="Desk"/>
    <n v="21"/>
    <n v="30377.77"/>
    <n v="637933.17000000004"/>
    <n v="95193.27"/>
    <n v="0"/>
    <n v="542739.9"/>
    <s v="Processing"/>
    <s v="Pending"/>
  </r>
  <r>
    <s v="INV-2026-00838"/>
    <x v="52"/>
    <s v="West"/>
    <s v="Pune"/>
    <s v="Distributor"/>
    <s v="Meera Joshi"/>
    <s v="Future Tech"/>
    <x v="5"/>
    <s v="Refrigerator"/>
    <n v="47"/>
    <n v="43057.79"/>
    <n v="2023716.13"/>
    <n v="29359.83"/>
    <n v="0"/>
    <n v="1994356.3"/>
    <s v="Cancelled"/>
    <s v="Pending"/>
  </r>
  <r>
    <s v="INV-2026-00839"/>
    <x v="10"/>
    <s v="East"/>
    <s v="Patna"/>
    <s v="Retail Store"/>
    <s v="Meera Joshi"/>
    <s v="Metro Mart"/>
    <x v="5"/>
    <s v="Microwave"/>
    <n v="10"/>
    <n v="33166.75"/>
    <n v="331667.5"/>
    <n v="0"/>
    <n v="0"/>
    <n v="331667.5"/>
    <s v="Pending"/>
    <s v="Pending"/>
  </r>
  <r>
    <s v="INV-2026-00840"/>
    <x v="88"/>
    <s v="South"/>
    <s v="Kochi"/>
    <s v="Retail Store"/>
    <s v="Rajesh Verma"/>
    <s v="XYZ Ltd"/>
    <x v="5"/>
    <s v="Air Conditioner"/>
    <n v="33"/>
    <n v="6960.2"/>
    <n v="229686.6"/>
    <n v="0"/>
    <n v="47280.67"/>
    <n v="182405.93"/>
    <s v="Pending"/>
    <s v="Pending"/>
  </r>
  <r>
    <s v="INV-2026-00841"/>
    <x v="4"/>
    <s v="East"/>
    <s v="Guwahati"/>
    <s v="Distributor"/>
    <s v="Sneha Reddy"/>
    <s v="Metro Mart"/>
    <x v="5"/>
    <s v="Refrigerator"/>
    <n v="16"/>
    <n v="5801.16"/>
    <n v="92818.559999999998"/>
    <n v="12006.17"/>
    <n v="0"/>
    <n v="80812.39"/>
    <s v="Cancelled"/>
    <s v="Pending"/>
  </r>
  <r>
    <s v="INV-2026-00842"/>
    <x v="12"/>
    <s v="South"/>
    <s v="Kochi"/>
    <s v="Direct Sales"/>
    <s v="Priya Patel"/>
    <s v="ABC Corp"/>
    <x v="3"/>
    <s v="Headphones"/>
    <n v="7"/>
    <n v="13837.08"/>
    <n v="96859.56"/>
    <n v="2121.33"/>
    <n v="0"/>
    <n v="94738.23"/>
    <s v="Pending"/>
    <s v="Paid"/>
  </r>
  <r>
    <s v="INV-2026-00843"/>
    <x v="57"/>
    <s v="Central"/>
    <s v="Raipur"/>
    <s v="Online"/>
    <s v="Amit Kumar"/>
    <s v="Elite Enterprises"/>
    <x v="4"/>
    <s v="T-Shirt"/>
    <n v="11"/>
    <n v="13215.96"/>
    <n v="145375.56"/>
    <n v="0"/>
    <n v="0"/>
    <n v="145375.56"/>
    <s v="Pending"/>
    <s v="Pending"/>
  </r>
  <r>
    <s v="INV-2026-00844"/>
    <x v="41"/>
    <s v="North"/>
    <s v="Lucknow"/>
    <s v="Distributor"/>
    <s v="Anita Desai"/>
    <s v="XYZ Ltd"/>
    <x v="2"/>
    <s v="Cricket Bat"/>
    <n v="4"/>
    <n v="3315.8"/>
    <n v="13263.2"/>
    <n v="0"/>
    <n v="0"/>
    <n v="13263.2"/>
    <s v="Cancelled"/>
    <s v="Pending"/>
  </r>
  <r>
    <s v="INV-2026-00845"/>
    <x v="45"/>
    <s v="South"/>
    <s v="Kochi"/>
    <s v="Direct Sales"/>
    <s v="Vijay Singh"/>
    <s v="Alpha Trading"/>
    <x v="0"/>
    <s v="Notebook"/>
    <n v="45"/>
    <n v="1147.3499999999999"/>
    <n v="51630.75"/>
    <n v="0"/>
    <n v="0"/>
    <n v="51630.75"/>
    <s v="Cancelled"/>
    <s v="Pending"/>
  </r>
  <r>
    <s v="INV-2026-00846"/>
    <x v="77"/>
    <s v="South"/>
    <s v="Kochi"/>
    <s v="Distributor"/>
    <s v="Sneha Reddy"/>
    <s v="Digital Hub"/>
    <x v="2"/>
    <s v="Tennis Racket"/>
    <n v="12"/>
    <n v="3023.96"/>
    <n v="36287.519999999997"/>
    <n v="6723.15"/>
    <n v="0"/>
    <n v="29564.37"/>
    <s v="Processing"/>
    <s v="Paid"/>
  </r>
  <r>
    <s v="INV-2026-00847"/>
    <x v="19"/>
    <s v="South"/>
    <s v="Chennai"/>
    <s v="Distributor"/>
    <s v="Vijay Singh"/>
    <s v="Global Traders"/>
    <x v="1"/>
    <s v="Cabinet"/>
    <n v="39"/>
    <n v="10148.94"/>
    <n v="395808.66"/>
    <n v="0"/>
    <n v="66576.23"/>
    <n v="329232.43"/>
    <s v="Cancelled"/>
    <s v="Pending"/>
  </r>
  <r>
    <s v="INV-2026-00848"/>
    <x v="52"/>
    <s v="Central"/>
    <s v="Indore"/>
    <s v="Direct Sales"/>
    <s v="Rajesh Verma"/>
    <s v="XYZ Ltd"/>
    <x v="4"/>
    <s v="Jacket"/>
    <n v="7"/>
    <n v="8198.3700000000008"/>
    <n v="57388.59"/>
    <n v="0"/>
    <n v="0"/>
    <n v="57388.59"/>
    <s v="Processing"/>
    <s v="Paid"/>
  </r>
  <r>
    <s v="INV-2026-00849"/>
    <x v="87"/>
    <s v="North"/>
    <s v="Lucknow"/>
    <s v="Distributor"/>
    <s v="Meera Joshi"/>
    <s v="Prime Retail"/>
    <x v="3"/>
    <s v="Tablet"/>
    <n v="22"/>
    <n v="49799.51"/>
    <n v="1095589.22"/>
    <n v="101248.05"/>
    <n v="0"/>
    <n v="994341.17"/>
    <s v="Completed"/>
    <s v="Pending"/>
  </r>
  <r>
    <s v="INV-2026-00850"/>
    <x v="41"/>
    <s v="Central"/>
    <s v="Bhopal"/>
    <s v="Distributor"/>
    <s v="Priya Patel"/>
    <s v="Prime Retail"/>
    <x v="4"/>
    <s v="Shoes"/>
    <n v="31"/>
    <n v="47640.24"/>
    <n v="1476847.44"/>
    <n v="0"/>
    <n v="0"/>
    <n v="1476847.44"/>
    <s v="Processing"/>
    <s v="Pending"/>
  </r>
  <r>
    <s v="INV-2026-00851"/>
    <x v="90"/>
    <s v="North"/>
    <s v="Chandigarh"/>
    <s v="Retail Store"/>
    <s v="Anita Desai"/>
    <s v="Smart Systems"/>
    <x v="2"/>
    <s v="Bicycle"/>
    <n v="19"/>
    <n v="19809.84"/>
    <n v="376386.96"/>
    <n v="6474.89"/>
    <n v="0"/>
    <n v="369912.07"/>
    <s v="Completed"/>
    <s v="Paid"/>
  </r>
  <r>
    <s v="INV-2026-00852"/>
    <x v="44"/>
    <s v="South"/>
    <s v="Chennai"/>
    <s v="Direct Sales"/>
    <s v="Amit Kumar"/>
    <s v="Digital Hub"/>
    <x v="4"/>
    <s v="Shoes"/>
    <n v="40"/>
    <n v="17466.66"/>
    <n v="698666.4"/>
    <n v="56998.11"/>
    <n v="117313.21"/>
    <n v="524355.07999999996"/>
    <s v="Pending"/>
    <s v="Paid"/>
  </r>
  <r>
    <s v="INV-2026-00853"/>
    <x v="59"/>
    <s v="Central"/>
    <s v="Nagpur"/>
    <s v="Retail Store"/>
    <s v="Sneha Reddy"/>
    <s v="Nexus Ltd"/>
    <x v="5"/>
    <s v="Microwave"/>
    <n v="37"/>
    <n v="27512.82"/>
    <n v="1017974.34"/>
    <n v="0"/>
    <n v="197432.95999999999"/>
    <n v="820541.38"/>
    <s v="Cancelled"/>
    <s v="Pending"/>
  </r>
  <r>
    <s v="INV-2026-00854"/>
    <x v="5"/>
    <s v="East"/>
    <s v="Bhubaneswar"/>
    <s v="Retail Store"/>
    <s v="Vijay Singh"/>
    <s v="Digital Hub"/>
    <x v="4"/>
    <s v="Dress"/>
    <n v="18"/>
    <n v="46346.01"/>
    <n v="834228.18"/>
    <n v="0"/>
    <n v="0"/>
    <n v="834228.18"/>
    <s v="Cancelled"/>
    <s v="Pending"/>
  </r>
  <r>
    <s v="INV-2026-00855"/>
    <x v="64"/>
    <s v="West"/>
    <s v="Pune"/>
    <s v="Direct Sales"/>
    <s v="Vijay Singh"/>
    <s v="Smart Systems"/>
    <x v="1"/>
    <s v="Conference Table"/>
    <n v="32"/>
    <n v="19136.68"/>
    <n v="612373.76000000001"/>
    <n v="60471.33"/>
    <n v="0"/>
    <n v="551902.43000000005"/>
    <s v="Completed"/>
    <s v="Paid"/>
  </r>
  <r>
    <s v="INV-2026-00856"/>
    <x v="23"/>
    <s v="South"/>
    <s v="Kochi"/>
    <s v="Online"/>
    <s v="Amit Kumar"/>
    <s v="Smart Systems"/>
    <x v="4"/>
    <s v="Shoes"/>
    <n v="46"/>
    <n v="8827.5400000000009"/>
    <n v="406066.84"/>
    <n v="0"/>
    <n v="0"/>
    <n v="406066.84"/>
    <s v="Pending"/>
    <s v="Paid"/>
  </r>
  <r>
    <s v="INV-2026-00857"/>
    <x v="1"/>
    <s v="North"/>
    <s v="Jaipur"/>
    <s v="Distributor"/>
    <s v="Meera Joshi"/>
    <s v="XYZ Ltd"/>
    <x v="2"/>
    <s v="Gym Equipment"/>
    <n v="33"/>
    <n v="31972.53"/>
    <n v="1055093.49"/>
    <n v="0"/>
    <n v="0"/>
    <n v="1055093.49"/>
    <s v="Cancelled"/>
    <s v="Pending"/>
  </r>
  <r>
    <s v="INV-2026-00858"/>
    <x v="55"/>
    <s v="Central"/>
    <s v="Indore"/>
    <s v="Distributor"/>
    <s v="Meera Joshi"/>
    <s v="Nexus Ltd"/>
    <x v="1"/>
    <s v="Cabinet"/>
    <n v="19"/>
    <n v="50371.11"/>
    <n v="957051.09"/>
    <n v="187468.81"/>
    <n v="0"/>
    <n v="769582.28"/>
    <s v="Completed"/>
    <s v="Paid"/>
  </r>
  <r>
    <s v="INV-2026-00859"/>
    <x v="11"/>
    <s v="Central"/>
    <s v="Bhopal"/>
    <s v="Distributor"/>
    <s v="Priya Patel"/>
    <s v="Metro Mart"/>
    <x v="1"/>
    <s v="Office Chair"/>
    <n v="32"/>
    <n v="34067.9"/>
    <n v="1090172.8"/>
    <n v="0"/>
    <n v="0"/>
    <n v="1090172.8"/>
    <s v="Processing"/>
    <s v="Paid"/>
  </r>
  <r>
    <s v="INV-2026-00860"/>
    <x v="65"/>
    <s v="East"/>
    <s v="Bhubaneswar"/>
    <s v="Distributor"/>
    <s v="Meera Joshi"/>
    <s v="Smart Systems"/>
    <x v="4"/>
    <s v="Jacket"/>
    <n v="22"/>
    <n v="16349.01"/>
    <n v="359678.22"/>
    <n v="48385.85"/>
    <n v="0"/>
    <n v="311292.37"/>
    <s v="Completed"/>
    <s v="Paid"/>
  </r>
  <r>
    <s v="INV-2026-00861"/>
    <x v="45"/>
    <s v="North"/>
    <s v="Delhi"/>
    <s v="Retail Store"/>
    <s v="Anita Desai"/>
    <s v="XYZ Ltd"/>
    <x v="0"/>
    <s v="Notebook"/>
    <n v="48"/>
    <n v="26039.84"/>
    <n v="1249912.3200000001"/>
    <n v="0"/>
    <n v="0"/>
    <n v="1249912.3200000001"/>
    <s v="Processing"/>
    <s v="Pending"/>
  </r>
  <r>
    <s v="INV-2026-00862"/>
    <x v="32"/>
    <s v="North"/>
    <s v="Chandigarh"/>
    <s v="Retail Store"/>
    <s v="Meera Joshi"/>
    <s v="Urban Store"/>
    <x v="5"/>
    <s v="Washing Machine"/>
    <n v="18"/>
    <n v="6526.91"/>
    <n v="117484.38"/>
    <n v="2005.6"/>
    <n v="0"/>
    <n v="115478.78"/>
    <s v="Processing"/>
    <s v="Paid"/>
  </r>
  <r>
    <s v="INV-2026-00863"/>
    <x v="47"/>
    <s v="Central"/>
    <s v="Indore"/>
    <s v="Online"/>
    <s v="Meera Joshi"/>
    <s v="Metro Mart"/>
    <x v="3"/>
    <s v="Smart Watch"/>
    <n v="12"/>
    <n v="16421.740000000002"/>
    <n v="197060.88"/>
    <n v="24952.67"/>
    <n v="0"/>
    <n v="172108.21"/>
    <s v="Completed"/>
    <s v="Paid"/>
  </r>
  <r>
    <s v="INV-2026-00864"/>
    <x v="5"/>
    <s v="West"/>
    <s v="Pune"/>
    <s v="Direct Sales"/>
    <s v="Anita Desai"/>
    <s v="Elite Enterprises"/>
    <x v="2"/>
    <s v="Gym Equipment"/>
    <n v="20"/>
    <n v="28450.49"/>
    <n v="569009.80000000005"/>
    <n v="0"/>
    <n v="0"/>
    <n v="569009.80000000005"/>
    <s v="Cancelled"/>
    <s v="Pending"/>
  </r>
  <r>
    <s v="INV-2026-00865"/>
    <x v="61"/>
    <s v="East"/>
    <s v="Bhubaneswar"/>
    <s v="Retail Store"/>
    <s v="Meera Joshi"/>
    <s v="Skyline Corp"/>
    <x v="2"/>
    <s v="Yoga Mat"/>
    <n v="13"/>
    <n v="8527.07"/>
    <n v="110851.91"/>
    <n v="12893.46"/>
    <n v="0"/>
    <n v="97958.45"/>
    <s v="Completed"/>
    <s v="Paid"/>
  </r>
  <r>
    <s v="INV-2026-00866"/>
    <x v="50"/>
    <s v="East"/>
    <s v="Patna"/>
    <s v="Direct Sales"/>
    <s v="Sneha Reddy"/>
    <s v="Nexus Ltd"/>
    <x v="3"/>
    <s v="Smart Watch"/>
    <n v="2"/>
    <n v="48475.07"/>
    <n v="96950.14"/>
    <n v="9035.7199999999993"/>
    <n v="0"/>
    <n v="87914.42"/>
    <s v="Cancelled"/>
    <s v="Pending"/>
  </r>
  <r>
    <s v="INV-2026-00867"/>
    <x v="44"/>
    <s v="South"/>
    <s v="Bangalore"/>
    <s v="Distributor"/>
    <s v="Suresh Gupta"/>
    <s v="Smart Systems"/>
    <x v="2"/>
    <s v="Bicycle"/>
    <n v="2"/>
    <n v="34473.230000000003"/>
    <n v="68946.460000000006"/>
    <n v="0"/>
    <n v="881.07"/>
    <n v="68065.39"/>
    <s v="Completed"/>
    <s v="Paid"/>
  </r>
  <r>
    <s v="INV-2026-00868"/>
    <x v="78"/>
    <s v="West"/>
    <s v="Mumbai"/>
    <s v="Online"/>
    <s v="Rajesh Verma"/>
    <s v="ABC Corp"/>
    <x v="2"/>
    <s v="Gym Equipment"/>
    <n v="46"/>
    <n v="40794.82"/>
    <n v="1876561.72"/>
    <n v="0"/>
    <n v="0"/>
    <n v="1876561.72"/>
    <s v="Completed"/>
    <s v="Paid"/>
  </r>
  <r>
    <s v="INV-2026-00869"/>
    <x v="78"/>
    <s v="Central"/>
    <s v="Indore"/>
    <s v="Retail Store"/>
    <s v="Anita Desai"/>
    <s v="Smart Systems"/>
    <x v="5"/>
    <s v="Microwave"/>
    <n v="40"/>
    <n v="38184.230000000003"/>
    <n v="1527369.2"/>
    <n v="0"/>
    <n v="0"/>
    <n v="1527369.2"/>
    <s v="Completed"/>
    <s v="Paid"/>
  </r>
  <r>
    <s v="INV-2026-00870"/>
    <x v="1"/>
    <s v="Central"/>
    <s v="Bhopal"/>
    <s v="Retail Store"/>
    <s v="Amit Kumar"/>
    <s v="Urban Store"/>
    <x v="4"/>
    <s v="Jacket"/>
    <n v="32"/>
    <n v="37247.15"/>
    <n v="1191908.8"/>
    <n v="164546.70000000001"/>
    <n v="78798.820000000007"/>
    <n v="948563.28"/>
    <s v="Cancelled"/>
    <s v="Pending"/>
  </r>
  <r>
    <s v="INV-2026-00871"/>
    <x v="42"/>
    <s v="North"/>
    <s v="Jaipur"/>
    <s v="Direct Sales"/>
    <s v="Suresh Gupta"/>
    <s v="Urban Store"/>
    <x v="1"/>
    <s v="Sofa"/>
    <n v="15"/>
    <n v="48864.92"/>
    <n v="732973.8"/>
    <n v="114894.04"/>
    <n v="0"/>
    <n v="618079.76"/>
    <s v="Pending"/>
    <s v="Paid"/>
  </r>
  <r>
    <s v="INV-2026-00872"/>
    <x v="44"/>
    <s v="North"/>
    <s v="Chandigarh"/>
    <s v="Direct Sales"/>
    <s v="Suresh Gupta"/>
    <s v="Urban Store"/>
    <x v="0"/>
    <s v="Notebook"/>
    <n v="47"/>
    <n v="11795.49"/>
    <n v="554388.03"/>
    <n v="0"/>
    <n v="0"/>
    <n v="554388.03"/>
    <s v="Processing"/>
    <s v="Paid"/>
  </r>
  <r>
    <s v="INV-2026-00873"/>
    <x v="69"/>
    <s v="West"/>
    <s v="Surat"/>
    <s v="Direct Sales"/>
    <s v="Meera Joshi"/>
    <s v="Nexus Ltd"/>
    <x v="0"/>
    <s v="Printer Paper"/>
    <n v="48"/>
    <n v="7454.59"/>
    <n v="357820.32"/>
    <n v="16792.34"/>
    <n v="0"/>
    <n v="341027.98"/>
    <s v="Processing"/>
    <s v="Paid"/>
  </r>
  <r>
    <s v="INV-2026-00874"/>
    <x v="27"/>
    <s v="Central"/>
    <s v="Raipur"/>
    <s v="Retail Store"/>
    <s v="Anita Desai"/>
    <s v="Future Tech"/>
    <x v="5"/>
    <s v="TV"/>
    <n v="5"/>
    <n v="15847.08"/>
    <n v="79235.399999999994"/>
    <n v="6808.42"/>
    <n v="0"/>
    <n v="72426.98"/>
    <s v="Cancelled"/>
    <s v="Pending"/>
  </r>
  <r>
    <s v="INV-2026-00875"/>
    <x v="16"/>
    <s v="West"/>
    <s v="Mumbai"/>
    <s v="Online"/>
    <s v="Suresh Gupta"/>
    <s v="Nexus Ltd"/>
    <x v="5"/>
    <s v="TV"/>
    <n v="16"/>
    <n v="1120.03"/>
    <n v="17920.48"/>
    <n v="1014.26"/>
    <n v="0"/>
    <n v="16906.22"/>
    <s v="Pending"/>
    <s v="Pending"/>
  </r>
  <r>
    <s v="INV-2026-00876"/>
    <x v="78"/>
    <s v="Central"/>
    <s v="Indore"/>
    <s v="Direct Sales"/>
    <s v="Priya Patel"/>
    <s v="Alpha Trading"/>
    <x v="5"/>
    <s v="Microwave"/>
    <n v="8"/>
    <n v="14651.65"/>
    <n v="117213.2"/>
    <n v="2849.95"/>
    <n v="0"/>
    <n v="114363.25"/>
    <s v="Processing"/>
    <s v="Paid"/>
  </r>
  <r>
    <s v="INV-2026-00877"/>
    <x v="31"/>
    <s v="North"/>
    <s v="Delhi"/>
    <s v="Online"/>
    <s v="Amit Kumar"/>
    <s v="Alpha Trading"/>
    <x v="2"/>
    <s v="Yoga Mat"/>
    <n v="43"/>
    <n v="48964.63"/>
    <n v="2105479.09"/>
    <n v="123606.75"/>
    <n v="0"/>
    <n v="1981872.34"/>
    <s v="Completed"/>
    <s v="Paid"/>
  </r>
  <r>
    <s v="INV-2026-00878"/>
    <x v="91"/>
    <s v="West"/>
    <s v="Mumbai"/>
    <s v="Retail Store"/>
    <s v="Vijay Singh"/>
    <s v="Skyline Corp"/>
    <x v="0"/>
    <s v="Pen Set"/>
    <n v="33"/>
    <n v="17589.13"/>
    <n v="580441.29"/>
    <n v="64059.29"/>
    <n v="29207.97"/>
    <n v="487174.03"/>
    <s v="Pending"/>
    <s v="Paid"/>
  </r>
  <r>
    <s v="INV-2026-00879"/>
    <x v="67"/>
    <s v="East"/>
    <s v="Patna"/>
    <s v="Retail Store"/>
    <s v="Rahul Sharma"/>
    <s v="XYZ Ltd"/>
    <x v="4"/>
    <s v="Shoes"/>
    <n v="4"/>
    <n v="42499.05"/>
    <n v="169996.2"/>
    <n v="0"/>
    <n v="0"/>
    <n v="169996.2"/>
    <s v="Processing"/>
    <s v="Pending"/>
  </r>
  <r>
    <s v="INV-2026-00880"/>
    <x v="2"/>
    <s v="South"/>
    <s v="Chennai"/>
    <s v="Online"/>
    <s v="Amit Kumar"/>
    <s v="Global Traders"/>
    <x v="0"/>
    <s v="Printer Paper"/>
    <n v="13"/>
    <n v="27629.21"/>
    <n v="359179.73"/>
    <n v="0"/>
    <n v="47360.15"/>
    <n v="311819.58"/>
    <s v="Pending"/>
    <s v="Pending"/>
  </r>
  <r>
    <s v="INV-2026-00881"/>
    <x v="35"/>
    <s v="Central"/>
    <s v="Raipur"/>
    <s v="Online"/>
    <s v="Suresh Gupta"/>
    <s v="ABC Corp"/>
    <x v="0"/>
    <s v="Pen Set"/>
    <n v="6"/>
    <n v="7357"/>
    <n v="44142"/>
    <n v="1247.8399999999999"/>
    <n v="0"/>
    <n v="42894.16"/>
    <s v="Completed"/>
    <s v="Paid"/>
  </r>
  <r>
    <s v="INV-2026-00882"/>
    <x v="79"/>
    <s v="West"/>
    <s v="Pune"/>
    <s v="Direct Sales"/>
    <s v="Vijay Singh"/>
    <s v="ABC Corp"/>
    <x v="5"/>
    <s v="TV"/>
    <n v="7"/>
    <n v="42049.01"/>
    <n v="294343.07"/>
    <n v="4407.3599999999997"/>
    <n v="0"/>
    <n v="289935.71000000002"/>
    <s v="Cancelled"/>
    <s v="Pending"/>
  </r>
  <r>
    <s v="INV-2026-00883"/>
    <x v="57"/>
    <s v="North"/>
    <s v="Chandigarh"/>
    <s v="Direct Sales"/>
    <s v="Amit Kumar"/>
    <s v="Nexus Ltd"/>
    <x v="0"/>
    <s v="File Folder"/>
    <n v="19"/>
    <n v="11724.48"/>
    <n v="222765.12"/>
    <n v="0"/>
    <n v="0"/>
    <n v="222765.12"/>
    <s v="Processing"/>
    <s v="Pending"/>
  </r>
  <r>
    <s v="INV-2026-00884"/>
    <x v="59"/>
    <s v="East"/>
    <s v="Kolkata"/>
    <s v="Direct Sales"/>
    <s v="Rahul Sharma"/>
    <s v="Alpha Trading"/>
    <x v="1"/>
    <s v="Conference Table"/>
    <n v="47"/>
    <n v="47198.82"/>
    <n v="2218344.54"/>
    <n v="320872.19"/>
    <n v="0"/>
    <n v="1897472.35"/>
    <s v="Completed"/>
    <s v="Paid"/>
  </r>
  <r>
    <s v="INV-2026-00885"/>
    <x v="77"/>
    <s v="West"/>
    <s v="Pune"/>
    <s v="Online"/>
    <s v="Anita Desai"/>
    <s v="Omega Stores"/>
    <x v="2"/>
    <s v="Yoga Mat"/>
    <n v="6"/>
    <n v="39815.870000000003"/>
    <n v="238895.22"/>
    <n v="0"/>
    <n v="0"/>
    <n v="238895.22"/>
    <s v="Cancelled"/>
    <s v="Pending"/>
  </r>
  <r>
    <s v="INV-2026-00886"/>
    <x v="87"/>
    <s v="South"/>
    <s v="Bangalore"/>
    <s v="Direct Sales"/>
    <s v="Anita Desai"/>
    <s v="Nexus Ltd"/>
    <x v="4"/>
    <s v="T-Shirt"/>
    <n v="6"/>
    <n v="9288.11"/>
    <n v="55728.66"/>
    <n v="4599.8500000000004"/>
    <n v="0"/>
    <n v="51128.81"/>
    <s v="Cancelled"/>
    <s v="Pending"/>
  </r>
  <r>
    <s v="INV-2026-00887"/>
    <x v="5"/>
    <s v="West"/>
    <s v="Ahmedabad"/>
    <s v="Direct Sales"/>
    <s v="Anita Desai"/>
    <s v="Elite Enterprises"/>
    <x v="2"/>
    <s v="Football"/>
    <n v="30"/>
    <n v="21547.58"/>
    <n v="646427.4"/>
    <n v="0"/>
    <n v="0"/>
    <n v="646427.4"/>
    <s v="Processing"/>
    <s v="Paid"/>
  </r>
  <r>
    <s v="INV-2026-00888"/>
    <x v="22"/>
    <s v="East"/>
    <s v="Guwahati"/>
    <s v="Distributor"/>
    <s v="Kavita Nair"/>
    <s v="Omega Stores"/>
    <x v="0"/>
    <s v="Desk Organizer"/>
    <n v="20"/>
    <n v="18320.740000000002"/>
    <n v="366414.8"/>
    <n v="62442.53"/>
    <n v="0"/>
    <n v="303972.27"/>
    <s v="Pending"/>
    <s v="Pending"/>
  </r>
  <r>
    <s v="INV-2026-00889"/>
    <x v="21"/>
    <s v="North"/>
    <s v="Lucknow"/>
    <s v="Distributor"/>
    <s v="Kavita Nair"/>
    <s v="XYZ Ltd"/>
    <x v="2"/>
    <s v="Tennis Racket"/>
    <n v="45"/>
    <n v="21115.95"/>
    <n v="950217.75"/>
    <n v="122742.73"/>
    <n v="0"/>
    <n v="827475.02"/>
    <s v="Processing"/>
    <s v="Pending"/>
  </r>
  <r>
    <s v="INV-2026-00890"/>
    <x v="70"/>
    <s v="West"/>
    <s v="Mumbai"/>
    <s v="Retail Store"/>
    <s v="Rajesh Verma"/>
    <s v="Skyline Corp"/>
    <x v="3"/>
    <s v="Laptop"/>
    <n v="43"/>
    <n v="43645.55"/>
    <n v="1876758.65"/>
    <n v="177597.44"/>
    <n v="0"/>
    <n v="1699161.21"/>
    <s v="Processing"/>
    <s v="Pending"/>
  </r>
  <r>
    <s v="INV-2026-00891"/>
    <x v="54"/>
    <s v="South"/>
    <s v="Chennai"/>
    <s v="Retail Store"/>
    <s v="Sneha Reddy"/>
    <s v="XYZ Ltd"/>
    <x v="4"/>
    <s v="T-Shirt"/>
    <n v="49"/>
    <n v="43668.27"/>
    <n v="2139745.23"/>
    <n v="201111.13"/>
    <n v="308885.05"/>
    <n v="1629749.05"/>
    <s v="Completed"/>
    <s v="Paid"/>
  </r>
  <r>
    <s v="INV-2026-00892"/>
    <x v="36"/>
    <s v="West"/>
    <s v="Mumbai"/>
    <s v="Online"/>
    <s v="Anita Desai"/>
    <s v="Tech Solutions"/>
    <x v="3"/>
    <s v="Headphones"/>
    <n v="17"/>
    <n v="48633.43"/>
    <n v="826768.31"/>
    <n v="0"/>
    <n v="0"/>
    <n v="826768.31"/>
    <s v="Processing"/>
    <s v="Pending"/>
  </r>
  <r>
    <s v="INV-2026-00893"/>
    <x v="6"/>
    <s v="West"/>
    <s v="Ahmedabad"/>
    <s v="Online"/>
    <s v="Rajesh Verma"/>
    <s v="ABC Corp"/>
    <x v="0"/>
    <s v="Printer Paper"/>
    <n v="32"/>
    <n v="7264.22"/>
    <n v="232455.04000000001"/>
    <n v="45410.87"/>
    <n v="0"/>
    <n v="187044.17"/>
    <s v="Processing"/>
    <s v="Pending"/>
  </r>
  <r>
    <s v="INV-2026-00894"/>
    <x v="14"/>
    <s v="North"/>
    <s v="Delhi"/>
    <s v="Online"/>
    <s v="Vijay Singh"/>
    <s v="Metro Mart"/>
    <x v="3"/>
    <s v="Smartphone"/>
    <n v="13"/>
    <n v="41708.949999999997"/>
    <n v="542216.35"/>
    <n v="0"/>
    <n v="0"/>
    <n v="542216.35"/>
    <s v="Cancelled"/>
    <s v="Pending"/>
  </r>
  <r>
    <s v="INV-2026-00895"/>
    <x v="7"/>
    <s v="North"/>
    <s v="Chandigarh"/>
    <s v="Distributor"/>
    <s v="Anita Desai"/>
    <s v="Alpha Trading"/>
    <x v="3"/>
    <s v="Smart Watch"/>
    <n v="3"/>
    <n v="27123.53"/>
    <n v="81370.59"/>
    <n v="13857.99"/>
    <n v="0"/>
    <n v="67512.600000000006"/>
    <s v="Cancelled"/>
    <s v="Pending"/>
  </r>
  <r>
    <s v="INV-2026-00896"/>
    <x v="33"/>
    <s v="East"/>
    <s v="Patna"/>
    <s v="Direct Sales"/>
    <s v="Amit Kumar"/>
    <s v="Omega Stores"/>
    <x v="5"/>
    <s v="Washing Machine"/>
    <n v="9"/>
    <n v="5501.99"/>
    <n v="49517.91"/>
    <n v="1545.48"/>
    <n v="0"/>
    <n v="47972.43"/>
    <s v="Processing"/>
    <s v="Pending"/>
  </r>
  <r>
    <s v="INV-2026-00897"/>
    <x v="32"/>
    <s v="West"/>
    <s v="Pune"/>
    <s v="Distributor"/>
    <s v="Priya Patel"/>
    <s v="ABC Corp"/>
    <x v="0"/>
    <s v="Desk Organizer"/>
    <n v="42"/>
    <n v="47951.46"/>
    <n v="2013961.32"/>
    <n v="0"/>
    <n v="0"/>
    <n v="2013961.32"/>
    <s v="Processing"/>
    <s v="Pending"/>
  </r>
  <r>
    <s v="INV-2026-00898"/>
    <x v="38"/>
    <s v="North"/>
    <s v="Lucknow"/>
    <s v="Distributor"/>
    <s v="Rajesh Verma"/>
    <s v="Alpha Trading"/>
    <x v="4"/>
    <s v="T-Shirt"/>
    <n v="7"/>
    <n v="50149.82"/>
    <n v="351048.74"/>
    <n v="44378.79"/>
    <n v="0"/>
    <n v="306669.95"/>
    <s v="Pending"/>
    <s v="Pending"/>
  </r>
  <r>
    <s v="INV-2026-00899"/>
    <x v="14"/>
    <s v="South"/>
    <s v="Hyderabad"/>
    <s v="Distributor"/>
    <s v="Sneha Reddy"/>
    <s v="Smart Systems"/>
    <x v="2"/>
    <s v="Cricket Bat"/>
    <n v="27"/>
    <n v="22129.01"/>
    <n v="597483.27"/>
    <n v="0"/>
    <n v="0"/>
    <n v="597483.27"/>
    <s v="Cancelled"/>
    <s v="Pending"/>
  </r>
  <r>
    <s v="INV-2026-00900"/>
    <x v="64"/>
    <s v="South"/>
    <s v="Chennai"/>
    <s v="Online"/>
    <s v="Suresh Gupta"/>
    <s v="Urban Store"/>
    <x v="3"/>
    <s v="Smart Watch"/>
    <n v="12"/>
    <n v="39356.17"/>
    <n v="472274.04"/>
    <n v="49622.46"/>
    <n v="0"/>
    <n v="422651.58"/>
    <s v="Completed"/>
    <s v="Paid"/>
  </r>
  <r>
    <s v="INV-2026-00901"/>
    <x v="6"/>
    <s v="East"/>
    <s v="Patna"/>
    <s v="Direct Sales"/>
    <s v="Suresh Gupta"/>
    <s v="Tech Solutions"/>
    <x v="0"/>
    <s v="Pen Set"/>
    <n v="14"/>
    <n v="10892.61"/>
    <n v="152496.54"/>
    <n v="13665.4"/>
    <n v="0"/>
    <n v="138831.14000000001"/>
    <s v="Cancelled"/>
    <s v="Pending"/>
  </r>
  <r>
    <s v="INV-2026-00902"/>
    <x v="75"/>
    <s v="North"/>
    <s v="Lucknow"/>
    <s v="Retail Store"/>
    <s v="Anita Desai"/>
    <s v="Smart Systems"/>
    <x v="1"/>
    <s v="Bookshelf"/>
    <n v="24"/>
    <n v="4263.3100000000004"/>
    <n v="102319.44"/>
    <n v="0"/>
    <n v="0"/>
    <n v="102319.44"/>
    <s v="Pending"/>
    <s v="Pending"/>
  </r>
  <r>
    <s v="INV-2026-00903"/>
    <x v="2"/>
    <s v="North"/>
    <s v="Chandigarh"/>
    <s v="Retail Store"/>
    <s v="Suresh Gupta"/>
    <s v="Digital Hub"/>
    <x v="3"/>
    <s v="Laptop"/>
    <n v="32"/>
    <n v="11853.29"/>
    <n v="379305.28"/>
    <n v="0"/>
    <n v="15990.9"/>
    <n v="363314.38"/>
    <s v="Processing"/>
    <s v="Paid"/>
  </r>
  <r>
    <s v="INV-2026-00904"/>
    <x v="38"/>
    <s v="South"/>
    <s v="Hyderabad"/>
    <s v="Distributor"/>
    <s v="Rajesh Verma"/>
    <s v="Digital Hub"/>
    <x v="0"/>
    <s v="Desk Organizer"/>
    <n v="43"/>
    <n v="4456.3599999999997"/>
    <n v="191623.48"/>
    <n v="0"/>
    <n v="0"/>
    <n v="191623.48"/>
    <s v="Processing"/>
    <s v="Pending"/>
  </r>
  <r>
    <s v="INV-2026-00905"/>
    <x v="9"/>
    <s v="West"/>
    <s v="Ahmedabad"/>
    <s v="Retail Store"/>
    <s v="Meera Joshi"/>
    <s v="Smart Systems"/>
    <x v="1"/>
    <s v="Desk"/>
    <n v="33"/>
    <n v="26931.06"/>
    <n v="888724.98"/>
    <n v="0"/>
    <n v="0"/>
    <n v="888724.98"/>
    <s v="Completed"/>
    <s v="Paid"/>
  </r>
  <r>
    <s v="INV-2026-00906"/>
    <x v="4"/>
    <s v="East"/>
    <s v="Bhubaneswar"/>
    <s v="Online"/>
    <s v="Sneha Reddy"/>
    <s v="Prime Retail"/>
    <x v="0"/>
    <s v="Notebook"/>
    <n v="18"/>
    <n v="19126.009999999998"/>
    <n v="344268.18"/>
    <n v="44530.81"/>
    <n v="0"/>
    <n v="299737.37"/>
    <s v="Pending"/>
    <s v="Pending"/>
  </r>
  <r>
    <s v="INV-2026-00907"/>
    <x v="89"/>
    <s v="West"/>
    <s v="Pune"/>
    <s v="Distributor"/>
    <s v="Rajesh Verma"/>
    <s v="Metro Mart"/>
    <x v="1"/>
    <s v="Bookshelf"/>
    <n v="30"/>
    <n v="40922.1"/>
    <n v="1227663"/>
    <n v="0"/>
    <n v="0"/>
    <n v="1227663"/>
    <s v="Cancelled"/>
    <s v="Pending"/>
  </r>
  <r>
    <s v="INV-2026-00908"/>
    <x v="36"/>
    <s v="East"/>
    <s v="Bhubaneswar"/>
    <s v="Distributor"/>
    <s v="Vijay Singh"/>
    <s v="Prime Retail"/>
    <x v="4"/>
    <s v="Shoes"/>
    <n v="31"/>
    <n v="29138.89"/>
    <n v="903305.59"/>
    <n v="0"/>
    <n v="0"/>
    <n v="903305.59"/>
    <s v="Pending"/>
    <s v="Pending"/>
  </r>
  <r>
    <s v="INV-2026-00909"/>
    <x v="90"/>
    <s v="East"/>
    <s v="Kolkata"/>
    <s v="Online"/>
    <s v="Sneha Reddy"/>
    <s v="ABC Corp"/>
    <x v="2"/>
    <s v="Bicycle"/>
    <n v="48"/>
    <n v="13494.34"/>
    <n v="647728.31999999995"/>
    <n v="77211.31"/>
    <n v="0"/>
    <n v="570517.01"/>
    <s v="Cancelled"/>
    <s v="Pending"/>
  </r>
  <r>
    <s v="INV-2026-00910"/>
    <x v="27"/>
    <s v="East"/>
    <s v="Kolkata"/>
    <s v="Distributor"/>
    <s v="Rajesh Verma"/>
    <s v="Global Traders"/>
    <x v="0"/>
    <s v="Desk Organizer"/>
    <n v="47"/>
    <n v="19169.52"/>
    <n v="900967.44"/>
    <n v="0"/>
    <n v="121262.25"/>
    <n v="779705.19"/>
    <s v="Pending"/>
    <s v="Paid"/>
  </r>
  <r>
    <s v="INV-2026-00911"/>
    <x v="75"/>
    <s v="West"/>
    <s v="Ahmedabad"/>
    <s v="Online"/>
    <s v="Kavita Nair"/>
    <s v="Elite Enterprises"/>
    <x v="2"/>
    <s v="Tennis Racket"/>
    <n v="50"/>
    <n v="25450.15"/>
    <n v="1272507.5"/>
    <n v="236027.29"/>
    <n v="0"/>
    <n v="1036480.21"/>
    <s v="Pending"/>
    <s v="Pending"/>
  </r>
  <r>
    <s v="INV-2026-00912"/>
    <x v="79"/>
    <s v="North"/>
    <s v="Lucknow"/>
    <s v="Retail Store"/>
    <s v="Rahul Sharma"/>
    <s v="Digital Hub"/>
    <x v="1"/>
    <s v="Bookshelf"/>
    <n v="22"/>
    <n v="7472.59"/>
    <n v="164396.98000000001"/>
    <n v="14634.64"/>
    <n v="0"/>
    <n v="149762.34"/>
    <s v="Cancelled"/>
    <s v="Pending"/>
  </r>
  <r>
    <s v="INV-2026-00913"/>
    <x v="51"/>
    <s v="West"/>
    <s v="Pune"/>
    <s v="Direct Sales"/>
    <s v="Vijay Singh"/>
    <s v="XYZ Ltd"/>
    <x v="4"/>
    <s v="Jeans"/>
    <n v="35"/>
    <n v="24386.75"/>
    <n v="853536.25"/>
    <n v="103614.74"/>
    <n v="18405.12"/>
    <n v="731516.39"/>
    <s v="Processing"/>
    <s v="Pending"/>
  </r>
  <r>
    <s v="INV-2026-00914"/>
    <x v="72"/>
    <s v="West"/>
    <s v="Pune"/>
    <s v="Retail Store"/>
    <s v="Anita Desai"/>
    <s v="Smart Systems"/>
    <x v="4"/>
    <s v="Jeans"/>
    <n v="29"/>
    <n v="41900.26"/>
    <n v="1215107.54"/>
    <n v="131472.03"/>
    <n v="264051.33"/>
    <n v="819584.18"/>
    <s v="Pending"/>
    <s v="Paid"/>
  </r>
  <r>
    <s v="INV-2026-00915"/>
    <x v="8"/>
    <s v="East"/>
    <s v="Guwahati"/>
    <s v="Distributor"/>
    <s v="Kavita Nair"/>
    <s v="Omega Stores"/>
    <x v="3"/>
    <s v="Laptop"/>
    <n v="42"/>
    <n v="20589.169999999998"/>
    <n v="864745.14"/>
    <n v="0"/>
    <n v="0"/>
    <n v="864745.14"/>
    <s v="Processing"/>
    <s v="Pending"/>
  </r>
  <r>
    <s v="INV-2026-00916"/>
    <x v="90"/>
    <s v="Central"/>
    <s v="Nagpur"/>
    <s v="Online"/>
    <s v="Rahul Sharma"/>
    <s v="Tech Solutions"/>
    <x v="3"/>
    <s v="Smart Watch"/>
    <n v="41"/>
    <n v="46078.68"/>
    <n v="1889225.88"/>
    <n v="0"/>
    <n v="0"/>
    <n v="1889225.88"/>
    <s v="Pending"/>
    <s v="Pending"/>
  </r>
  <r>
    <s v="INV-2026-00917"/>
    <x v="59"/>
    <s v="East"/>
    <s v="Patna"/>
    <s v="Direct Sales"/>
    <s v="Anita Desai"/>
    <s v="Skyline Corp"/>
    <x v="5"/>
    <s v="TV"/>
    <n v="31"/>
    <n v="12356.66"/>
    <n v="383056.46"/>
    <n v="19365.240000000002"/>
    <n v="0"/>
    <n v="363691.22"/>
    <s v="Completed"/>
    <s v="Paid"/>
  </r>
  <r>
    <s v="INV-2026-00918"/>
    <x v="56"/>
    <s v="East"/>
    <s v="Kolkata"/>
    <s v="Distributor"/>
    <s v="Anita Desai"/>
    <s v="Nexus Ltd"/>
    <x v="5"/>
    <s v="Air Conditioner"/>
    <n v="47"/>
    <n v="19213.849999999999"/>
    <n v="903050.95"/>
    <n v="156716.78"/>
    <n v="0"/>
    <n v="746334.17"/>
    <s v="Cancelled"/>
    <s v="Pending"/>
  </r>
  <r>
    <s v="INV-2026-00919"/>
    <x v="51"/>
    <s v="East"/>
    <s v="Kolkata"/>
    <s v="Online"/>
    <s v="Anita Desai"/>
    <s v="XYZ Ltd"/>
    <x v="4"/>
    <s v="Dress"/>
    <n v="1"/>
    <n v="24146.49"/>
    <n v="24146.49"/>
    <n v="601.73"/>
    <n v="0"/>
    <n v="23544.76"/>
    <s v="Completed"/>
    <s v="Paid"/>
  </r>
  <r>
    <s v="INV-2026-00920"/>
    <x v="45"/>
    <s v="East"/>
    <s v="Kolkata"/>
    <s v="Online"/>
    <s v="Sneha Reddy"/>
    <s v="Elite Enterprises"/>
    <x v="4"/>
    <s v="Jeans"/>
    <n v="11"/>
    <n v="3527.23"/>
    <n v="38799.53"/>
    <n v="0"/>
    <n v="0"/>
    <n v="38799.53"/>
    <s v="Completed"/>
    <s v="Paid"/>
  </r>
  <r>
    <s v="INV-2026-00921"/>
    <x v="47"/>
    <s v="East"/>
    <s v="Guwahati"/>
    <s v="Online"/>
    <s v="Rahul Sharma"/>
    <s v="Future Tech"/>
    <x v="3"/>
    <s v="Tablet"/>
    <n v="15"/>
    <n v="13439.86"/>
    <n v="201597.9"/>
    <n v="19023.79"/>
    <n v="0"/>
    <n v="182574.11"/>
    <s v="Processing"/>
    <s v="Pending"/>
  </r>
  <r>
    <s v="INV-2026-00922"/>
    <x v="23"/>
    <s v="Central"/>
    <s v="Bhopal"/>
    <s v="Retail Store"/>
    <s v="Sneha Reddy"/>
    <s v="Future Tech"/>
    <x v="5"/>
    <s v="Washing Machine"/>
    <n v="15"/>
    <n v="49773.62"/>
    <n v="746604.3"/>
    <n v="52754.29"/>
    <n v="0"/>
    <n v="693850.01"/>
    <s v="Completed"/>
    <s v="Paid"/>
  </r>
  <r>
    <s v="INV-2026-00923"/>
    <x v="27"/>
    <s v="North"/>
    <s v="Lucknow"/>
    <s v="Online"/>
    <s v="Suresh Gupta"/>
    <s v="Skyline Corp"/>
    <x v="5"/>
    <s v="Washing Machine"/>
    <n v="22"/>
    <n v="20869.39"/>
    <n v="459126.58"/>
    <n v="87929.95"/>
    <n v="0"/>
    <n v="371196.63"/>
    <s v="Completed"/>
    <s v="Paid"/>
  </r>
  <r>
    <s v="INV-2026-00924"/>
    <x v="69"/>
    <s v="East"/>
    <s v="Kolkata"/>
    <s v="Distributor"/>
    <s v="Priya Patel"/>
    <s v="Skyline Corp"/>
    <x v="5"/>
    <s v="TV"/>
    <n v="28"/>
    <n v="785.39"/>
    <n v="21990.92"/>
    <n v="0"/>
    <n v="0"/>
    <n v="21990.92"/>
    <s v="Completed"/>
    <s v="Paid"/>
  </r>
  <r>
    <s v="INV-2026-00925"/>
    <x v="44"/>
    <s v="North"/>
    <s v="Chandigarh"/>
    <s v="Direct Sales"/>
    <s v="Anita Desai"/>
    <s v="Digital Hub"/>
    <x v="2"/>
    <s v="Football"/>
    <n v="5"/>
    <n v="31179.8"/>
    <n v="155899"/>
    <n v="0"/>
    <n v="0"/>
    <n v="155899"/>
    <s v="Completed"/>
    <s v="Paid"/>
  </r>
  <r>
    <s v="INV-2026-00926"/>
    <x v="32"/>
    <s v="South"/>
    <s v="Bangalore"/>
    <s v="Online"/>
    <s v="Amit Kumar"/>
    <s v="Prime Retail"/>
    <x v="4"/>
    <s v="Jeans"/>
    <n v="8"/>
    <n v="13348.74"/>
    <n v="106789.92"/>
    <n v="4551.3500000000004"/>
    <n v="0"/>
    <n v="102238.57"/>
    <s v="Pending"/>
    <s v="Pending"/>
  </r>
  <r>
    <s v="INV-2026-00927"/>
    <x v="1"/>
    <s v="North"/>
    <s v="Delhi"/>
    <s v="Retail Store"/>
    <s v="Suresh Gupta"/>
    <s v="Digital Hub"/>
    <x v="2"/>
    <s v="Bicycle"/>
    <n v="32"/>
    <n v="6746.13"/>
    <n v="215876.16"/>
    <n v="2863.85"/>
    <n v="0"/>
    <n v="213012.31"/>
    <s v="Pending"/>
    <s v="Paid"/>
  </r>
  <r>
    <s v="INV-2026-00928"/>
    <x v="46"/>
    <s v="Central"/>
    <s v="Nagpur"/>
    <s v="Distributor"/>
    <s v="Anita Desai"/>
    <s v="Metro Mart"/>
    <x v="0"/>
    <s v="Whiteboard"/>
    <n v="3"/>
    <n v="42065.74"/>
    <n v="126197.22"/>
    <n v="0"/>
    <n v="0"/>
    <n v="126197.22"/>
    <s v="Processing"/>
    <s v="Paid"/>
  </r>
  <r>
    <s v="INV-2026-00929"/>
    <x v="89"/>
    <s v="North"/>
    <s v="Chandigarh"/>
    <s v="Retail Store"/>
    <s v="Suresh Gupta"/>
    <s v="Digital Hub"/>
    <x v="5"/>
    <s v="TV"/>
    <n v="27"/>
    <n v="41607.410000000003"/>
    <n v="1123400.07"/>
    <n v="0"/>
    <n v="0"/>
    <n v="1123400.07"/>
    <s v="Cancelled"/>
    <s v="Pending"/>
  </r>
  <r>
    <s v="INV-2026-00930"/>
    <x v="30"/>
    <s v="West"/>
    <s v="Surat"/>
    <s v="Direct Sales"/>
    <s v="Anita Desai"/>
    <s v="ABC Corp"/>
    <x v="5"/>
    <s v="Refrigerator"/>
    <n v="34"/>
    <n v="45251.11"/>
    <n v="1538537.74"/>
    <n v="106481.3"/>
    <n v="0"/>
    <n v="1432056.44"/>
    <s v="Pending"/>
    <s v="Pending"/>
  </r>
  <r>
    <s v="INV-2026-00931"/>
    <x v="6"/>
    <s v="East"/>
    <s v="Kolkata"/>
    <s v="Direct Sales"/>
    <s v="Suresh Gupta"/>
    <s v="Future Tech"/>
    <x v="4"/>
    <s v="T-Shirt"/>
    <n v="41"/>
    <n v="41273.96"/>
    <n v="1692232.36"/>
    <n v="328342.17"/>
    <n v="87368.07"/>
    <n v="1276522.1200000001"/>
    <s v="Completed"/>
    <s v="Paid"/>
  </r>
  <r>
    <s v="INV-2026-00932"/>
    <x v="40"/>
    <s v="East"/>
    <s v="Patna"/>
    <s v="Retail Store"/>
    <s v="Sneha Reddy"/>
    <s v="ABC Corp"/>
    <x v="1"/>
    <s v="Bookshelf"/>
    <n v="36"/>
    <n v="23280.720000000001"/>
    <n v="838105.92"/>
    <n v="0"/>
    <n v="0"/>
    <n v="838105.92"/>
    <s v="Processing"/>
    <s v="Pending"/>
  </r>
  <r>
    <s v="INV-2026-00933"/>
    <x v="21"/>
    <s v="North"/>
    <s v="Lucknow"/>
    <s v="Direct Sales"/>
    <s v="Rahul Sharma"/>
    <s v="ABC Corp"/>
    <x v="0"/>
    <s v="File Folder"/>
    <n v="36"/>
    <n v="10146.879999999999"/>
    <n v="365287.67999999999"/>
    <n v="45460.76"/>
    <n v="0"/>
    <n v="319826.92"/>
    <s v="Pending"/>
    <s v="Pending"/>
  </r>
  <r>
    <s v="INV-2026-00934"/>
    <x v="5"/>
    <s v="Central"/>
    <s v="Bhopal"/>
    <s v="Distributor"/>
    <s v="Vijay Singh"/>
    <s v="Elite Enterprises"/>
    <x v="3"/>
    <s v="Camera"/>
    <n v="48"/>
    <n v="17944.78"/>
    <n v="861349.44"/>
    <n v="0"/>
    <n v="0"/>
    <n v="861349.44"/>
    <s v="Processing"/>
    <s v="Pending"/>
  </r>
  <r>
    <s v="INV-2026-00935"/>
    <x v="38"/>
    <s v="South"/>
    <s v="Chennai"/>
    <s v="Distributor"/>
    <s v="Rajesh Verma"/>
    <s v="Alpha Trading"/>
    <x v="4"/>
    <s v="Jeans"/>
    <n v="9"/>
    <n v="29199.91"/>
    <n v="262799.19"/>
    <n v="0"/>
    <n v="0"/>
    <n v="262799.19"/>
    <s v="Completed"/>
    <s v="Pending"/>
  </r>
  <r>
    <s v="INV-2026-00936"/>
    <x v="81"/>
    <s v="North"/>
    <s v="Chandigarh"/>
    <s v="Retail Store"/>
    <s v="Sneha Reddy"/>
    <s v="Smart Systems"/>
    <x v="1"/>
    <s v="Office Chair"/>
    <n v="43"/>
    <n v="49350.31"/>
    <n v="2122063.33"/>
    <n v="83110.3"/>
    <n v="0"/>
    <n v="2038953.03"/>
    <s v="Pending"/>
    <s v="Pending"/>
  </r>
  <r>
    <s v="INV-2026-00937"/>
    <x v="83"/>
    <s v="South"/>
    <s v="Hyderabad"/>
    <s v="Online"/>
    <s v="Kavita Nair"/>
    <s v="Nexus Ltd"/>
    <x v="3"/>
    <s v="Camera"/>
    <n v="9"/>
    <n v="15487.68"/>
    <n v="139389.12"/>
    <n v="7359.12"/>
    <n v="0"/>
    <n v="132030"/>
    <s v="Processing"/>
    <s v="Pending"/>
  </r>
  <r>
    <s v="INV-2026-00938"/>
    <x v="19"/>
    <s v="Central"/>
    <s v="Indore"/>
    <s v="Direct Sales"/>
    <s v="Meera Joshi"/>
    <s v="Metro Mart"/>
    <x v="0"/>
    <s v="Desk Organizer"/>
    <n v="17"/>
    <n v="9974.34"/>
    <n v="169563.78"/>
    <n v="0"/>
    <n v="0"/>
    <n v="169563.78"/>
    <s v="Pending"/>
    <s v="Paid"/>
  </r>
  <r>
    <s v="INV-2026-00939"/>
    <x v="50"/>
    <s v="West"/>
    <s v="Pune"/>
    <s v="Online"/>
    <s v="Vijay Singh"/>
    <s v="Omega Stores"/>
    <x v="4"/>
    <s v="T-Shirt"/>
    <n v="47"/>
    <n v="32507.3"/>
    <n v="1527843.1"/>
    <n v="0"/>
    <n v="0"/>
    <n v="1527843.1"/>
    <s v="Completed"/>
    <s v="Overdue"/>
  </r>
  <r>
    <s v="INV-2026-00940"/>
    <x v="58"/>
    <s v="Central"/>
    <s v="Nagpur"/>
    <s v="Retail Store"/>
    <s v="Priya Patel"/>
    <s v="Prime Retail"/>
    <x v="0"/>
    <s v="Printer Paper"/>
    <n v="44"/>
    <n v="6782.06"/>
    <n v="298410.64"/>
    <n v="0"/>
    <n v="0"/>
    <n v="298410.64"/>
    <s v="Cancelled"/>
    <s v="Pending"/>
  </r>
  <r>
    <s v="INV-2026-00941"/>
    <x v="41"/>
    <s v="West"/>
    <s v="Mumbai"/>
    <s v="Online"/>
    <s v="Suresh Gupta"/>
    <s v="Tech Solutions"/>
    <x v="1"/>
    <s v="Office Chair"/>
    <n v="29"/>
    <n v="6010.84"/>
    <n v="174314.36"/>
    <n v="0"/>
    <n v="0"/>
    <n v="174314.36"/>
    <s v="Processing"/>
    <s v="Paid"/>
  </r>
  <r>
    <s v="INV-2026-00942"/>
    <x v="3"/>
    <s v="East"/>
    <s v="Kolkata"/>
    <s v="Distributor"/>
    <s v="Anita Desai"/>
    <s v="Alpha Trading"/>
    <x v="0"/>
    <s v="File Folder"/>
    <n v="25"/>
    <n v="36037.19"/>
    <n v="900929.75"/>
    <n v="0"/>
    <n v="0"/>
    <n v="900929.75"/>
    <s v="Processing"/>
    <s v="Pending"/>
  </r>
  <r>
    <s v="INV-2026-00943"/>
    <x v="24"/>
    <s v="North"/>
    <s v="Delhi"/>
    <s v="Online"/>
    <s v="Rajesh Verma"/>
    <s v="Tech Solutions"/>
    <x v="5"/>
    <s v="Air Conditioner"/>
    <n v="43"/>
    <n v="10079.17"/>
    <n v="433404.31"/>
    <n v="0"/>
    <n v="0"/>
    <n v="433404.31"/>
    <s v="Cancelled"/>
    <s v="Pending"/>
  </r>
  <r>
    <s v="INV-2026-00944"/>
    <x v="31"/>
    <s v="East"/>
    <s v="Bhubaneswar"/>
    <s v="Online"/>
    <s v="Rahul Sharma"/>
    <s v="Omega Stores"/>
    <x v="4"/>
    <s v="Shoes"/>
    <n v="31"/>
    <n v="48047.23"/>
    <n v="1489464.13"/>
    <n v="122363.86"/>
    <n v="0"/>
    <n v="1367100.27"/>
    <s v="Pending"/>
    <s v="Paid"/>
  </r>
  <r>
    <s v="INV-2026-00945"/>
    <x v="10"/>
    <s v="West"/>
    <s v="Ahmedabad"/>
    <s v="Online"/>
    <s v="Anita Desai"/>
    <s v="Smart Systems"/>
    <x v="2"/>
    <s v="Football"/>
    <n v="40"/>
    <n v="47920.2"/>
    <n v="1916808"/>
    <n v="0"/>
    <n v="0"/>
    <n v="1916808"/>
    <s v="Pending"/>
    <s v="Pending"/>
  </r>
  <r>
    <s v="INV-2026-00946"/>
    <x v="82"/>
    <s v="East"/>
    <s v="Patna"/>
    <s v="Direct Sales"/>
    <s v="Meera Joshi"/>
    <s v="Metro Mart"/>
    <x v="3"/>
    <s v="Tablet"/>
    <n v="43"/>
    <n v="48037.41"/>
    <n v="2065608.63"/>
    <n v="236234.91"/>
    <n v="0"/>
    <n v="1829373.72"/>
    <s v="Processing"/>
    <s v="Pending"/>
  </r>
  <r>
    <s v="INV-2026-00947"/>
    <x v="86"/>
    <s v="Central"/>
    <s v="Nagpur"/>
    <s v="Online"/>
    <s v="Suresh Gupta"/>
    <s v="Urban Store"/>
    <x v="5"/>
    <s v="Vacuum Cleaner"/>
    <n v="38"/>
    <n v="27622.02"/>
    <n v="1049636.76"/>
    <n v="183513.53"/>
    <n v="0"/>
    <n v="866123.23"/>
    <s v="Completed"/>
    <s v="Paid"/>
  </r>
  <r>
    <s v="INV-2026-00948"/>
    <x v="75"/>
    <s v="West"/>
    <s v="Surat"/>
    <s v="Direct Sales"/>
    <s v="Rahul Sharma"/>
    <s v="Urban Store"/>
    <x v="1"/>
    <s v="Sofa"/>
    <n v="24"/>
    <n v="3366.03"/>
    <n v="80784.72"/>
    <n v="11930.86"/>
    <n v="0"/>
    <n v="68853.86"/>
    <s v="Processing"/>
    <s v="Pending"/>
  </r>
  <r>
    <s v="INV-2026-00949"/>
    <x v="41"/>
    <s v="Central"/>
    <s v="Raipur"/>
    <s v="Online"/>
    <s v="Sneha Reddy"/>
    <s v="Nexus Ltd"/>
    <x v="0"/>
    <s v="Desk Organizer"/>
    <n v="38"/>
    <n v="45879.82"/>
    <n v="1743433.16"/>
    <n v="316945.15999999997"/>
    <n v="0"/>
    <n v="1426488"/>
    <s v="Pending"/>
    <s v="Pending"/>
  </r>
  <r>
    <s v="INV-2026-00950"/>
    <x v="15"/>
    <s v="South"/>
    <s v="Chennai"/>
    <s v="Online"/>
    <s v="Rajesh Verma"/>
    <s v="Metro Mart"/>
    <x v="1"/>
    <s v="Desk"/>
    <n v="23"/>
    <n v="36302.6"/>
    <n v="834959.8"/>
    <n v="34417.14"/>
    <n v="0"/>
    <n v="800542.66"/>
    <s v="Cancelled"/>
    <s v="Pending"/>
  </r>
  <r>
    <s v="INV-2026-00951"/>
    <x v="5"/>
    <s v="East"/>
    <s v="Patna"/>
    <s v="Distributor"/>
    <s v="Amit Kumar"/>
    <s v="Tech Solutions"/>
    <x v="2"/>
    <s v="Yoga Mat"/>
    <n v="39"/>
    <n v="14676.82"/>
    <n v="572395.98"/>
    <n v="108811.34"/>
    <n v="0"/>
    <n v="463584.64"/>
    <s v="Completed"/>
    <s v="Paid"/>
  </r>
  <r>
    <s v="INV-2026-00952"/>
    <x v="62"/>
    <s v="Central"/>
    <s v="Raipur"/>
    <s v="Online"/>
    <s v="Kavita Nair"/>
    <s v="Skyline Corp"/>
    <x v="1"/>
    <s v="Sofa"/>
    <n v="48"/>
    <n v="46384.68"/>
    <n v="2226464.64"/>
    <n v="220529.82"/>
    <n v="0"/>
    <n v="2005934.82"/>
    <s v="Completed"/>
    <s v="Paid"/>
  </r>
  <r>
    <s v="INV-2026-00953"/>
    <x v="88"/>
    <s v="East"/>
    <s v="Bhubaneswar"/>
    <s v="Direct Sales"/>
    <s v="Suresh Gupta"/>
    <s v="Skyline Corp"/>
    <x v="1"/>
    <s v="Office Chair"/>
    <n v="42"/>
    <n v="686.61"/>
    <n v="28837.62"/>
    <n v="136.1"/>
    <n v="0"/>
    <n v="28701.52"/>
    <s v="Processing"/>
    <s v="Pending"/>
  </r>
  <r>
    <s v="INV-2026-00954"/>
    <x v="71"/>
    <s v="West"/>
    <s v="Mumbai"/>
    <s v="Distributor"/>
    <s v="Sneha Reddy"/>
    <s v="Metro Mart"/>
    <x v="3"/>
    <s v="Laptop"/>
    <n v="8"/>
    <n v="38238.28"/>
    <n v="305906.24"/>
    <n v="5345.02"/>
    <n v="0"/>
    <n v="300561.21999999997"/>
    <s v="Completed"/>
    <s v="Paid"/>
  </r>
  <r>
    <s v="INV-2026-00955"/>
    <x v="13"/>
    <s v="South"/>
    <s v="Bangalore"/>
    <s v="Online"/>
    <s v="Amit Kumar"/>
    <s v="Elite Enterprises"/>
    <x v="0"/>
    <s v="Notebook"/>
    <n v="10"/>
    <n v="39364.42"/>
    <n v="393644.2"/>
    <n v="28174.85"/>
    <n v="71636.5"/>
    <n v="293832.84999999998"/>
    <s v="Pending"/>
    <s v="Pending"/>
  </r>
  <r>
    <s v="INV-2026-00956"/>
    <x v="69"/>
    <s v="Central"/>
    <s v="Bhopal"/>
    <s v="Distributor"/>
    <s v="Suresh Gupta"/>
    <s v="Skyline Corp"/>
    <x v="2"/>
    <s v="Football"/>
    <n v="13"/>
    <n v="20768.25"/>
    <n v="269987.25"/>
    <n v="22187.16"/>
    <n v="0"/>
    <n v="247800.09"/>
    <s v="Completed"/>
    <s v="Overdue"/>
  </r>
  <r>
    <s v="INV-2026-00957"/>
    <x v="89"/>
    <s v="South"/>
    <s v="Chennai"/>
    <s v="Distributor"/>
    <s v="Anita Desai"/>
    <s v="Omega Stores"/>
    <x v="4"/>
    <s v="T-Shirt"/>
    <n v="1"/>
    <n v="18518.91"/>
    <n v="18518.91"/>
    <n v="0"/>
    <n v="0"/>
    <n v="18518.91"/>
    <s v="Completed"/>
    <s v="Paid"/>
  </r>
  <r>
    <s v="INV-2026-00958"/>
    <x v="46"/>
    <s v="North"/>
    <s v="Chandigarh"/>
    <s v="Distributor"/>
    <s v="Rahul Sharma"/>
    <s v="Digital Hub"/>
    <x v="5"/>
    <s v="Microwave"/>
    <n v="5"/>
    <n v="1320.94"/>
    <n v="6604.7"/>
    <n v="456.22"/>
    <n v="509.38"/>
    <n v="5639.1"/>
    <s v="Completed"/>
    <s v="Paid"/>
  </r>
  <r>
    <s v="INV-2026-00959"/>
    <x v="72"/>
    <s v="East"/>
    <s v="Kolkata"/>
    <s v="Distributor"/>
    <s v="Rajesh Verma"/>
    <s v="Skyline Corp"/>
    <x v="5"/>
    <s v="Refrigerator"/>
    <n v="24"/>
    <n v="15386.5"/>
    <n v="369276"/>
    <n v="52922.62"/>
    <n v="0"/>
    <n v="316353.38"/>
    <s v="Pending"/>
    <s v="Pending"/>
  </r>
  <r>
    <s v="INV-2026-00960"/>
    <x v="91"/>
    <s v="East"/>
    <s v="Kolkata"/>
    <s v="Direct Sales"/>
    <s v="Amit Kumar"/>
    <s v="Prime Retail"/>
    <x v="2"/>
    <s v="Football"/>
    <n v="43"/>
    <n v="18597.439999999999"/>
    <n v="799689.92"/>
    <n v="0"/>
    <n v="4095.57"/>
    <n v="795594.35"/>
    <s v="Cancelled"/>
    <s v="Pending"/>
  </r>
  <r>
    <s v="INV-2026-00961"/>
    <x v="80"/>
    <s v="East"/>
    <s v="Bhubaneswar"/>
    <s v="Direct Sales"/>
    <s v="Amit Kumar"/>
    <s v="Metro Mart"/>
    <x v="4"/>
    <s v="Jacket"/>
    <n v="42"/>
    <n v="47007.53"/>
    <n v="1974316.26"/>
    <n v="0"/>
    <n v="0"/>
    <n v="1974316.26"/>
    <s v="Completed"/>
    <s v="Pending"/>
  </r>
  <r>
    <s v="INV-2026-00962"/>
    <x v="54"/>
    <s v="Central"/>
    <s v="Nagpur"/>
    <s v="Online"/>
    <s v="Sneha Reddy"/>
    <s v="Prime Retail"/>
    <x v="0"/>
    <s v="Pen Set"/>
    <n v="9"/>
    <n v="47580.62"/>
    <n v="428225.58"/>
    <n v="0"/>
    <n v="0"/>
    <n v="428225.58"/>
    <s v="Processing"/>
    <s v="Pending"/>
  </r>
  <r>
    <s v="INV-2026-00963"/>
    <x v="64"/>
    <s v="Central"/>
    <s v="Bhopal"/>
    <s v="Distributor"/>
    <s v="Sneha Reddy"/>
    <s v="Future Tech"/>
    <x v="4"/>
    <s v="Jacket"/>
    <n v="3"/>
    <n v="26469.97"/>
    <n v="79409.91"/>
    <n v="8602.19"/>
    <n v="0"/>
    <n v="70807.72"/>
    <s v="Processing"/>
    <s v="Pending"/>
  </r>
  <r>
    <s v="INV-2026-00964"/>
    <x v="38"/>
    <s v="South"/>
    <s v="Kochi"/>
    <s v="Online"/>
    <s v="Sneha Reddy"/>
    <s v="Global Traders"/>
    <x v="2"/>
    <s v="Tennis Racket"/>
    <n v="19"/>
    <n v="39419.120000000003"/>
    <n v="748963.28"/>
    <n v="123350.77"/>
    <n v="0"/>
    <n v="625612.51"/>
    <s v="Completed"/>
    <s v="Paid"/>
  </r>
  <r>
    <s v="INV-2026-00965"/>
    <x v="88"/>
    <s v="West"/>
    <s v="Pune"/>
    <s v="Online"/>
    <s v="Suresh Gupta"/>
    <s v="Digital Hub"/>
    <x v="0"/>
    <s v="Whiteboard"/>
    <n v="1"/>
    <n v="35402.160000000003"/>
    <n v="35402.160000000003"/>
    <n v="4109.47"/>
    <n v="0"/>
    <n v="31292.69"/>
    <s v="Processing"/>
    <s v="Pending"/>
  </r>
  <r>
    <s v="INV-2026-00966"/>
    <x v="44"/>
    <s v="Central"/>
    <s v="Bhopal"/>
    <s v="Online"/>
    <s v="Rajesh Verma"/>
    <s v="Nexus Ltd"/>
    <x v="0"/>
    <s v="Notebook"/>
    <n v="27"/>
    <n v="19712.27"/>
    <n v="532231.29"/>
    <n v="0"/>
    <n v="0"/>
    <n v="532231.29"/>
    <s v="Pending"/>
    <s v="Paid"/>
  </r>
  <r>
    <s v="INV-2026-00967"/>
    <x v="7"/>
    <s v="Central"/>
    <s v="Nagpur"/>
    <s v="Distributor"/>
    <s v="Meera Joshi"/>
    <s v="Elite Enterprises"/>
    <x v="3"/>
    <s v="Smartphone"/>
    <n v="50"/>
    <n v="19998.82"/>
    <n v="999941"/>
    <n v="8051.69"/>
    <n v="58361.77"/>
    <n v="933527.54"/>
    <s v="Cancelled"/>
    <s v="Pending"/>
  </r>
  <r>
    <s v="INV-2026-00968"/>
    <x v="81"/>
    <s v="Central"/>
    <s v="Indore"/>
    <s v="Distributor"/>
    <s v="Rajesh Verma"/>
    <s v="Metro Mart"/>
    <x v="2"/>
    <s v="Tennis Racket"/>
    <n v="19"/>
    <n v="43209.94"/>
    <n v="820988.86"/>
    <n v="0"/>
    <n v="129020.55"/>
    <n v="691968.31"/>
    <s v="Processing"/>
    <s v="Pending"/>
  </r>
  <r>
    <s v="INV-2026-00969"/>
    <x v="14"/>
    <s v="North"/>
    <s v="Lucknow"/>
    <s v="Retail Store"/>
    <s v="Anita Desai"/>
    <s v="Urban Store"/>
    <x v="4"/>
    <s v="Jacket"/>
    <n v="19"/>
    <n v="42630.21"/>
    <n v="809973.99"/>
    <n v="138639.94"/>
    <n v="0"/>
    <n v="671334.05"/>
    <s v="Completed"/>
    <s v="Paid"/>
  </r>
  <r>
    <s v="INV-2026-00970"/>
    <x v="11"/>
    <s v="North"/>
    <s v="Lucknow"/>
    <s v="Direct Sales"/>
    <s v="Sneha Reddy"/>
    <s v="Elite Enterprises"/>
    <x v="4"/>
    <s v="Formal Shirt"/>
    <n v="17"/>
    <n v="38977.42"/>
    <n v="662616.14"/>
    <n v="0"/>
    <n v="0"/>
    <n v="662616.14"/>
    <s v="Pending"/>
    <s v="Pending"/>
  </r>
  <r>
    <s v="INV-2026-00971"/>
    <x v="35"/>
    <s v="Central"/>
    <s v="Raipur"/>
    <s v="Online"/>
    <s v="Meera Joshi"/>
    <s v="Omega Stores"/>
    <x v="3"/>
    <s v="Smart Watch"/>
    <n v="31"/>
    <n v="27671.02"/>
    <n v="857801.62"/>
    <n v="0"/>
    <n v="0"/>
    <n v="857801.62"/>
    <s v="Pending"/>
    <s v="Paid"/>
  </r>
  <r>
    <s v="INV-2026-00972"/>
    <x v="77"/>
    <s v="Central"/>
    <s v="Nagpur"/>
    <s v="Direct Sales"/>
    <s v="Rajesh Verma"/>
    <s v="Tech Solutions"/>
    <x v="0"/>
    <s v="File Folder"/>
    <n v="34"/>
    <n v="25915.39"/>
    <n v="881123.26"/>
    <n v="0"/>
    <n v="166946.56"/>
    <n v="714176.7"/>
    <s v="Pending"/>
    <s v="Pending"/>
  </r>
  <r>
    <s v="INV-2026-00973"/>
    <x v="36"/>
    <s v="North"/>
    <s v="Delhi"/>
    <s v="Direct Sales"/>
    <s v="Vijay Singh"/>
    <s v="ABC Corp"/>
    <x v="5"/>
    <s v="Washing Machine"/>
    <n v="50"/>
    <n v="48541.82"/>
    <n v="2427091"/>
    <n v="0"/>
    <n v="5830.8"/>
    <n v="2421260.2000000002"/>
    <s v="Cancelled"/>
    <s v="Pending"/>
  </r>
  <r>
    <s v="INV-2026-00974"/>
    <x v="43"/>
    <s v="West"/>
    <s v="Surat"/>
    <s v="Distributor"/>
    <s v="Anita Desai"/>
    <s v="Metro Mart"/>
    <x v="5"/>
    <s v="Air Conditioner"/>
    <n v="13"/>
    <n v="14106.7"/>
    <n v="183387.1"/>
    <n v="4148.12"/>
    <n v="0"/>
    <n v="179238.98"/>
    <s v="Pending"/>
    <s v="Pending"/>
  </r>
  <r>
    <s v="INV-2026-00975"/>
    <x v="54"/>
    <s v="East"/>
    <s v="Kolkata"/>
    <s v="Retail Store"/>
    <s v="Suresh Gupta"/>
    <s v="Digital Hub"/>
    <x v="2"/>
    <s v="Yoga Mat"/>
    <n v="33"/>
    <n v="4681.96"/>
    <n v="154504.68"/>
    <n v="3280.3"/>
    <n v="0"/>
    <n v="151224.38"/>
    <s v="Pending"/>
    <s v="Pending"/>
  </r>
  <r>
    <s v="INV-2026-00976"/>
    <x v="81"/>
    <s v="North"/>
    <s v="Delhi"/>
    <s v="Retail Store"/>
    <s v="Suresh Gupta"/>
    <s v="XYZ Ltd"/>
    <x v="0"/>
    <s v="Whiteboard"/>
    <n v="27"/>
    <n v="39982.07"/>
    <n v="1079515.8899999999"/>
    <n v="54371.79"/>
    <n v="314400.03000000003"/>
    <n v="710744.07"/>
    <s v="Pending"/>
    <s v="Pending"/>
  </r>
  <r>
    <s v="INV-2026-00977"/>
    <x v="32"/>
    <s v="West"/>
    <s v="Mumbai"/>
    <s v="Online"/>
    <s v="Anita Desai"/>
    <s v="Tech Solutions"/>
    <x v="4"/>
    <s v="Dress"/>
    <n v="17"/>
    <n v="35156.07"/>
    <n v="597653.18999999994"/>
    <n v="109098.03"/>
    <n v="0"/>
    <n v="488555.16"/>
    <s v="Completed"/>
    <s v="Paid"/>
  </r>
  <r>
    <s v="INV-2026-00978"/>
    <x v="23"/>
    <s v="North"/>
    <s v="Lucknow"/>
    <s v="Online"/>
    <s v="Vijay Singh"/>
    <s v="Global Traders"/>
    <x v="0"/>
    <s v="Whiteboard"/>
    <n v="41"/>
    <n v="32619.46"/>
    <n v="1337397.8600000001"/>
    <n v="34911.86"/>
    <n v="0"/>
    <n v="1302486"/>
    <s v="Completed"/>
    <s v="Paid"/>
  </r>
  <r>
    <s v="INV-2026-00979"/>
    <x v="69"/>
    <s v="West"/>
    <s v="Ahmedabad"/>
    <s v="Online"/>
    <s v="Kavita Nair"/>
    <s v="Global Traders"/>
    <x v="1"/>
    <s v="Bookshelf"/>
    <n v="26"/>
    <n v="47406.45"/>
    <n v="1232567.7"/>
    <n v="203023.99"/>
    <n v="267769.46999999997"/>
    <n v="761774.24"/>
    <s v="Completed"/>
    <s v="Paid"/>
  </r>
  <r>
    <s v="INV-2026-00980"/>
    <x v="56"/>
    <s v="South"/>
    <s v="Chennai"/>
    <s v="Online"/>
    <s v="Meera Joshi"/>
    <s v="Nexus Ltd"/>
    <x v="4"/>
    <s v="T-Shirt"/>
    <n v="39"/>
    <n v="9487.76"/>
    <n v="370022.64"/>
    <n v="10226.780000000001"/>
    <n v="80954.070000000007"/>
    <n v="278841.78999999998"/>
    <s v="Completed"/>
    <s v="Paid"/>
  </r>
  <r>
    <s v="INV-2026-00981"/>
    <x v="5"/>
    <s v="Central"/>
    <s v="Nagpur"/>
    <s v="Online"/>
    <s v="Sneha Reddy"/>
    <s v="Metro Mart"/>
    <x v="5"/>
    <s v="TV"/>
    <n v="50"/>
    <n v="43829.08"/>
    <n v="2191454"/>
    <n v="0"/>
    <n v="0"/>
    <n v="2191454"/>
    <s v="Processing"/>
    <s v="Paid"/>
  </r>
  <r>
    <s v="INV-2026-00982"/>
    <x v="7"/>
    <s v="West"/>
    <s v="Mumbai"/>
    <s v="Distributor"/>
    <s v="Priya Patel"/>
    <s v="Alpha Trading"/>
    <x v="4"/>
    <s v="T-Shirt"/>
    <n v="10"/>
    <n v="22293.040000000001"/>
    <n v="222930.4"/>
    <n v="34586.79"/>
    <n v="0"/>
    <n v="188343.61"/>
    <s v="Processing"/>
    <s v="Pending"/>
  </r>
  <r>
    <s v="INV-2026-00983"/>
    <x v="29"/>
    <s v="East"/>
    <s v="Bhubaneswar"/>
    <s v="Online"/>
    <s v="Priya Patel"/>
    <s v="Smart Systems"/>
    <x v="3"/>
    <s v="Headphones"/>
    <n v="24"/>
    <n v="28664.86"/>
    <n v="687956.64"/>
    <n v="0"/>
    <n v="0"/>
    <n v="687956.64"/>
    <s v="Completed"/>
    <s v="Paid"/>
  </r>
  <r>
    <s v="INV-2026-00984"/>
    <x v="91"/>
    <s v="North"/>
    <s v="Chandigarh"/>
    <s v="Direct Sales"/>
    <s v="Meera Joshi"/>
    <s v="Elite Enterprises"/>
    <x v="3"/>
    <s v="Smart Watch"/>
    <n v="31"/>
    <n v="6248.56"/>
    <n v="193705.36"/>
    <n v="27850.42"/>
    <n v="0"/>
    <n v="165854.94"/>
    <s v="Cancelled"/>
    <s v="Pending"/>
  </r>
  <r>
    <s v="INV-2026-00985"/>
    <x v="41"/>
    <s v="North"/>
    <s v="Delhi"/>
    <s v="Retail Store"/>
    <s v="Anita Desai"/>
    <s v="Future Tech"/>
    <x v="3"/>
    <s v="Camera"/>
    <n v="32"/>
    <n v="49162.78"/>
    <n v="1573208.96"/>
    <n v="67256.34"/>
    <n v="19123.72"/>
    <n v="1486828.9"/>
    <s v="Cancelled"/>
    <s v="Pending"/>
  </r>
  <r>
    <s v="INV-2026-00986"/>
    <x v="24"/>
    <s v="Central"/>
    <s v="Indore"/>
    <s v="Distributor"/>
    <s v="Rahul Sharma"/>
    <s v="Prime Retail"/>
    <x v="3"/>
    <s v="Laptop"/>
    <n v="2"/>
    <n v="34189.39"/>
    <n v="68378.78"/>
    <n v="0"/>
    <n v="0"/>
    <n v="68378.78"/>
    <s v="Processing"/>
    <s v="Paid"/>
  </r>
  <r>
    <s v="INV-2026-00987"/>
    <x v="2"/>
    <s v="South"/>
    <s v="Kochi"/>
    <s v="Retail Store"/>
    <s v="Vijay Singh"/>
    <s v="Omega Stores"/>
    <x v="2"/>
    <s v="Cricket Bat"/>
    <n v="12"/>
    <n v="5981.26"/>
    <n v="71775.12"/>
    <n v="0"/>
    <n v="3666.77"/>
    <n v="68108.350000000006"/>
    <s v="Completed"/>
    <s v="Pending"/>
  </r>
  <r>
    <s v="INV-2026-00988"/>
    <x v="46"/>
    <s v="Central"/>
    <s v="Raipur"/>
    <s v="Direct Sales"/>
    <s v="Rajesh Verma"/>
    <s v="Smart Systems"/>
    <x v="5"/>
    <s v="Microwave"/>
    <n v="38"/>
    <n v="44359.63"/>
    <n v="1685665.94"/>
    <n v="3849.13"/>
    <n v="0"/>
    <n v="1681816.81"/>
    <s v="Completed"/>
    <s v="Paid"/>
  </r>
  <r>
    <s v="INV-2026-00989"/>
    <x v="31"/>
    <s v="Central"/>
    <s v="Indore"/>
    <s v="Direct Sales"/>
    <s v="Suresh Gupta"/>
    <s v="Alpha Trading"/>
    <x v="1"/>
    <s v="Bookshelf"/>
    <n v="37"/>
    <n v="24383.11"/>
    <n v="902175.07"/>
    <n v="95278.68"/>
    <n v="144947.34"/>
    <n v="661949.05000000005"/>
    <s v="Processing"/>
    <s v="Pending"/>
  </r>
  <r>
    <s v="INV-2026-00990"/>
    <x v="23"/>
    <s v="East"/>
    <s v="Kolkata"/>
    <s v="Retail Store"/>
    <s v="Sneha Reddy"/>
    <s v="Alpha Trading"/>
    <x v="2"/>
    <s v="Cricket Bat"/>
    <n v="37"/>
    <n v="9096.5"/>
    <n v="336570.5"/>
    <n v="59635.839999999997"/>
    <n v="0"/>
    <n v="276934.65999999997"/>
    <s v="Processing"/>
    <s v="Pending"/>
  </r>
  <r>
    <s v="INV-2026-00991"/>
    <x v="63"/>
    <s v="South"/>
    <s v="Kochi"/>
    <s v="Direct Sales"/>
    <s v="Kavita Nair"/>
    <s v="Digital Hub"/>
    <x v="1"/>
    <s v="Cabinet"/>
    <n v="32"/>
    <n v="25289.79"/>
    <n v="809273.28"/>
    <n v="87827.74"/>
    <n v="0"/>
    <n v="721445.54"/>
    <s v="Pending"/>
    <s v="Pending"/>
  </r>
  <r>
    <s v="INV-2026-00992"/>
    <x v="75"/>
    <s v="Central"/>
    <s v="Bhopal"/>
    <s v="Distributor"/>
    <s v="Sneha Reddy"/>
    <s v="Urban Store"/>
    <x v="2"/>
    <s v="Tennis Racket"/>
    <n v="49"/>
    <n v="1694.98"/>
    <n v="83054.02"/>
    <n v="11248.61"/>
    <n v="0"/>
    <n v="71805.41"/>
    <s v="Pending"/>
    <s v="Pending"/>
  </r>
  <r>
    <s v="INV-2026-00993"/>
    <x v="81"/>
    <s v="East"/>
    <s v="Bhubaneswar"/>
    <s v="Direct Sales"/>
    <s v="Amit Kumar"/>
    <s v="Nexus Ltd"/>
    <x v="0"/>
    <s v="Printer Paper"/>
    <n v="23"/>
    <n v="33590.629999999997"/>
    <n v="772584.49"/>
    <n v="17666.16"/>
    <n v="0"/>
    <n v="754918.33"/>
    <s v="Completed"/>
    <s v="Paid"/>
  </r>
  <r>
    <s v="INV-2026-00994"/>
    <x v="18"/>
    <s v="South"/>
    <s v="Kochi"/>
    <s v="Distributor"/>
    <s v="Meera Joshi"/>
    <s v="Global Traders"/>
    <x v="0"/>
    <s v="Desk Organizer"/>
    <n v="19"/>
    <n v="12847.53"/>
    <n v="244103.07"/>
    <n v="0"/>
    <n v="0"/>
    <n v="244103.07"/>
    <s v="Processing"/>
    <s v="Pending"/>
  </r>
  <r>
    <s v="INV-2026-00995"/>
    <x v="30"/>
    <s v="East"/>
    <s v="Patna"/>
    <s v="Direct Sales"/>
    <s v="Priya Patel"/>
    <s v="Alpha Trading"/>
    <x v="2"/>
    <s v="Football"/>
    <n v="26"/>
    <n v="1509.52"/>
    <n v="39247.519999999997"/>
    <n v="3279.93"/>
    <n v="0"/>
    <n v="35967.589999999997"/>
    <s v="Processing"/>
    <s v="Paid"/>
  </r>
  <r>
    <s v="INV-2026-00996"/>
    <x v="73"/>
    <s v="Central"/>
    <s v="Bhopal"/>
    <s v="Direct Sales"/>
    <s v="Meera Joshi"/>
    <s v="Alpha Trading"/>
    <x v="5"/>
    <s v="TV"/>
    <n v="19"/>
    <n v="23714.47"/>
    <n v="450574.93"/>
    <n v="0"/>
    <n v="7330.37"/>
    <n v="443244.56"/>
    <s v="Pending"/>
    <s v="Pending"/>
  </r>
  <r>
    <s v="INV-2026-00997"/>
    <x v="68"/>
    <s v="Central"/>
    <s v="Bhopal"/>
    <s v="Online"/>
    <s v="Rajesh Verma"/>
    <s v="ABC Corp"/>
    <x v="4"/>
    <s v="Formal Shirt"/>
    <n v="37"/>
    <n v="20346.900000000001"/>
    <n v="752835.3"/>
    <n v="134210.37"/>
    <n v="0"/>
    <n v="618624.93000000005"/>
    <s v="Processing"/>
    <s v="Pending"/>
  </r>
  <r>
    <s v="INV-2026-00998"/>
    <x v="20"/>
    <s v="North"/>
    <s v="Chandigarh"/>
    <s v="Retail Store"/>
    <s v="Priya Patel"/>
    <s v="Omega Stores"/>
    <x v="0"/>
    <s v="Pen Set"/>
    <n v="25"/>
    <n v="24832.43"/>
    <n v="620810.75"/>
    <n v="89793.09"/>
    <n v="0"/>
    <n v="531017.66"/>
    <s v="Pending"/>
    <s v="Pending"/>
  </r>
  <r>
    <s v="INV-2026-00999"/>
    <x v="47"/>
    <s v="Central"/>
    <s v="Bhopal"/>
    <s v="Direct Sales"/>
    <s v="Rajesh Verma"/>
    <s v="ABC Corp"/>
    <x v="3"/>
    <s v="Smart Watch"/>
    <n v="34"/>
    <n v="33012.660000000003"/>
    <n v="1122430.44"/>
    <n v="0"/>
    <n v="0"/>
    <n v="1122430.44"/>
    <s v="Processing"/>
    <s v="Pending"/>
  </r>
  <r>
    <s v="INV-2026-01000"/>
    <x v="87"/>
    <s v="West"/>
    <s v="Mumbai"/>
    <s v="Distributor"/>
    <s v="Kavita Nair"/>
    <s v="Elite Enterprises"/>
    <x v="0"/>
    <s v="Printer Paper"/>
    <n v="22"/>
    <n v="13402.71"/>
    <n v="294859.62"/>
    <n v="28791.58"/>
    <n v="0"/>
    <n v="266068.03999999998"/>
    <s v="Processing"/>
    <s v="Paid"/>
  </r>
  <r>
    <s v="INV-2026-01001"/>
    <x v="39"/>
    <s v="Central"/>
    <s v="Bhopal"/>
    <s v="Distributor"/>
    <s v="Sneha Reddy"/>
    <s v="XYZ Ltd"/>
    <x v="2"/>
    <s v="Cricket Bat"/>
    <n v="21"/>
    <n v="12694.93"/>
    <n v="266593.53000000003"/>
    <n v="3784.43"/>
    <n v="0"/>
    <n v="262809.09999999998"/>
    <s v="Pending"/>
    <s v="Paid"/>
  </r>
  <r>
    <s v="INV-2026-01002"/>
    <x v="3"/>
    <s v="South"/>
    <s v="Bangalore"/>
    <s v="Retail Store"/>
    <s v="Kavita Nair"/>
    <s v="Skyline Corp"/>
    <x v="2"/>
    <s v="Yoga Mat"/>
    <n v="7"/>
    <n v="1767.27"/>
    <n v="12370.89"/>
    <n v="1494.56"/>
    <n v="0"/>
    <n v="10876.33"/>
    <s v="Pending"/>
    <s v="Paid"/>
  </r>
  <r>
    <s v="INV-2026-01003"/>
    <x v="27"/>
    <s v="North"/>
    <s v="Jaipur"/>
    <s v="Online"/>
    <s v="Meera Joshi"/>
    <s v="Urban Store"/>
    <x v="4"/>
    <s v="T-Shirt"/>
    <n v="6"/>
    <n v="8299.85"/>
    <n v="49799.1"/>
    <n v="954.46"/>
    <n v="0"/>
    <n v="48844.639999999999"/>
    <s v="Pending"/>
    <s v="Paid"/>
  </r>
  <r>
    <s v="INV-2026-01004"/>
    <x v="11"/>
    <s v="North"/>
    <s v="Chandigarh"/>
    <s v="Distributor"/>
    <s v="Kavita Nair"/>
    <s v="XYZ Ltd"/>
    <x v="2"/>
    <s v="Cricket Bat"/>
    <n v="20"/>
    <n v="49411.57"/>
    <n v="988231.4"/>
    <n v="178321.08"/>
    <n v="0"/>
    <n v="809910.32"/>
    <s v="Pending"/>
    <s v="Pending"/>
  </r>
  <r>
    <s v="INV-2026-01005"/>
    <x v="33"/>
    <s v="Central"/>
    <s v="Bhopal"/>
    <s v="Distributor"/>
    <s v="Amit Kumar"/>
    <s v="Smart Systems"/>
    <x v="5"/>
    <s v="Refrigerator"/>
    <n v="31"/>
    <n v="35923.379999999997"/>
    <n v="1113624.78"/>
    <n v="100026.93"/>
    <n v="0"/>
    <n v="1013597.85"/>
    <s v="Completed"/>
    <s v="Paid"/>
  </r>
  <r>
    <s v="INV-2026-01006"/>
    <x v="16"/>
    <s v="Central"/>
    <s v="Bhopal"/>
    <s v="Direct Sales"/>
    <s v="Rajesh Verma"/>
    <s v="Tech Solutions"/>
    <x v="5"/>
    <s v="TV"/>
    <n v="25"/>
    <n v="33923.82"/>
    <n v="848095.5"/>
    <n v="0"/>
    <n v="0"/>
    <n v="848095.5"/>
    <s v="Processing"/>
    <s v="Pending"/>
  </r>
  <r>
    <s v="INV-2026-01007"/>
    <x v="37"/>
    <s v="North"/>
    <s v="Chandigarh"/>
    <s v="Online"/>
    <s v="Kavita Nair"/>
    <s v="Prime Retail"/>
    <x v="3"/>
    <s v="Headphones"/>
    <n v="33"/>
    <n v="47659.73"/>
    <n v="1572771.09"/>
    <n v="306530.13"/>
    <n v="0"/>
    <n v="1266240.96"/>
    <s v="Pending"/>
    <s v="Pending"/>
  </r>
  <r>
    <s v="INV-2026-01008"/>
    <x v="64"/>
    <s v="Central"/>
    <s v="Indore"/>
    <s v="Distributor"/>
    <s v="Meera Joshi"/>
    <s v="Nexus Ltd"/>
    <x v="2"/>
    <s v="Gym Equipment"/>
    <n v="14"/>
    <n v="47212.86"/>
    <n v="660980.04"/>
    <n v="0"/>
    <n v="0"/>
    <n v="660980.04"/>
    <s v="Completed"/>
    <s v="Paid"/>
  </r>
  <r>
    <s v="INV-2026-01009"/>
    <x v="61"/>
    <s v="Central"/>
    <s v="Bhopal"/>
    <s v="Retail Store"/>
    <s v="Rahul Sharma"/>
    <s v="Nexus Ltd"/>
    <x v="0"/>
    <s v="Printer Paper"/>
    <n v="12"/>
    <n v="23300.95"/>
    <n v="279611.40000000002"/>
    <n v="1714.02"/>
    <n v="0"/>
    <n v="277897.38"/>
    <s v="Pending"/>
    <s v="Pending"/>
  </r>
  <r>
    <s v="INV-2026-01010"/>
    <x v="16"/>
    <s v="East"/>
    <s v="Kolkata"/>
    <s v="Direct Sales"/>
    <s v="Meera Joshi"/>
    <s v="Skyline Corp"/>
    <x v="0"/>
    <s v="Desk Organizer"/>
    <n v="5"/>
    <n v="4057.52"/>
    <n v="20287.599999999999"/>
    <n v="1309.8399999999999"/>
    <n v="2143.5"/>
    <n v="16834.259999999998"/>
    <s v="Cancelled"/>
    <s v="Pending"/>
  </r>
  <r>
    <s v="INV-2026-01011"/>
    <x v="19"/>
    <s v="East"/>
    <s v="Patna"/>
    <s v="Online"/>
    <s v="Anita Desai"/>
    <s v="Skyline Corp"/>
    <x v="2"/>
    <s v="Bicycle"/>
    <n v="8"/>
    <n v="10333.26"/>
    <n v="82666.080000000002"/>
    <n v="610.97"/>
    <n v="0"/>
    <n v="82055.11"/>
    <s v="Processing"/>
    <s v="Paid"/>
  </r>
  <r>
    <s v="INV-2026-01012"/>
    <x v="40"/>
    <s v="West"/>
    <s v="Ahmedabad"/>
    <s v="Distributor"/>
    <s v="Kavita Nair"/>
    <s v="Digital Hub"/>
    <x v="0"/>
    <s v="Whiteboard"/>
    <n v="39"/>
    <n v="10397.719999999999"/>
    <n v="405511.08"/>
    <n v="0"/>
    <n v="0"/>
    <n v="405511.08"/>
    <s v="Processing"/>
    <s v="Pending"/>
  </r>
  <r>
    <s v="INV-2026-01013"/>
    <x v="57"/>
    <s v="Central"/>
    <s v="Indore"/>
    <s v="Direct Sales"/>
    <s v="Sneha Reddy"/>
    <s v="Future Tech"/>
    <x v="3"/>
    <s v="Camera"/>
    <n v="48"/>
    <n v="10896.58"/>
    <n v="523035.84"/>
    <n v="0"/>
    <n v="0"/>
    <n v="523035.84"/>
    <s v="Completed"/>
    <s v="Paid"/>
  </r>
  <r>
    <s v="INV-2026-01014"/>
    <x v="59"/>
    <s v="East"/>
    <s v="Kolkata"/>
    <s v="Retail Store"/>
    <s v="Priya Patel"/>
    <s v="Elite Enterprises"/>
    <x v="4"/>
    <s v="Formal Shirt"/>
    <n v="47"/>
    <n v="48181.78"/>
    <n v="2264543.66"/>
    <n v="446819.66"/>
    <n v="0"/>
    <n v="1817724"/>
    <s v="Cancelled"/>
    <s v="Pending"/>
  </r>
  <r>
    <s v="INV-2026-01015"/>
    <x v="65"/>
    <s v="East"/>
    <s v="Kolkata"/>
    <s v="Retail Store"/>
    <s v="Rajesh Verma"/>
    <s v="Digital Hub"/>
    <x v="2"/>
    <s v="Gym Equipment"/>
    <n v="24"/>
    <n v="42935.13"/>
    <n v="1030443.12"/>
    <n v="113073.25"/>
    <n v="0"/>
    <n v="917369.87"/>
    <s v="Pending"/>
    <s v="Pending"/>
  </r>
  <r>
    <s v="INV-2026-01016"/>
    <x v="66"/>
    <s v="West"/>
    <s v="Pune"/>
    <s v="Distributor"/>
    <s v="Meera Joshi"/>
    <s v="ABC Corp"/>
    <x v="2"/>
    <s v="Bicycle"/>
    <n v="8"/>
    <n v="17910.89"/>
    <n v="143287.12"/>
    <n v="27527.360000000001"/>
    <n v="1293.06"/>
    <n v="114466.7"/>
    <s v="Cancelled"/>
    <s v="Pending"/>
  </r>
  <r>
    <s v="INV-2026-01017"/>
    <x v="40"/>
    <s v="Central"/>
    <s v="Indore"/>
    <s v="Retail Store"/>
    <s v="Sneha Reddy"/>
    <s v="Global Traders"/>
    <x v="0"/>
    <s v="Printer Paper"/>
    <n v="5"/>
    <n v="38253.730000000003"/>
    <n v="191268.65"/>
    <n v="0"/>
    <n v="0"/>
    <n v="191268.65"/>
    <s v="Pending"/>
    <s v="Pending"/>
  </r>
  <r>
    <s v="INV-2026-01018"/>
    <x v="41"/>
    <s v="West"/>
    <s v="Surat"/>
    <s v="Online"/>
    <s v="Suresh Gupta"/>
    <s v="Future Tech"/>
    <x v="3"/>
    <s v="Smartphone"/>
    <n v="25"/>
    <n v="32584.75"/>
    <n v="814618.75"/>
    <n v="0"/>
    <n v="0"/>
    <n v="814618.75"/>
    <s v="Cancelled"/>
    <s v="Pending"/>
  </r>
  <r>
    <s v="INV-2026-01019"/>
    <x v="0"/>
    <s v="Central"/>
    <s v="Raipur"/>
    <s v="Direct Sales"/>
    <s v="Suresh Gupta"/>
    <s v="Urban Store"/>
    <x v="1"/>
    <s v="Conference Table"/>
    <n v="35"/>
    <n v="7178.16"/>
    <n v="251235.6"/>
    <n v="0"/>
    <n v="0"/>
    <n v="251235.6"/>
    <s v="Processing"/>
    <s v="Pending"/>
  </r>
  <r>
    <s v="INV-2026-01020"/>
    <x v="42"/>
    <s v="North"/>
    <s v="Jaipur"/>
    <s v="Retail Store"/>
    <s v="Suresh Gupta"/>
    <s v="Future Tech"/>
    <x v="5"/>
    <s v="Washing Machine"/>
    <n v="47"/>
    <n v="28300.02"/>
    <n v="1330100.94"/>
    <n v="0"/>
    <n v="0"/>
    <n v="1330100.94"/>
    <s v="Cancelled"/>
    <s v="Pending"/>
  </r>
  <r>
    <s v="INV-2026-01021"/>
    <x v="44"/>
    <s v="North"/>
    <s v="Jaipur"/>
    <s v="Distributor"/>
    <s v="Rahul Sharma"/>
    <s v="Prime Retail"/>
    <x v="4"/>
    <s v="Shoes"/>
    <n v="24"/>
    <n v="1022.57"/>
    <n v="24541.68"/>
    <n v="4611.1899999999996"/>
    <n v="0"/>
    <n v="19930.490000000002"/>
    <s v="Processing"/>
    <s v="Pending"/>
  </r>
  <r>
    <s v="INV-2026-01022"/>
    <x v="91"/>
    <s v="South"/>
    <s v="Chennai"/>
    <s v="Retail Store"/>
    <s v="Vijay Singh"/>
    <s v="Elite Enterprises"/>
    <x v="2"/>
    <s v="Yoga Mat"/>
    <n v="26"/>
    <n v="47197.95"/>
    <n v="1227146.7"/>
    <n v="116934.66"/>
    <n v="0"/>
    <n v="1110212.04"/>
    <s v="Pending"/>
    <s v="Pending"/>
  </r>
  <r>
    <s v="INV-2026-01023"/>
    <x v="6"/>
    <s v="East"/>
    <s v="Kolkata"/>
    <s v="Online"/>
    <s v="Anita Desai"/>
    <s v="Smart Systems"/>
    <x v="0"/>
    <s v="File Folder"/>
    <n v="19"/>
    <n v="46481.58"/>
    <n v="883150.02"/>
    <n v="97973.79"/>
    <n v="0"/>
    <n v="785176.23"/>
    <s v="Completed"/>
    <s v="Paid"/>
  </r>
  <r>
    <s v="INV-2026-01024"/>
    <x v="3"/>
    <s v="West"/>
    <s v="Ahmedabad"/>
    <s v="Distributor"/>
    <s v="Vijay Singh"/>
    <s v="Urban Store"/>
    <x v="3"/>
    <s v="Tablet"/>
    <n v="21"/>
    <n v="28894.74"/>
    <n v="606789.54"/>
    <n v="0"/>
    <n v="13275.46"/>
    <n v="593514.07999999996"/>
    <s v="Cancelled"/>
    <s v="Pending"/>
  </r>
  <r>
    <s v="INV-2026-01025"/>
    <x v="53"/>
    <s v="North"/>
    <s v="Chandigarh"/>
    <s v="Retail Store"/>
    <s v="Anita Desai"/>
    <s v="Prime Retail"/>
    <x v="4"/>
    <s v="Jeans"/>
    <n v="37"/>
    <n v="12430.32"/>
    <n v="459921.84"/>
    <n v="55222.94"/>
    <n v="0"/>
    <n v="404698.9"/>
    <s v="Cancelled"/>
    <s v="Pending"/>
  </r>
  <r>
    <s v="INV-2026-01026"/>
    <x v="91"/>
    <s v="West"/>
    <s v="Pune"/>
    <s v="Retail Store"/>
    <s v="Suresh Gupta"/>
    <s v="Prime Retail"/>
    <x v="5"/>
    <s v="TV"/>
    <n v="24"/>
    <n v="4639.49"/>
    <n v="111347.76"/>
    <n v="13125.86"/>
    <n v="0"/>
    <n v="98221.9"/>
    <s v="Cancelled"/>
    <s v="Pending"/>
  </r>
  <r>
    <s v="INV-2026-01027"/>
    <x v="24"/>
    <s v="West"/>
    <s v="Ahmedabad"/>
    <s v="Online"/>
    <s v="Priya Patel"/>
    <s v="ABC Corp"/>
    <x v="4"/>
    <s v="Jacket"/>
    <n v="37"/>
    <n v="46948.69"/>
    <n v="1737101.53"/>
    <n v="0"/>
    <n v="0"/>
    <n v="1737101.53"/>
    <s v="Pending"/>
    <s v="Pending"/>
  </r>
  <r>
    <s v="INV-2026-01028"/>
    <x v="74"/>
    <s v="East"/>
    <s v="Kolkata"/>
    <s v="Direct Sales"/>
    <s v="Suresh Gupta"/>
    <s v="Digital Hub"/>
    <x v="2"/>
    <s v="Cricket Bat"/>
    <n v="30"/>
    <n v="49464.29"/>
    <n v="1483928.7"/>
    <n v="6448.04"/>
    <n v="0"/>
    <n v="1477480.66"/>
    <s v="Cancelled"/>
    <s v="Pending"/>
  </r>
  <r>
    <s v="INV-2026-01029"/>
    <x v="1"/>
    <s v="West"/>
    <s v="Ahmedabad"/>
    <s v="Direct Sales"/>
    <s v="Kavita Nair"/>
    <s v="Omega Stores"/>
    <x v="4"/>
    <s v="Shoes"/>
    <n v="15"/>
    <n v="42746.69"/>
    <n v="641200.35"/>
    <n v="39726.53"/>
    <n v="0"/>
    <n v="601473.81999999995"/>
    <s v="Cancelled"/>
    <s v="Pending"/>
  </r>
  <r>
    <s v="INV-2026-01030"/>
    <x v="28"/>
    <s v="South"/>
    <s v="Kochi"/>
    <s v="Direct Sales"/>
    <s v="Rajesh Verma"/>
    <s v="Urban Store"/>
    <x v="5"/>
    <s v="Vacuum Cleaner"/>
    <n v="16"/>
    <n v="20668.53"/>
    <n v="330696.48"/>
    <n v="21217.77"/>
    <n v="0"/>
    <n v="309478.71000000002"/>
    <s v="Completed"/>
    <s v="Paid"/>
  </r>
  <r>
    <s v="INV-2026-01031"/>
    <x v="60"/>
    <s v="North"/>
    <s v="Lucknow"/>
    <s v="Direct Sales"/>
    <s v="Rajesh Verma"/>
    <s v="Tech Solutions"/>
    <x v="1"/>
    <s v="Cabinet"/>
    <n v="2"/>
    <n v="29643.13"/>
    <n v="59286.26"/>
    <n v="3620.11"/>
    <n v="0"/>
    <n v="55666.15"/>
    <s v="Processing"/>
    <s v="Pending"/>
  </r>
  <r>
    <s v="INV-2026-01032"/>
    <x v="27"/>
    <s v="Central"/>
    <s v="Nagpur"/>
    <s v="Online"/>
    <s v="Suresh Gupta"/>
    <s v="Future Tech"/>
    <x v="3"/>
    <s v="Headphones"/>
    <n v="33"/>
    <n v="35121.69"/>
    <n v="1159015.77"/>
    <n v="0"/>
    <n v="0"/>
    <n v="1159015.77"/>
    <s v="Pending"/>
    <s v="Pending"/>
  </r>
  <r>
    <s v="INV-2026-01033"/>
    <x v="78"/>
    <s v="Central"/>
    <s v="Raipur"/>
    <s v="Direct Sales"/>
    <s v="Suresh Gupta"/>
    <s v="Future Tech"/>
    <x v="5"/>
    <s v="TV"/>
    <n v="43"/>
    <n v="33916.31"/>
    <n v="1458401.33"/>
    <n v="119754.69"/>
    <n v="0"/>
    <n v="1338646.6399999999"/>
    <s v="Cancelled"/>
    <s v="Pending"/>
  </r>
  <r>
    <s v="INV-2026-01034"/>
    <x v="15"/>
    <s v="North"/>
    <s v="Lucknow"/>
    <s v="Distributor"/>
    <s v="Amit Kumar"/>
    <s v="Smart Systems"/>
    <x v="2"/>
    <s v="Bicycle"/>
    <n v="38"/>
    <n v="31914.95"/>
    <n v="1212768.1000000001"/>
    <n v="121805.78"/>
    <n v="0"/>
    <n v="1090962.32"/>
    <s v="Completed"/>
    <s v="Overdue"/>
  </r>
  <r>
    <s v="INV-2026-01035"/>
    <x v="85"/>
    <s v="Central"/>
    <s v="Indore"/>
    <s v="Online"/>
    <s v="Meera Joshi"/>
    <s v="Skyline Corp"/>
    <x v="3"/>
    <s v="Tablet"/>
    <n v="24"/>
    <n v="33318.879999999997"/>
    <n v="799653.12"/>
    <n v="0"/>
    <n v="0"/>
    <n v="799653.12"/>
    <s v="Pending"/>
    <s v="Paid"/>
  </r>
  <r>
    <s v="INV-2026-01036"/>
    <x v="25"/>
    <s v="North"/>
    <s v="Chandigarh"/>
    <s v="Distributor"/>
    <s v="Suresh Gupta"/>
    <s v="Urban Store"/>
    <x v="3"/>
    <s v="Camera"/>
    <n v="28"/>
    <n v="39110.160000000003"/>
    <n v="1095084.48"/>
    <n v="0"/>
    <n v="319444.21999999997"/>
    <n v="775640.26"/>
    <s v="Cancelled"/>
    <s v="Pending"/>
  </r>
  <r>
    <s v="INV-2026-01037"/>
    <x v="64"/>
    <s v="North"/>
    <s v="Chandigarh"/>
    <s v="Distributor"/>
    <s v="Rajesh Verma"/>
    <s v="Nexus Ltd"/>
    <x v="1"/>
    <s v="Cabinet"/>
    <n v="39"/>
    <n v="25088.93"/>
    <n v="978468.27"/>
    <n v="153089.01999999999"/>
    <n v="0"/>
    <n v="825379.25"/>
    <s v="Cancelled"/>
    <s v="Pending"/>
  </r>
  <r>
    <s v="INV-2026-01038"/>
    <x v="15"/>
    <s v="South"/>
    <s v="Chennai"/>
    <s v="Direct Sales"/>
    <s v="Suresh Gupta"/>
    <s v="Future Tech"/>
    <x v="5"/>
    <s v="Microwave"/>
    <n v="8"/>
    <n v="41440.019999999997"/>
    <n v="331520.15999999997"/>
    <n v="13951.39"/>
    <n v="0"/>
    <n v="317568.77"/>
    <s v="Cancelled"/>
    <s v="Pending"/>
  </r>
  <r>
    <s v="INV-2026-01039"/>
    <x v="54"/>
    <s v="East"/>
    <s v="Bhubaneswar"/>
    <s v="Direct Sales"/>
    <s v="Priya Patel"/>
    <s v="Future Tech"/>
    <x v="3"/>
    <s v="Smartphone"/>
    <n v="32"/>
    <n v="5772.19"/>
    <n v="184710.08"/>
    <n v="33277.9"/>
    <n v="0"/>
    <n v="151432.18"/>
    <s v="Completed"/>
    <s v="Paid"/>
  </r>
  <r>
    <s v="INV-2026-01040"/>
    <x v="1"/>
    <s v="South"/>
    <s v="Bangalore"/>
    <s v="Distributor"/>
    <s v="Meera Joshi"/>
    <s v="Urban Store"/>
    <x v="4"/>
    <s v="Jacket"/>
    <n v="6"/>
    <n v="29399.54"/>
    <n v="176397.24"/>
    <n v="19682.7"/>
    <n v="0"/>
    <n v="156714.54"/>
    <s v="Pending"/>
    <s v="Pending"/>
  </r>
  <r>
    <s v="INV-2026-01041"/>
    <x v="80"/>
    <s v="Central"/>
    <s v="Bhopal"/>
    <s v="Direct Sales"/>
    <s v="Priya Patel"/>
    <s v="Urban Store"/>
    <x v="1"/>
    <s v="Office Chair"/>
    <n v="11"/>
    <n v="32411.77"/>
    <n v="356529.47"/>
    <n v="0"/>
    <n v="0"/>
    <n v="356529.47"/>
    <s v="Cancelled"/>
    <s v="Pending"/>
  </r>
  <r>
    <s v="INV-2026-01042"/>
    <x v="21"/>
    <s v="North"/>
    <s v="Lucknow"/>
    <s v="Direct Sales"/>
    <s v="Priya Patel"/>
    <s v="Omega Stores"/>
    <x v="3"/>
    <s v="Headphones"/>
    <n v="50"/>
    <n v="12571.65"/>
    <n v="628582.5"/>
    <n v="0"/>
    <n v="0"/>
    <n v="628582.5"/>
    <s v="Completed"/>
    <s v="Paid"/>
  </r>
  <r>
    <s v="INV-2026-01043"/>
    <x v="7"/>
    <s v="East"/>
    <s v="Patna"/>
    <s v="Distributor"/>
    <s v="Kavita Nair"/>
    <s v="Elite Enterprises"/>
    <x v="1"/>
    <s v="Desk"/>
    <n v="43"/>
    <n v="21213.02"/>
    <n v="912159.86"/>
    <n v="0"/>
    <n v="0"/>
    <n v="912159.86"/>
    <s v="Pending"/>
    <s v="Pending"/>
  </r>
  <r>
    <s v="INV-2026-01044"/>
    <x v="45"/>
    <s v="East"/>
    <s v="Guwahati"/>
    <s v="Distributor"/>
    <s v="Rajesh Verma"/>
    <s v="Metro Mart"/>
    <x v="0"/>
    <s v="Pen Set"/>
    <n v="27"/>
    <n v="20696.28"/>
    <n v="558799.56000000006"/>
    <n v="9024.15"/>
    <n v="0"/>
    <n v="549775.41"/>
    <s v="Processing"/>
    <s v="Paid"/>
  </r>
  <r>
    <s v="INV-2026-01045"/>
    <x v="59"/>
    <s v="Central"/>
    <s v="Indore"/>
    <s v="Online"/>
    <s v="Anita Desai"/>
    <s v="Skyline Corp"/>
    <x v="0"/>
    <s v="Notebook"/>
    <n v="18"/>
    <n v="44266.84"/>
    <n v="796803.12"/>
    <n v="21821.439999999999"/>
    <n v="0"/>
    <n v="774981.68"/>
    <s v="Completed"/>
    <s v="Paid"/>
  </r>
  <r>
    <s v="INV-2026-01046"/>
    <x v="55"/>
    <s v="East"/>
    <s v="Kolkata"/>
    <s v="Online"/>
    <s v="Vijay Singh"/>
    <s v="Skyline Corp"/>
    <x v="5"/>
    <s v="Vacuum Cleaner"/>
    <n v="40"/>
    <n v="47986.04"/>
    <n v="1919441.6"/>
    <n v="297656.49"/>
    <n v="0"/>
    <n v="1621785.11"/>
    <s v="Completed"/>
    <s v="Paid"/>
  </r>
  <r>
    <s v="INV-2026-01047"/>
    <x v="61"/>
    <s v="West"/>
    <s v="Surat"/>
    <s v="Online"/>
    <s v="Rahul Sharma"/>
    <s v="Urban Store"/>
    <x v="4"/>
    <s v="Shoes"/>
    <n v="7"/>
    <n v="41095.4"/>
    <n v="287667.8"/>
    <n v="34300.21"/>
    <n v="0"/>
    <n v="253367.59"/>
    <s v="Processing"/>
    <s v="Pending"/>
  </r>
  <r>
    <s v="INV-2026-01048"/>
    <x v="14"/>
    <s v="South"/>
    <s v="Bangalore"/>
    <s v="Online"/>
    <s v="Amit Kumar"/>
    <s v="Prime Retail"/>
    <x v="5"/>
    <s v="Microwave"/>
    <n v="48"/>
    <n v="33300.089999999997"/>
    <n v="1598404.32"/>
    <n v="161901.49"/>
    <n v="0"/>
    <n v="1436502.83"/>
    <s v="Processing"/>
    <s v="Pending"/>
  </r>
  <r>
    <s v="INV-2026-01049"/>
    <x v="58"/>
    <s v="East"/>
    <s v="Patna"/>
    <s v="Retail Store"/>
    <s v="Kavita Nair"/>
    <s v="Prime Retail"/>
    <x v="5"/>
    <s v="TV"/>
    <n v="21"/>
    <n v="46896.4"/>
    <n v="984824.4"/>
    <n v="0"/>
    <n v="181844.33"/>
    <n v="802980.07"/>
    <s v="Processing"/>
    <s v="Pending"/>
  </r>
  <r>
    <s v="INV-2026-01050"/>
    <x v="12"/>
    <s v="North"/>
    <s v="Lucknow"/>
    <s v="Direct Sales"/>
    <s v="Priya Patel"/>
    <s v="Alpha Trading"/>
    <x v="4"/>
    <s v="Shoes"/>
    <n v="41"/>
    <n v="41346.51"/>
    <n v="1695206.91"/>
    <n v="0"/>
    <n v="0"/>
    <n v="1695206.91"/>
    <s v="Cancelled"/>
    <s v="Pending"/>
  </r>
  <r>
    <s v="INV-2026-01051"/>
    <x v="37"/>
    <s v="North"/>
    <s v="Chandigarh"/>
    <s v="Direct Sales"/>
    <s v="Suresh Gupta"/>
    <s v="Global Traders"/>
    <x v="3"/>
    <s v="Laptop"/>
    <n v="33"/>
    <n v="36016.53"/>
    <n v="1188545.49"/>
    <n v="107388.75"/>
    <n v="0"/>
    <n v="1081156.74"/>
    <s v="Cancelled"/>
    <s v="Pending"/>
  </r>
  <r>
    <s v="INV-2026-01052"/>
    <x v="23"/>
    <s v="East"/>
    <s v="Guwahati"/>
    <s v="Distributor"/>
    <s v="Rajesh Verma"/>
    <s v="Alpha Trading"/>
    <x v="0"/>
    <s v="Pen Set"/>
    <n v="15"/>
    <n v="28396.41"/>
    <n v="425946.15"/>
    <n v="76775.86"/>
    <n v="0"/>
    <n v="349170.29"/>
    <s v="Processing"/>
    <s v="Paid"/>
  </r>
  <r>
    <s v="INV-2026-01053"/>
    <x v="76"/>
    <s v="South"/>
    <s v="Hyderabad"/>
    <s v="Distributor"/>
    <s v="Priya Patel"/>
    <s v="Urban Store"/>
    <x v="2"/>
    <s v="Yoga Mat"/>
    <n v="35"/>
    <n v="5820.64"/>
    <n v="203722.4"/>
    <n v="0"/>
    <n v="0"/>
    <n v="203722.4"/>
    <s v="Completed"/>
    <s v="Paid"/>
  </r>
  <r>
    <s v="INV-2026-01054"/>
    <x v="70"/>
    <s v="North"/>
    <s v="Delhi"/>
    <s v="Online"/>
    <s v="Vijay Singh"/>
    <s v="ABC Corp"/>
    <x v="1"/>
    <s v="Desk"/>
    <n v="23"/>
    <n v="39754.82"/>
    <n v="914360.86"/>
    <n v="0"/>
    <n v="0"/>
    <n v="914360.86"/>
    <s v="Completed"/>
    <s v="Paid"/>
  </r>
  <r>
    <s v="INV-2026-01055"/>
    <x v="62"/>
    <s v="South"/>
    <s v="Kochi"/>
    <s v="Retail Store"/>
    <s v="Rajesh Verma"/>
    <s v="Global Traders"/>
    <x v="5"/>
    <s v="TV"/>
    <n v="49"/>
    <n v="13860.13"/>
    <n v="679146.37"/>
    <n v="43508.32"/>
    <n v="0"/>
    <n v="635638.05000000005"/>
    <s v="Cancelled"/>
    <s v="Pending"/>
  </r>
  <r>
    <s v="INV-2026-01056"/>
    <x v="67"/>
    <s v="South"/>
    <s v="Kochi"/>
    <s v="Retail Store"/>
    <s v="Meera Joshi"/>
    <s v="Nexus Ltd"/>
    <x v="2"/>
    <s v="Bicycle"/>
    <n v="30"/>
    <n v="22956.26"/>
    <n v="688687.8"/>
    <n v="75384.06"/>
    <n v="0"/>
    <n v="613303.74"/>
    <s v="Pending"/>
    <s v="Pending"/>
  </r>
  <r>
    <s v="INV-2026-01057"/>
    <x v="57"/>
    <s v="North"/>
    <s v="Chandigarh"/>
    <s v="Online"/>
    <s v="Amit Kumar"/>
    <s v="Smart Systems"/>
    <x v="0"/>
    <s v="Notebook"/>
    <n v="40"/>
    <n v="21431.24"/>
    <n v="857249.6"/>
    <n v="133582.63"/>
    <n v="0"/>
    <n v="723666.97"/>
    <s v="Processing"/>
    <s v="Paid"/>
  </r>
  <r>
    <s v="INV-2026-01058"/>
    <x v="52"/>
    <s v="East"/>
    <s v="Patna"/>
    <s v="Online"/>
    <s v="Priya Patel"/>
    <s v="Metro Mart"/>
    <x v="0"/>
    <s v="Printer Paper"/>
    <n v="47"/>
    <n v="17699.14"/>
    <n v="831859.58"/>
    <n v="28451.63"/>
    <n v="0"/>
    <n v="803407.95"/>
    <s v="Pending"/>
    <s v="Pending"/>
  </r>
  <r>
    <s v="INV-2026-01059"/>
    <x v="20"/>
    <s v="Central"/>
    <s v="Raipur"/>
    <s v="Direct Sales"/>
    <s v="Rajesh Verma"/>
    <s v="Elite Enterprises"/>
    <x v="5"/>
    <s v="Refrigerator"/>
    <n v="32"/>
    <n v="33746.86"/>
    <n v="1079899.52"/>
    <n v="163655.13"/>
    <n v="0"/>
    <n v="916244.39"/>
    <s v="Pending"/>
    <s v="Pending"/>
  </r>
  <r>
    <s v="INV-2026-01060"/>
    <x v="70"/>
    <s v="North"/>
    <s v="Chandigarh"/>
    <s v="Online"/>
    <s v="Kavita Nair"/>
    <s v="Omega Stores"/>
    <x v="2"/>
    <s v="Yoga Mat"/>
    <n v="28"/>
    <n v="12319.29"/>
    <n v="344940.12"/>
    <n v="15436.01"/>
    <n v="0"/>
    <n v="329504.11"/>
    <s v="Pending"/>
    <s v="Paid"/>
  </r>
  <r>
    <s v="INV-2026-01061"/>
    <x v="82"/>
    <s v="West"/>
    <s v="Ahmedabad"/>
    <s v="Online"/>
    <s v="Amit Kumar"/>
    <s v="Urban Store"/>
    <x v="3"/>
    <s v="Laptop"/>
    <n v="43"/>
    <n v="15298.31"/>
    <n v="657827.32999999996"/>
    <n v="0"/>
    <n v="0"/>
    <n v="657827.32999999996"/>
    <s v="Pending"/>
    <s v="Paid"/>
  </r>
  <r>
    <s v="INV-2026-01062"/>
    <x v="37"/>
    <s v="North"/>
    <s v="Delhi"/>
    <s v="Distributor"/>
    <s v="Rajesh Verma"/>
    <s v="Digital Hub"/>
    <x v="0"/>
    <s v="File Folder"/>
    <n v="15"/>
    <n v="42873.23"/>
    <n v="643098.44999999995"/>
    <n v="0"/>
    <n v="190080.42"/>
    <n v="453018.03"/>
    <s v="Pending"/>
    <s v="Pending"/>
  </r>
  <r>
    <s v="INV-2026-01063"/>
    <x v="89"/>
    <s v="East"/>
    <s v="Bhubaneswar"/>
    <s v="Retail Store"/>
    <s v="Priya Patel"/>
    <s v="Smart Systems"/>
    <x v="2"/>
    <s v="Gym Equipment"/>
    <n v="19"/>
    <n v="16231.32"/>
    <n v="308395.08"/>
    <n v="56495.54"/>
    <n v="0"/>
    <n v="251899.54"/>
    <s v="Pending"/>
    <s v="Pending"/>
  </r>
  <r>
    <s v="INV-2026-01064"/>
    <x v="24"/>
    <s v="West"/>
    <s v="Pune"/>
    <s v="Direct Sales"/>
    <s v="Rajesh Verma"/>
    <s v="Skyline Corp"/>
    <x v="1"/>
    <s v="Bookshelf"/>
    <n v="32"/>
    <n v="1367.16"/>
    <n v="43749.120000000003"/>
    <n v="0"/>
    <n v="0"/>
    <n v="43749.120000000003"/>
    <s v="Completed"/>
    <s v="Paid"/>
  </r>
  <r>
    <s v="INV-2026-01065"/>
    <x v="9"/>
    <s v="Central"/>
    <s v="Bhopal"/>
    <s v="Distributor"/>
    <s v="Rajesh Verma"/>
    <s v="Omega Stores"/>
    <x v="1"/>
    <s v="Conference Table"/>
    <n v="24"/>
    <n v="31126.14"/>
    <n v="747027.36"/>
    <n v="81019.03"/>
    <n v="0"/>
    <n v="666008.32999999996"/>
    <s v="Cancelled"/>
    <s v="Pending"/>
  </r>
  <r>
    <s v="INV-2026-01066"/>
    <x v="6"/>
    <s v="South"/>
    <s v="Kochi"/>
    <s v="Retail Store"/>
    <s v="Sneha Reddy"/>
    <s v="ABC Corp"/>
    <x v="2"/>
    <s v="Football"/>
    <n v="32"/>
    <n v="3090.23"/>
    <n v="98887.360000000001"/>
    <n v="0"/>
    <n v="0"/>
    <n v="98887.360000000001"/>
    <s v="Completed"/>
    <s v="Paid"/>
  </r>
  <r>
    <s v="INV-2026-01067"/>
    <x v="4"/>
    <s v="East"/>
    <s v="Guwahati"/>
    <s v="Retail Store"/>
    <s v="Vijay Singh"/>
    <s v="Smart Systems"/>
    <x v="5"/>
    <s v="TV"/>
    <n v="43"/>
    <n v="36217.839999999997"/>
    <n v="1557367.12"/>
    <n v="300977.76"/>
    <n v="0"/>
    <n v="1256389.3600000001"/>
    <s v="Cancelled"/>
    <s v="Pending"/>
  </r>
  <r>
    <s v="INV-2026-01068"/>
    <x v="38"/>
    <s v="North"/>
    <s v="Lucknow"/>
    <s v="Direct Sales"/>
    <s v="Anita Desai"/>
    <s v="XYZ Ltd"/>
    <x v="5"/>
    <s v="TV"/>
    <n v="29"/>
    <n v="38079.19"/>
    <n v="1104296.51"/>
    <n v="190613.38"/>
    <n v="0"/>
    <n v="913683.13"/>
    <s v="Pending"/>
    <s v="Pending"/>
  </r>
  <r>
    <s v="INV-2026-01069"/>
    <x v="31"/>
    <s v="Central"/>
    <s v="Raipur"/>
    <s v="Direct Sales"/>
    <s v="Vijay Singh"/>
    <s v="Nexus Ltd"/>
    <x v="2"/>
    <s v="Bicycle"/>
    <n v="7"/>
    <n v="20802.919999999998"/>
    <n v="145620.44"/>
    <n v="13816.23"/>
    <n v="0"/>
    <n v="131804.21"/>
    <s v="Processing"/>
    <s v="Pending"/>
  </r>
  <r>
    <s v="INV-2026-01070"/>
    <x v="44"/>
    <s v="East"/>
    <s v="Bhubaneswar"/>
    <s v="Distributor"/>
    <s v="Priya Patel"/>
    <s v="Urban Store"/>
    <x v="0"/>
    <s v="Notebook"/>
    <n v="47"/>
    <n v="24403.09"/>
    <n v="1146945.23"/>
    <n v="0"/>
    <n v="0"/>
    <n v="1146945.23"/>
    <s v="Cancelled"/>
    <s v="Pending"/>
  </r>
  <r>
    <s v="INV-2026-01071"/>
    <x v="60"/>
    <s v="West"/>
    <s v="Mumbai"/>
    <s v="Online"/>
    <s v="Priya Patel"/>
    <s v="ABC Corp"/>
    <x v="0"/>
    <s v="Desk Organizer"/>
    <n v="15"/>
    <n v="17882.89"/>
    <n v="268243.34999999998"/>
    <n v="53103.54"/>
    <n v="0"/>
    <n v="215139.81"/>
    <s v="Cancelled"/>
    <s v="Pending"/>
  </r>
  <r>
    <s v="INV-2026-01072"/>
    <x v="53"/>
    <s v="South"/>
    <s v="Kochi"/>
    <s v="Online"/>
    <s v="Kavita Nair"/>
    <s v="Skyline Corp"/>
    <x v="4"/>
    <s v="Jeans"/>
    <n v="13"/>
    <n v="17146.23"/>
    <n v="222900.99"/>
    <n v="0"/>
    <n v="0"/>
    <n v="222900.99"/>
    <s v="Completed"/>
    <s v="Paid"/>
  </r>
  <r>
    <s v="INV-2026-01073"/>
    <x v="30"/>
    <s v="Central"/>
    <s v="Bhopal"/>
    <s v="Distributor"/>
    <s v="Sneha Reddy"/>
    <s v="ABC Corp"/>
    <x v="2"/>
    <s v="Tennis Racket"/>
    <n v="27"/>
    <n v="6949.39"/>
    <n v="187633.53"/>
    <n v="7827"/>
    <n v="0"/>
    <n v="179806.53"/>
    <s v="Pending"/>
    <s v="Pending"/>
  </r>
  <r>
    <s v="INV-2026-01074"/>
    <x v="45"/>
    <s v="North"/>
    <s v="Lucknow"/>
    <s v="Retail Store"/>
    <s v="Anita Desai"/>
    <s v="Omega Stores"/>
    <x v="3"/>
    <s v="Laptop"/>
    <n v="16"/>
    <n v="24342.560000000001"/>
    <n v="389480.96000000002"/>
    <n v="3755.54"/>
    <n v="0"/>
    <n v="385725.42"/>
    <s v="Processing"/>
    <s v="Paid"/>
  </r>
  <r>
    <s v="INV-2026-01075"/>
    <x v="19"/>
    <s v="East"/>
    <s v="Kolkata"/>
    <s v="Online"/>
    <s v="Sneha Reddy"/>
    <s v="Nexus Ltd"/>
    <x v="1"/>
    <s v="Sofa"/>
    <n v="35"/>
    <n v="18348.689999999999"/>
    <n v="642204.15"/>
    <n v="0"/>
    <n v="0"/>
    <n v="642204.15"/>
    <s v="Completed"/>
    <s v="Paid"/>
  </r>
  <r>
    <s v="INV-2026-01076"/>
    <x v="51"/>
    <s v="South"/>
    <s v="Chennai"/>
    <s v="Online"/>
    <s v="Rahul Sharma"/>
    <s v="ABC Corp"/>
    <x v="4"/>
    <s v="T-Shirt"/>
    <n v="12"/>
    <n v="37883.47"/>
    <n v="454601.64"/>
    <n v="7538.61"/>
    <n v="0"/>
    <n v="447063.03"/>
    <s v="Processing"/>
    <s v="Paid"/>
  </r>
  <r>
    <s v="INV-2026-01077"/>
    <x v="32"/>
    <s v="Central"/>
    <s v="Bhopal"/>
    <s v="Direct Sales"/>
    <s v="Anita Desai"/>
    <s v="Tech Solutions"/>
    <x v="1"/>
    <s v="Cabinet"/>
    <n v="45"/>
    <n v="39471.800000000003"/>
    <n v="1776231"/>
    <n v="0"/>
    <n v="0"/>
    <n v="1776231"/>
    <s v="Cancelled"/>
    <s v="Pending"/>
  </r>
  <r>
    <s v="INV-2026-01078"/>
    <x v="43"/>
    <s v="North"/>
    <s v="Chandigarh"/>
    <s v="Distributor"/>
    <s v="Kavita Nair"/>
    <s v="Metro Mart"/>
    <x v="0"/>
    <s v="Whiteboard"/>
    <n v="3"/>
    <n v="19798.29"/>
    <n v="59394.87"/>
    <n v="2082.69"/>
    <n v="0"/>
    <n v="57312.18"/>
    <s v="Pending"/>
    <s v="Pending"/>
  </r>
  <r>
    <s v="INV-2026-01079"/>
    <x v="74"/>
    <s v="West"/>
    <s v="Ahmedabad"/>
    <s v="Online"/>
    <s v="Suresh Gupta"/>
    <s v="Elite Enterprises"/>
    <x v="4"/>
    <s v="Jacket"/>
    <n v="28"/>
    <n v="12960.99"/>
    <n v="362907.72"/>
    <n v="7060.59"/>
    <n v="0"/>
    <n v="355847.13"/>
    <s v="Processing"/>
    <s v="Paid"/>
  </r>
  <r>
    <s v="INV-2026-01080"/>
    <x v="60"/>
    <s v="West"/>
    <s v="Surat"/>
    <s v="Retail Store"/>
    <s v="Rajesh Verma"/>
    <s v="ABC Corp"/>
    <x v="5"/>
    <s v="Microwave"/>
    <n v="8"/>
    <n v="21668.15"/>
    <n v="173345.2"/>
    <n v="607.72"/>
    <n v="0"/>
    <n v="172737.48"/>
    <s v="Pending"/>
    <s v="Pending"/>
  </r>
  <r>
    <s v="INV-2026-01081"/>
    <x v="33"/>
    <s v="West"/>
    <s v="Pune"/>
    <s v="Retail Store"/>
    <s v="Amit Kumar"/>
    <s v="Metro Mart"/>
    <x v="0"/>
    <s v="Printer Paper"/>
    <n v="21"/>
    <n v="15434.27"/>
    <n v="324119.67"/>
    <n v="0"/>
    <n v="0"/>
    <n v="324119.67"/>
    <s v="Cancelled"/>
    <s v="Pending"/>
  </r>
  <r>
    <s v="INV-2026-01082"/>
    <x v="8"/>
    <s v="South"/>
    <s v="Chennai"/>
    <s v="Direct Sales"/>
    <s v="Meera Joshi"/>
    <s v="Tech Solutions"/>
    <x v="2"/>
    <s v="Bicycle"/>
    <n v="27"/>
    <n v="26197.48"/>
    <n v="707331.96"/>
    <n v="58281.85"/>
    <n v="0"/>
    <n v="649050.11"/>
    <s v="Completed"/>
    <s v="Overdue"/>
  </r>
  <r>
    <s v="INV-2026-01083"/>
    <x v="59"/>
    <s v="North"/>
    <s v="Lucknow"/>
    <s v="Retail Store"/>
    <s v="Sneha Reddy"/>
    <s v="Metro Mart"/>
    <x v="2"/>
    <s v="Yoga Mat"/>
    <n v="12"/>
    <n v="26096.27"/>
    <n v="313155.24"/>
    <n v="21776.69"/>
    <n v="0"/>
    <n v="291378.55"/>
    <s v="Cancelled"/>
    <s v="Pending"/>
  </r>
  <r>
    <s v="INV-2026-01084"/>
    <x v="78"/>
    <s v="West"/>
    <s v="Surat"/>
    <s v="Retail Store"/>
    <s v="Meera Joshi"/>
    <s v="Elite Enterprises"/>
    <x v="4"/>
    <s v="Jacket"/>
    <n v="30"/>
    <n v="16762.34"/>
    <n v="502870.2"/>
    <n v="0"/>
    <n v="0"/>
    <n v="502870.2"/>
    <s v="Processing"/>
    <s v="Paid"/>
  </r>
  <r>
    <s v="INV-2026-01085"/>
    <x v="85"/>
    <s v="South"/>
    <s v="Kochi"/>
    <s v="Online"/>
    <s v="Anita Desai"/>
    <s v="Digital Hub"/>
    <x v="3"/>
    <s v="Camera"/>
    <n v="31"/>
    <n v="47919.99"/>
    <n v="1485519.69"/>
    <n v="0"/>
    <n v="0"/>
    <n v="1485519.69"/>
    <s v="Pending"/>
    <s v="Pending"/>
  </r>
  <r>
    <s v="INV-2026-01086"/>
    <x v="28"/>
    <s v="East"/>
    <s v="Bhubaneswar"/>
    <s v="Retail Store"/>
    <s v="Rajesh Verma"/>
    <s v="XYZ Ltd"/>
    <x v="3"/>
    <s v="Headphones"/>
    <n v="49"/>
    <n v="26604.54"/>
    <n v="1303622.46"/>
    <n v="125970.27"/>
    <n v="31130.799999999999"/>
    <n v="1146521.3899999999"/>
    <s v="Pending"/>
    <s v="Pending"/>
  </r>
  <r>
    <s v="INV-2026-01087"/>
    <x v="35"/>
    <s v="North"/>
    <s v="Lucknow"/>
    <s v="Online"/>
    <s v="Suresh Gupta"/>
    <s v="Smart Systems"/>
    <x v="1"/>
    <s v="Conference Table"/>
    <n v="23"/>
    <n v="14431.47"/>
    <n v="331923.81"/>
    <n v="27967.91"/>
    <n v="0"/>
    <n v="303955.90000000002"/>
    <s v="Completed"/>
    <s v="Pending"/>
  </r>
  <r>
    <s v="INV-2026-01088"/>
    <x v="85"/>
    <s v="East"/>
    <s v="Patna"/>
    <s v="Retail Store"/>
    <s v="Rahul Sharma"/>
    <s v="Alpha Trading"/>
    <x v="4"/>
    <s v="Jeans"/>
    <n v="35"/>
    <n v="13809.62"/>
    <n v="483336.7"/>
    <n v="19462.54"/>
    <n v="0"/>
    <n v="463874.16"/>
    <s v="Cancelled"/>
    <s v="Pending"/>
  </r>
  <r>
    <s v="INV-2026-01089"/>
    <x v="18"/>
    <s v="West"/>
    <s v="Mumbai"/>
    <s v="Retail Store"/>
    <s v="Suresh Gupta"/>
    <s v="Urban Store"/>
    <x v="4"/>
    <s v="Formal Shirt"/>
    <n v="49"/>
    <n v="13471.43"/>
    <n v="660100.06999999995"/>
    <n v="5655.53"/>
    <n v="0"/>
    <n v="654444.54"/>
    <s v="Pending"/>
    <s v="Pending"/>
  </r>
  <r>
    <s v="INV-2026-01090"/>
    <x v="26"/>
    <s v="North"/>
    <s v="Chandigarh"/>
    <s v="Retail Store"/>
    <s v="Priya Patel"/>
    <s v="Nexus Ltd"/>
    <x v="5"/>
    <s v="Air Conditioner"/>
    <n v="27"/>
    <n v="1673.51"/>
    <n v="45184.77"/>
    <n v="376.08"/>
    <n v="0"/>
    <n v="44808.69"/>
    <s v="Cancelled"/>
    <s v="Pending"/>
  </r>
  <r>
    <s v="INV-2026-01091"/>
    <x v="32"/>
    <s v="North"/>
    <s v="Jaipur"/>
    <s v="Retail Store"/>
    <s v="Anita Desai"/>
    <s v="Omega Stores"/>
    <x v="4"/>
    <s v="Shoes"/>
    <n v="21"/>
    <n v="24600.85"/>
    <n v="516617.85"/>
    <n v="0"/>
    <n v="111220.49"/>
    <n v="405397.36"/>
    <s v="Processing"/>
    <s v="Paid"/>
  </r>
  <r>
    <s v="INV-2026-01092"/>
    <x v="38"/>
    <s v="North"/>
    <s v="Lucknow"/>
    <s v="Online"/>
    <s v="Rahul Sharma"/>
    <s v="Prime Retail"/>
    <x v="3"/>
    <s v="Laptop"/>
    <n v="2"/>
    <n v="4288.91"/>
    <n v="8577.82"/>
    <n v="0"/>
    <n v="0"/>
    <n v="8577.82"/>
    <s v="Completed"/>
    <s v="Pending"/>
  </r>
  <r>
    <s v="INV-2026-01093"/>
    <x v="33"/>
    <s v="Central"/>
    <s v="Nagpur"/>
    <s v="Direct Sales"/>
    <s v="Rajesh Verma"/>
    <s v="ABC Corp"/>
    <x v="2"/>
    <s v="Tennis Racket"/>
    <n v="48"/>
    <n v="28936.57"/>
    <n v="1388955.36"/>
    <n v="0"/>
    <n v="0"/>
    <n v="1388955.36"/>
    <s v="Cancelled"/>
    <s v="Pending"/>
  </r>
  <r>
    <s v="INV-2026-01094"/>
    <x v="2"/>
    <s v="Central"/>
    <s v="Nagpur"/>
    <s v="Online"/>
    <s v="Meera Joshi"/>
    <s v="Elite Enterprises"/>
    <x v="2"/>
    <s v="Tennis Racket"/>
    <n v="35"/>
    <n v="4570.2"/>
    <n v="159957"/>
    <n v="20231.599999999999"/>
    <n v="0"/>
    <n v="139725.4"/>
    <s v="Cancelled"/>
    <s v="Pending"/>
  </r>
  <r>
    <s v="INV-2026-01095"/>
    <x v="82"/>
    <s v="West"/>
    <s v="Mumbai"/>
    <s v="Retail Store"/>
    <s v="Sneha Reddy"/>
    <s v="Urban Store"/>
    <x v="5"/>
    <s v="Washing Machine"/>
    <n v="37"/>
    <n v="37066.46"/>
    <n v="1371459.02"/>
    <n v="204088.83"/>
    <n v="0"/>
    <n v="1167370.19"/>
    <s v="Pending"/>
    <s v="Paid"/>
  </r>
  <r>
    <s v="INV-2026-01096"/>
    <x v="62"/>
    <s v="East"/>
    <s v="Guwahati"/>
    <s v="Direct Sales"/>
    <s v="Amit Kumar"/>
    <s v="Nexus Ltd"/>
    <x v="0"/>
    <s v="Desk Organizer"/>
    <n v="41"/>
    <n v="23457.200000000001"/>
    <n v="961745.2"/>
    <n v="0"/>
    <n v="0"/>
    <n v="961745.2"/>
    <s v="Cancelled"/>
    <s v="Pending"/>
  </r>
  <r>
    <s v="INV-2026-01097"/>
    <x v="53"/>
    <s v="South"/>
    <s v="Hyderabad"/>
    <s v="Retail Store"/>
    <s v="Rajesh Verma"/>
    <s v="Digital Hub"/>
    <x v="2"/>
    <s v="Yoga Mat"/>
    <n v="21"/>
    <n v="34519.089999999997"/>
    <n v="724900.89"/>
    <n v="0"/>
    <n v="0"/>
    <n v="724900.89"/>
    <s v="Cancelled"/>
    <s v="Pending"/>
  </r>
  <r>
    <s v="INV-2026-01098"/>
    <x v="15"/>
    <s v="South"/>
    <s v="Kochi"/>
    <s v="Retail Store"/>
    <s v="Sneha Reddy"/>
    <s v="XYZ Ltd"/>
    <x v="1"/>
    <s v="Office Chair"/>
    <n v="3"/>
    <n v="33801.69"/>
    <n v="101405.07"/>
    <n v="3742.14"/>
    <n v="0"/>
    <n v="97662.93"/>
    <s v="Completed"/>
    <s v="Paid"/>
  </r>
  <r>
    <s v="INV-2026-01099"/>
    <x v="52"/>
    <s v="North"/>
    <s v="Jaipur"/>
    <s v="Direct Sales"/>
    <s v="Sneha Reddy"/>
    <s v="Smart Systems"/>
    <x v="4"/>
    <s v="Dress"/>
    <n v="27"/>
    <n v="20097.810000000001"/>
    <n v="542640.87"/>
    <n v="0"/>
    <n v="0"/>
    <n v="542640.87"/>
    <s v="Completed"/>
    <s v="Paid"/>
  </r>
  <r>
    <s v="INV-2026-01100"/>
    <x v="7"/>
    <s v="East"/>
    <s v="Patna"/>
    <s v="Direct Sales"/>
    <s v="Rahul Sharma"/>
    <s v="Digital Hub"/>
    <x v="5"/>
    <s v="Microwave"/>
    <n v="46"/>
    <n v="33394.870000000003"/>
    <n v="1536164.02"/>
    <n v="0"/>
    <n v="0"/>
    <n v="1536164.02"/>
    <s v="Pending"/>
    <s v="Pending"/>
  </r>
  <r>
    <s v="INV-2026-01101"/>
    <x v="1"/>
    <s v="North"/>
    <s v="Chandigarh"/>
    <s v="Retail Store"/>
    <s v="Vijay Singh"/>
    <s v="Alpha Trading"/>
    <x v="1"/>
    <s v="Desk"/>
    <n v="15"/>
    <n v="4838.51"/>
    <n v="72577.649999999994"/>
    <n v="0"/>
    <n v="0"/>
    <n v="72577.649999999994"/>
    <s v="Processing"/>
    <s v="Pending"/>
  </r>
  <r>
    <s v="INV-2026-01102"/>
    <x v="5"/>
    <s v="North"/>
    <s v="Chandigarh"/>
    <s v="Retail Store"/>
    <s v="Vijay Singh"/>
    <s v="Skyline Corp"/>
    <x v="0"/>
    <s v="Printer Paper"/>
    <n v="48"/>
    <n v="5218.37"/>
    <n v="250481.76"/>
    <n v="7985.84"/>
    <n v="0"/>
    <n v="242495.92"/>
    <s v="Pending"/>
    <s v="Pending"/>
  </r>
  <r>
    <s v="INV-2026-01103"/>
    <x v="57"/>
    <s v="West"/>
    <s v="Pune"/>
    <s v="Direct Sales"/>
    <s v="Suresh Gupta"/>
    <s v="Skyline Corp"/>
    <x v="4"/>
    <s v="T-Shirt"/>
    <n v="25"/>
    <n v="5166.8999999999996"/>
    <n v="129172.5"/>
    <n v="10471.459999999999"/>
    <n v="0"/>
    <n v="118701.04"/>
    <s v="Cancelled"/>
    <s v="Pending"/>
  </r>
  <r>
    <s v="INV-2026-01104"/>
    <x v="34"/>
    <s v="South"/>
    <s v="Hyderabad"/>
    <s v="Direct Sales"/>
    <s v="Anita Desai"/>
    <s v="Global Traders"/>
    <x v="3"/>
    <s v="Laptop"/>
    <n v="19"/>
    <n v="20302.150000000001"/>
    <n v="385740.85"/>
    <n v="0"/>
    <n v="0"/>
    <n v="385740.85"/>
    <s v="Pending"/>
    <s v="Pending"/>
  </r>
  <r>
    <s v="INV-2026-01105"/>
    <x v="90"/>
    <s v="East"/>
    <s v="Patna"/>
    <s v="Online"/>
    <s v="Priya Patel"/>
    <s v="Urban Store"/>
    <x v="0"/>
    <s v="Whiteboard"/>
    <n v="49"/>
    <n v="31324.14"/>
    <n v="1534882.86"/>
    <n v="250915.73"/>
    <n v="368852.69"/>
    <n v="915114.44"/>
    <s v="Processing"/>
    <s v="Paid"/>
  </r>
  <r>
    <s v="INV-2026-01106"/>
    <x v="59"/>
    <s v="West"/>
    <s v="Ahmedabad"/>
    <s v="Distributor"/>
    <s v="Suresh Gupta"/>
    <s v="Urban Store"/>
    <x v="0"/>
    <s v="Pen Set"/>
    <n v="45"/>
    <n v="48867.27"/>
    <n v="2199027.15"/>
    <n v="39624.949999999997"/>
    <n v="0"/>
    <n v="2159402.2000000002"/>
    <s v="Completed"/>
    <s v="Paid"/>
  </r>
  <r>
    <s v="INV-2026-01107"/>
    <x v="71"/>
    <s v="South"/>
    <s v="Chennai"/>
    <s v="Online"/>
    <s v="Priya Patel"/>
    <s v="Metro Mart"/>
    <x v="3"/>
    <s v="Laptop"/>
    <n v="2"/>
    <n v="19237.45"/>
    <n v="38474.9"/>
    <n v="0"/>
    <n v="0"/>
    <n v="38474.9"/>
    <s v="Completed"/>
    <s v="Paid"/>
  </r>
  <r>
    <s v="INV-2026-01108"/>
    <x v="74"/>
    <s v="North"/>
    <s v="Jaipur"/>
    <s v="Retail Store"/>
    <s v="Suresh Gupta"/>
    <s v="Alpha Trading"/>
    <x v="1"/>
    <s v="Office Chair"/>
    <n v="16"/>
    <n v="48395.64"/>
    <n v="774330.24"/>
    <n v="3427.42"/>
    <n v="0"/>
    <n v="770902.82"/>
    <s v="Completed"/>
    <s v="Paid"/>
  </r>
  <r>
    <s v="INV-2026-01109"/>
    <x v="18"/>
    <s v="West"/>
    <s v="Surat"/>
    <s v="Retail Store"/>
    <s v="Suresh Gupta"/>
    <s v="Prime Retail"/>
    <x v="1"/>
    <s v="Desk"/>
    <n v="24"/>
    <n v="13523.33"/>
    <n v="324559.92"/>
    <n v="36467.019999999997"/>
    <n v="0"/>
    <n v="288092.90000000002"/>
    <s v="Pending"/>
    <s v="Pending"/>
  </r>
  <r>
    <s v="INV-2026-01110"/>
    <x v="19"/>
    <s v="South"/>
    <s v="Chennai"/>
    <s v="Online"/>
    <s v="Priya Patel"/>
    <s v="Tech Solutions"/>
    <x v="4"/>
    <s v="Shoes"/>
    <n v="7"/>
    <n v="43613.96"/>
    <n v="305297.71999999997"/>
    <n v="0"/>
    <n v="64952.84"/>
    <n v="240344.88"/>
    <s v="Completed"/>
    <s v="Pending"/>
  </r>
  <r>
    <s v="INV-2026-01111"/>
    <x v="41"/>
    <s v="Central"/>
    <s v="Bhopal"/>
    <s v="Distributor"/>
    <s v="Vijay Singh"/>
    <s v="XYZ Ltd"/>
    <x v="4"/>
    <s v="Formal Shirt"/>
    <n v="44"/>
    <n v="40870.86"/>
    <n v="1798317.84"/>
    <n v="207523.89"/>
    <n v="0"/>
    <n v="1590793.95"/>
    <s v="Completed"/>
    <s v="Paid"/>
  </r>
  <r>
    <s v="INV-2026-01112"/>
    <x v="15"/>
    <s v="West"/>
    <s v="Ahmedabad"/>
    <s v="Direct Sales"/>
    <s v="Amit Kumar"/>
    <s v="Metro Mart"/>
    <x v="5"/>
    <s v="Washing Machine"/>
    <n v="7"/>
    <n v="50112.61"/>
    <n v="350788.27"/>
    <n v="20269.62"/>
    <n v="0"/>
    <n v="330518.65000000002"/>
    <s v="Cancelled"/>
    <s v="Pending"/>
  </r>
  <r>
    <s v="INV-2026-01113"/>
    <x v="59"/>
    <s v="Central"/>
    <s v="Raipur"/>
    <s v="Retail Store"/>
    <s v="Sneha Reddy"/>
    <s v="Prime Retail"/>
    <x v="0"/>
    <s v="Desk Organizer"/>
    <n v="25"/>
    <n v="35831.89"/>
    <n v="895797.25"/>
    <n v="115142.76"/>
    <n v="0"/>
    <n v="780654.49"/>
    <s v="Pending"/>
    <s v="Pending"/>
  </r>
  <r>
    <s v="INV-2026-01114"/>
    <x v="67"/>
    <s v="Central"/>
    <s v="Bhopal"/>
    <s v="Direct Sales"/>
    <s v="Suresh Gupta"/>
    <s v="XYZ Ltd"/>
    <x v="3"/>
    <s v="Headphones"/>
    <n v="9"/>
    <n v="838.95"/>
    <n v="7550.55"/>
    <n v="0"/>
    <n v="0"/>
    <n v="7550.55"/>
    <s v="Cancelled"/>
    <s v="Pending"/>
  </r>
  <r>
    <s v="INV-2026-01115"/>
    <x v="80"/>
    <s v="East"/>
    <s v="Patna"/>
    <s v="Direct Sales"/>
    <s v="Priya Patel"/>
    <s v="ABC Corp"/>
    <x v="0"/>
    <s v="File Folder"/>
    <n v="21"/>
    <n v="20277.18"/>
    <n v="425820.78"/>
    <n v="0"/>
    <n v="0"/>
    <n v="425820.78"/>
    <s v="Processing"/>
    <s v="Pending"/>
  </r>
  <r>
    <s v="INV-2026-01116"/>
    <x v="77"/>
    <s v="West"/>
    <s v="Mumbai"/>
    <s v="Retail Store"/>
    <s v="Suresh Gupta"/>
    <s v="Skyline Corp"/>
    <x v="2"/>
    <s v="Gym Equipment"/>
    <n v="45"/>
    <n v="12777.53"/>
    <n v="574988.85"/>
    <n v="0"/>
    <n v="0"/>
    <n v="574988.85"/>
    <s v="Pending"/>
    <s v="Pending"/>
  </r>
  <r>
    <s v="INV-2026-01117"/>
    <x v="12"/>
    <s v="North"/>
    <s v="Chandigarh"/>
    <s v="Distributor"/>
    <s v="Suresh Gupta"/>
    <s v="Omega Stores"/>
    <x v="0"/>
    <s v="Desk Organizer"/>
    <n v="6"/>
    <n v="16736.919999999998"/>
    <n v="100421.52"/>
    <n v="6173.7"/>
    <n v="0"/>
    <n v="94247.82"/>
    <s v="Cancelled"/>
    <s v="Pending"/>
  </r>
  <r>
    <s v="INV-2026-01118"/>
    <x v="9"/>
    <s v="West"/>
    <s v="Ahmedabad"/>
    <s v="Direct Sales"/>
    <s v="Sneha Reddy"/>
    <s v="Global Traders"/>
    <x v="3"/>
    <s v="Laptop"/>
    <n v="37"/>
    <n v="48096.639999999999"/>
    <n v="1779575.68"/>
    <n v="115334.62"/>
    <n v="0"/>
    <n v="1664241.06"/>
    <s v="Cancelled"/>
    <s v="Pending"/>
  </r>
  <r>
    <s v="INV-2026-01119"/>
    <x v="59"/>
    <s v="Central"/>
    <s v="Nagpur"/>
    <s v="Retail Store"/>
    <s v="Amit Kumar"/>
    <s v="Metro Mart"/>
    <x v="3"/>
    <s v="Headphones"/>
    <n v="10"/>
    <n v="22285.919999999998"/>
    <n v="222859.2"/>
    <n v="0"/>
    <n v="63305.86"/>
    <n v="159553.34"/>
    <s v="Pending"/>
    <s v="Paid"/>
  </r>
  <r>
    <s v="INV-2026-01120"/>
    <x v="44"/>
    <s v="South"/>
    <s v="Hyderabad"/>
    <s v="Distributor"/>
    <s v="Suresh Gupta"/>
    <s v="Elite Enterprises"/>
    <x v="4"/>
    <s v="Jeans"/>
    <n v="50"/>
    <n v="36566.269999999997"/>
    <n v="1828313.5"/>
    <n v="209375.35999999999"/>
    <n v="240859.25"/>
    <n v="1378078.89"/>
    <s v="Processing"/>
    <s v="Pending"/>
  </r>
  <r>
    <s v="INV-2026-01121"/>
    <x v="73"/>
    <s v="West"/>
    <s v="Mumbai"/>
    <s v="Online"/>
    <s v="Meera Joshi"/>
    <s v="Tech Solutions"/>
    <x v="5"/>
    <s v="Air Conditioner"/>
    <n v="17"/>
    <n v="8744.74"/>
    <n v="148660.57999999999"/>
    <n v="3204.28"/>
    <n v="0"/>
    <n v="145456.29999999999"/>
    <s v="Processing"/>
    <s v="Pending"/>
  </r>
  <r>
    <s v="INV-2026-01122"/>
    <x v="41"/>
    <s v="West"/>
    <s v="Pune"/>
    <s v="Distributor"/>
    <s v="Priya Patel"/>
    <s v="ABC Corp"/>
    <x v="0"/>
    <s v="Pen Set"/>
    <n v="2"/>
    <n v="12512.22"/>
    <n v="25024.44"/>
    <n v="0"/>
    <n v="0"/>
    <n v="25024.44"/>
    <s v="Pending"/>
    <s v="Pending"/>
  </r>
  <r>
    <s v="INV-2026-01123"/>
    <x v="90"/>
    <s v="West"/>
    <s v="Surat"/>
    <s v="Direct Sales"/>
    <s v="Suresh Gupta"/>
    <s v="Prime Retail"/>
    <x v="3"/>
    <s v="Camera"/>
    <n v="23"/>
    <n v="3214.84"/>
    <n v="73941.320000000007"/>
    <n v="0"/>
    <n v="0"/>
    <n v="73941.320000000007"/>
    <s v="Processing"/>
    <s v="Pending"/>
  </r>
  <r>
    <s v="INV-2026-01124"/>
    <x v="87"/>
    <s v="Central"/>
    <s v="Bhopal"/>
    <s v="Retail Store"/>
    <s v="Sneha Reddy"/>
    <s v="Global Traders"/>
    <x v="1"/>
    <s v="Sofa"/>
    <n v="16"/>
    <n v="42478"/>
    <n v="679648"/>
    <n v="12257.48"/>
    <n v="0"/>
    <n v="667390.52"/>
    <s v="Processing"/>
    <s v="Pending"/>
  </r>
  <r>
    <s v="INV-2026-01125"/>
    <x v="8"/>
    <s v="South"/>
    <s v="Hyderabad"/>
    <s v="Distributor"/>
    <s v="Anita Desai"/>
    <s v="Tech Solutions"/>
    <x v="3"/>
    <s v="Smartphone"/>
    <n v="27"/>
    <n v="49433.42"/>
    <n v="1334702.3400000001"/>
    <n v="128182.28"/>
    <n v="0"/>
    <n v="1206520.06"/>
    <s v="Completed"/>
    <s v="Paid"/>
  </r>
  <r>
    <s v="INV-2026-01126"/>
    <x v="62"/>
    <s v="South"/>
    <s v="Bangalore"/>
    <s v="Direct Sales"/>
    <s v="Anita Desai"/>
    <s v="Future Tech"/>
    <x v="3"/>
    <s v="Tablet"/>
    <n v="31"/>
    <n v="14962.24"/>
    <n v="463829.44"/>
    <n v="0"/>
    <n v="0"/>
    <n v="463829.44"/>
    <s v="Cancelled"/>
    <s v="Pending"/>
  </r>
  <r>
    <s v="INV-2026-01127"/>
    <x v="65"/>
    <s v="West"/>
    <s v="Mumbai"/>
    <s v="Retail Store"/>
    <s v="Rahul Sharma"/>
    <s v="Skyline Corp"/>
    <x v="2"/>
    <s v="Gym Equipment"/>
    <n v="11"/>
    <n v="50149.89"/>
    <n v="551648.79"/>
    <n v="8968.35"/>
    <n v="0"/>
    <n v="542680.43999999994"/>
    <s v="Cancelled"/>
    <s v="Pending"/>
  </r>
  <r>
    <s v="INV-2026-01128"/>
    <x v="78"/>
    <s v="West"/>
    <s v="Pune"/>
    <s v="Retail Store"/>
    <s v="Kavita Nair"/>
    <s v="Nexus Ltd"/>
    <x v="2"/>
    <s v="Bicycle"/>
    <n v="28"/>
    <n v="10897.25"/>
    <n v="305123"/>
    <n v="0"/>
    <n v="0"/>
    <n v="305123"/>
    <s v="Pending"/>
    <s v="Pending"/>
  </r>
  <r>
    <s v="INV-2026-01129"/>
    <x v="87"/>
    <s v="West"/>
    <s v="Ahmedabad"/>
    <s v="Online"/>
    <s v="Meera Joshi"/>
    <s v="Metro Mart"/>
    <x v="5"/>
    <s v="TV"/>
    <n v="8"/>
    <n v="47030.73"/>
    <n v="376245.84"/>
    <n v="0"/>
    <n v="0"/>
    <n v="376245.84"/>
    <s v="Completed"/>
    <s v="Paid"/>
  </r>
  <r>
    <s v="INV-2026-01130"/>
    <x v="62"/>
    <s v="Central"/>
    <s v="Raipur"/>
    <s v="Distributor"/>
    <s v="Meera Joshi"/>
    <s v="Future Tech"/>
    <x v="3"/>
    <s v="Laptop"/>
    <n v="26"/>
    <n v="35807.26"/>
    <n v="930988.76"/>
    <n v="63127.89"/>
    <n v="214467.58"/>
    <n v="653393.29"/>
    <s v="Completed"/>
    <s v="Paid"/>
  </r>
  <r>
    <s v="INV-2026-01131"/>
    <x v="12"/>
    <s v="East"/>
    <s v="Guwahati"/>
    <s v="Retail Store"/>
    <s v="Vijay Singh"/>
    <s v="XYZ Ltd"/>
    <x v="3"/>
    <s v="Smartphone"/>
    <n v="4"/>
    <n v="29002.22"/>
    <n v="116008.88"/>
    <n v="5847.38"/>
    <n v="11679.77"/>
    <n v="98481.73"/>
    <s v="Pending"/>
    <s v="Pending"/>
  </r>
  <r>
    <s v="INV-2026-01132"/>
    <x v="13"/>
    <s v="North"/>
    <s v="Jaipur"/>
    <s v="Distributor"/>
    <s v="Sneha Reddy"/>
    <s v="Global Traders"/>
    <x v="0"/>
    <s v="Pen Set"/>
    <n v="27"/>
    <n v="23778.71"/>
    <n v="642025.17000000004"/>
    <n v="0"/>
    <n v="0"/>
    <n v="642025.17000000004"/>
    <s v="Completed"/>
    <s v="Paid"/>
  </r>
  <r>
    <s v="INV-2026-01133"/>
    <x v="32"/>
    <s v="North"/>
    <s v="Delhi"/>
    <s v="Online"/>
    <s v="Rajesh Verma"/>
    <s v="Global Traders"/>
    <x v="3"/>
    <s v="Laptop"/>
    <n v="16"/>
    <n v="29255.81"/>
    <n v="468092.96"/>
    <n v="0"/>
    <n v="0"/>
    <n v="468092.96"/>
    <s v="Cancelled"/>
    <s v="Pending"/>
  </r>
  <r>
    <s v="INV-2026-01134"/>
    <x v="54"/>
    <s v="Central"/>
    <s v="Indore"/>
    <s v="Online"/>
    <s v="Amit Kumar"/>
    <s v="Urban Store"/>
    <x v="4"/>
    <s v="Shoes"/>
    <n v="27"/>
    <n v="35953.279999999999"/>
    <n v="970738.56"/>
    <n v="138442.35999999999"/>
    <n v="0"/>
    <n v="832296.2"/>
    <s v="Pending"/>
    <s v="Pending"/>
  </r>
  <r>
    <s v="INV-2026-01135"/>
    <x v="6"/>
    <s v="East"/>
    <s v="Kolkata"/>
    <s v="Retail Store"/>
    <s v="Amit Kumar"/>
    <s v="Elite Enterprises"/>
    <x v="0"/>
    <s v="Whiteboard"/>
    <n v="13"/>
    <n v="38970.89"/>
    <n v="506621.57"/>
    <n v="3040.37"/>
    <n v="0"/>
    <n v="503581.2"/>
    <s v="Completed"/>
    <s v="Pending"/>
  </r>
  <r>
    <s v="INV-2026-01136"/>
    <x v="2"/>
    <s v="East"/>
    <s v="Patna"/>
    <s v="Retail Store"/>
    <s v="Amit Kumar"/>
    <s v="Metro Mart"/>
    <x v="2"/>
    <s v="Gym Equipment"/>
    <n v="43"/>
    <n v="29893.55"/>
    <n v="1285422.6499999999"/>
    <n v="0"/>
    <n v="0"/>
    <n v="1285422.6499999999"/>
    <s v="Processing"/>
    <s v="Pending"/>
  </r>
  <r>
    <s v="INV-2026-01137"/>
    <x v="77"/>
    <s v="North"/>
    <s v="Delhi"/>
    <s v="Direct Sales"/>
    <s v="Sneha Reddy"/>
    <s v="Prime Retail"/>
    <x v="5"/>
    <s v="TV"/>
    <n v="4"/>
    <n v="14048"/>
    <n v="56192"/>
    <n v="2703.19"/>
    <n v="4222.04"/>
    <n v="49266.77"/>
    <s v="Completed"/>
    <s v="Paid"/>
  </r>
  <r>
    <s v="INV-2026-01138"/>
    <x v="50"/>
    <s v="South"/>
    <s v="Hyderabad"/>
    <s v="Direct Sales"/>
    <s v="Anita Desai"/>
    <s v="Nexus Ltd"/>
    <x v="5"/>
    <s v="Washing Machine"/>
    <n v="31"/>
    <n v="25322.07"/>
    <n v="784984.17"/>
    <n v="0"/>
    <n v="0"/>
    <n v="784984.17"/>
    <s v="Completed"/>
    <s v="Paid"/>
  </r>
  <r>
    <s v="INV-2026-01139"/>
    <x v="31"/>
    <s v="North"/>
    <s v="Lucknow"/>
    <s v="Retail Store"/>
    <s v="Suresh Gupta"/>
    <s v="Prime Retail"/>
    <x v="4"/>
    <s v="T-Shirt"/>
    <n v="25"/>
    <n v="13795.04"/>
    <n v="344876"/>
    <n v="0"/>
    <n v="0"/>
    <n v="344876"/>
    <s v="Processing"/>
    <s v="Pending"/>
  </r>
  <r>
    <s v="INV-2026-01140"/>
    <x v="90"/>
    <s v="West"/>
    <s v="Ahmedabad"/>
    <s v="Distributor"/>
    <s v="Vijay Singh"/>
    <s v="Future Tech"/>
    <x v="2"/>
    <s v="Yoga Mat"/>
    <n v="19"/>
    <n v="9825.7099999999991"/>
    <n v="186688.49"/>
    <n v="0"/>
    <n v="9086.69"/>
    <n v="177601.8"/>
    <s v="Pending"/>
    <s v="Pending"/>
  </r>
  <r>
    <s v="INV-2026-01141"/>
    <x v="81"/>
    <s v="South"/>
    <s v="Kochi"/>
    <s v="Direct Sales"/>
    <s v="Suresh Gupta"/>
    <s v="Digital Hub"/>
    <x v="3"/>
    <s v="Tablet"/>
    <n v="44"/>
    <n v="13307.21"/>
    <n v="585517.24"/>
    <n v="0"/>
    <n v="16340.22"/>
    <n v="569177.02"/>
    <s v="Cancelled"/>
    <s v="Pending"/>
  </r>
  <r>
    <s v="INV-2026-01142"/>
    <x v="59"/>
    <s v="South"/>
    <s v="Bangalore"/>
    <s v="Distributor"/>
    <s v="Kavita Nair"/>
    <s v="Future Tech"/>
    <x v="4"/>
    <s v="Formal Shirt"/>
    <n v="26"/>
    <n v="27654.73"/>
    <n v="719022.98"/>
    <n v="0"/>
    <n v="0"/>
    <n v="719022.98"/>
    <s v="Completed"/>
    <s v="Paid"/>
  </r>
  <r>
    <s v="INV-2026-01143"/>
    <x v="91"/>
    <s v="North"/>
    <s v="Jaipur"/>
    <s v="Distributor"/>
    <s v="Rahul Sharma"/>
    <s v="Urban Store"/>
    <x v="1"/>
    <s v="Office Chair"/>
    <n v="33"/>
    <n v="42322.1"/>
    <n v="1396629.3"/>
    <n v="261669.79"/>
    <n v="0"/>
    <n v="1134959.51"/>
    <s v="Pending"/>
    <s v="Pending"/>
  </r>
  <r>
    <s v="INV-2026-01144"/>
    <x v="60"/>
    <s v="East"/>
    <s v="Guwahati"/>
    <s v="Retail Store"/>
    <s v="Anita Desai"/>
    <s v="Elite Enterprises"/>
    <x v="4"/>
    <s v="Jeans"/>
    <n v="9"/>
    <n v="1751.32"/>
    <n v="15761.88"/>
    <n v="1064.49"/>
    <n v="0"/>
    <n v="14697.39"/>
    <s v="Cancelled"/>
    <s v="Pending"/>
  </r>
  <r>
    <s v="INV-2026-01145"/>
    <x v="57"/>
    <s v="West"/>
    <s v="Ahmedabad"/>
    <s v="Direct Sales"/>
    <s v="Kavita Nair"/>
    <s v="Future Tech"/>
    <x v="4"/>
    <s v="T-Shirt"/>
    <n v="11"/>
    <n v="12697.56"/>
    <n v="139673.16"/>
    <n v="12845.59"/>
    <n v="22508.54"/>
    <n v="104319.03"/>
    <s v="Processing"/>
    <s v="Pending"/>
  </r>
  <r>
    <s v="INV-2026-01146"/>
    <x v="52"/>
    <s v="South"/>
    <s v="Chennai"/>
    <s v="Retail Store"/>
    <s v="Sneha Reddy"/>
    <s v="Digital Hub"/>
    <x v="0"/>
    <s v="Desk Organizer"/>
    <n v="11"/>
    <n v="25903.58"/>
    <n v="284939.38"/>
    <n v="4771.05"/>
    <n v="0"/>
    <n v="280168.33"/>
    <s v="Processing"/>
    <s v="Pending"/>
  </r>
  <r>
    <s v="INV-2026-01147"/>
    <x v="62"/>
    <s v="South"/>
    <s v="Hyderabad"/>
    <s v="Online"/>
    <s v="Meera Joshi"/>
    <s v="Urban Store"/>
    <x v="4"/>
    <s v="Shoes"/>
    <n v="43"/>
    <n v="18270.61"/>
    <n v="785636.23"/>
    <n v="0"/>
    <n v="78184.59"/>
    <n v="707451.64"/>
    <s v="Completed"/>
    <s v="Paid"/>
  </r>
  <r>
    <s v="INV-2026-01148"/>
    <x v="21"/>
    <s v="Central"/>
    <s v="Indore"/>
    <s v="Online"/>
    <s v="Kavita Nair"/>
    <s v="Smart Systems"/>
    <x v="2"/>
    <s v="Tennis Racket"/>
    <n v="42"/>
    <n v="15350.51"/>
    <n v="644721.42000000004"/>
    <n v="93765.68"/>
    <n v="0"/>
    <n v="550955.74"/>
    <s v="Cancelled"/>
    <s v="Pending"/>
  </r>
  <r>
    <s v="INV-2026-01149"/>
    <x v="34"/>
    <s v="South"/>
    <s v="Hyderabad"/>
    <s v="Online"/>
    <s v="Sneha Reddy"/>
    <s v="Metro Mart"/>
    <x v="2"/>
    <s v="Gym Equipment"/>
    <n v="12"/>
    <n v="18332.54"/>
    <n v="219990.48"/>
    <n v="0"/>
    <n v="0"/>
    <n v="219990.48"/>
    <s v="Completed"/>
    <s v="Pending"/>
  </r>
  <r>
    <s v="INV-2026-01150"/>
    <x v="7"/>
    <s v="North"/>
    <s v="Chandigarh"/>
    <s v="Online"/>
    <s v="Rajesh Verma"/>
    <s v="Skyline Corp"/>
    <x v="2"/>
    <s v="Football"/>
    <n v="4"/>
    <n v="27620.37"/>
    <n v="110481.48"/>
    <n v="13825.67"/>
    <n v="0"/>
    <n v="96655.81"/>
    <s v="Pending"/>
    <s v="Pending"/>
  </r>
  <r>
    <s v="INV-2026-01151"/>
    <x v="14"/>
    <s v="South"/>
    <s v="Hyderabad"/>
    <s v="Direct Sales"/>
    <s v="Meera Joshi"/>
    <s v="ABC Corp"/>
    <x v="0"/>
    <s v="Whiteboard"/>
    <n v="50"/>
    <n v="6131.72"/>
    <n v="306586"/>
    <n v="28079.3"/>
    <n v="0"/>
    <n v="278506.7"/>
    <s v="Cancelled"/>
    <s v="Pending"/>
  </r>
  <r>
    <s v="INV-2026-01152"/>
    <x v="67"/>
    <s v="Central"/>
    <s v="Nagpur"/>
    <s v="Direct Sales"/>
    <s v="Rahul Sharma"/>
    <s v="Metro Mart"/>
    <x v="0"/>
    <s v="Printer Paper"/>
    <n v="36"/>
    <n v="18578.740000000002"/>
    <n v="668834.64"/>
    <n v="106042.68"/>
    <n v="0"/>
    <n v="562791.96"/>
    <s v="Pending"/>
    <s v="Paid"/>
  </r>
  <r>
    <s v="INV-2026-01153"/>
    <x v="65"/>
    <s v="West"/>
    <s v="Surat"/>
    <s v="Distributor"/>
    <s v="Meera Joshi"/>
    <s v="Smart Systems"/>
    <x v="4"/>
    <s v="Jeans"/>
    <n v="25"/>
    <n v="22311.7"/>
    <n v="557792.5"/>
    <n v="0"/>
    <n v="0"/>
    <n v="557792.5"/>
    <s v="Cancelled"/>
    <s v="Pending"/>
  </r>
  <r>
    <s v="INV-2026-01154"/>
    <x v="54"/>
    <s v="North"/>
    <s v="Jaipur"/>
    <s v="Online"/>
    <s v="Vijay Singh"/>
    <s v="ABC Corp"/>
    <x v="0"/>
    <s v="File Folder"/>
    <n v="10"/>
    <n v="37746.04"/>
    <n v="377460.4"/>
    <n v="0"/>
    <n v="0"/>
    <n v="377460.4"/>
    <s v="Completed"/>
    <s v="Pending"/>
  </r>
  <r>
    <s v="INV-2026-01155"/>
    <x v="54"/>
    <s v="North"/>
    <s v="Jaipur"/>
    <s v="Retail Store"/>
    <s v="Anita Desai"/>
    <s v="Nexus Ltd"/>
    <x v="1"/>
    <s v="Office Chair"/>
    <n v="6"/>
    <n v="27878.35"/>
    <n v="167270.1"/>
    <n v="29174.799999999999"/>
    <n v="0"/>
    <n v="138095.29999999999"/>
    <s v="Completed"/>
    <s v="Paid"/>
  </r>
  <r>
    <s v="INV-2026-01156"/>
    <x v="87"/>
    <s v="Central"/>
    <s v="Bhopal"/>
    <s v="Direct Sales"/>
    <s v="Suresh Gupta"/>
    <s v="ABC Corp"/>
    <x v="1"/>
    <s v="Desk"/>
    <n v="4"/>
    <n v="9849.9"/>
    <n v="39399.599999999999"/>
    <n v="615.20000000000005"/>
    <n v="0"/>
    <n v="38784.400000000001"/>
    <s v="Completed"/>
    <s v="Paid"/>
  </r>
  <r>
    <s v="INV-2026-01157"/>
    <x v="81"/>
    <s v="East"/>
    <s v="Patna"/>
    <s v="Retail Store"/>
    <s v="Rajesh Verma"/>
    <s v="Digital Hub"/>
    <x v="5"/>
    <s v="Vacuum Cleaner"/>
    <n v="5"/>
    <n v="11362.46"/>
    <n v="56812.3"/>
    <n v="0"/>
    <n v="0"/>
    <n v="56812.3"/>
    <s v="Cancelled"/>
    <s v="Pending"/>
  </r>
  <r>
    <s v="INV-2026-01158"/>
    <x v="16"/>
    <s v="Central"/>
    <s v="Nagpur"/>
    <s v="Retail Store"/>
    <s v="Rahul Sharma"/>
    <s v="Omega Stores"/>
    <x v="4"/>
    <s v="Jeans"/>
    <n v="18"/>
    <n v="10104.790000000001"/>
    <n v="181886.22"/>
    <n v="22396.45"/>
    <n v="0"/>
    <n v="159489.76999999999"/>
    <s v="Cancelled"/>
    <s v="Pending"/>
  </r>
  <r>
    <s v="INV-2026-01159"/>
    <x v="2"/>
    <s v="Central"/>
    <s v="Raipur"/>
    <s v="Direct Sales"/>
    <s v="Sneha Reddy"/>
    <s v="Alpha Trading"/>
    <x v="1"/>
    <s v="Desk"/>
    <n v="44"/>
    <n v="39664.03"/>
    <n v="1745217.32"/>
    <n v="343496.2"/>
    <n v="0"/>
    <n v="1401721.12"/>
    <s v="Cancelled"/>
    <s v="Pending"/>
  </r>
  <r>
    <s v="INV-2026-01160"/>
    <x v="11"/>
    <s v="Central"/>
    <s v="Raipur"/>
    <s v="Retail Store"/>
    <s v="Rahul Sharma"/>
    <s v="Global Traders"/>
    <x v="5"/>
    <s v="Washing Machine"/>
    <n v="21"/>
    <n v="48862.95"/>
    <n v="1026121.95"/>
    <n v="149596.4"/>
    <n v="0"/>
    <n v="876525.55"/>
    <s v="Cancelled"/>
    <s v="Pending"/>
  </r>
  <r>
    <s v="INV-2026-01161"/>
    <x v="86"/>
    <s v="Central"/>
    <s v="Bhopal"/>
    <s v="Distributor"/>
    <s v="Sneha Reddy"/>
    <s v="Metro Mart"/>
    <x v="0"/>
    <s v="Whiteboard"/>
    <n v="26"/>
    <n v="9685.2999999999993"/>
    <n v="251817.8"/>
    <n v="0"/>
    <n v="0"/>
    <n v="251817.8"/>
    <s v="Cancelled"/>
    <s v="Pending"/>
  </r>
  <r>
    <s v="INV-2026-01162"/>
    <x v="69"/>
    <s v="East"/>
    <s v="Guwahati"/>
    <s v="Direct Sales"/>
    <s v="Meera Joshi"/>
    <s v="Skyline Corp"/>
    <x v="2"/>
    <s v="Yoga Mat"/>
    <n v="34"/>
    <n v="47235.63"/>
    <n v="1606011.42"/>
    <n v="179464.86"/>
    <n v="0"/>
    <n v="1426546.56"/>
    <s v="Completed"/>
    <s v="Paid"/>
  </r>
  <r>
    <s v="INV-2026-01163"/>
    <x v="14"/>
    <s v="East"/>
    <s v="Kolkata"/>
    <s v="Online"/>
    <s v="Vijay Singh"/>
    <s v="Future Tech"/>
    <x v="3"/>
    <s v="Headphones"/>
    <n v="43"/>
    <n v="3086.74"/>
    <n v="132729.82"/>
    <n v="1937.3"/>
    <n v="0"/>
    <n v="130792.52"/>
    <s v="Cancelled"/>
    <s v="Pending"/>
  </r>
  <r>
    <s v="INV-2026-01164"/>
    <x v="12"/>
    <s v="South"/>
    <s v="Kochi"/>
    <s v="Retail Store"/>
    <s v="Amit Kumar"/>
    <s v="Elite Enterprises"/>
    <x v="1"/>
    <s v="Cabinet"/>
    <n v="5"/>
    <n v="43913.87"/>
    <n v="219569.35"/>
    <n v="0"/>
    <n v="50593.08"/>
    <n v="168976.27"/>
    <s v="Completed"/>
    <s v="Paid"/>
  </r>
  <r>
    <s v="INV-2026-01165"/>
    <x v="91"/>
    <s v="North"/>
    <s v="Jaipur"/>
    <s v="Direct Sales"/>
    <s v="Meera Joshi"/>
    <s v="Nexus Ltd"/>
    <x v="2"/>
    <s v="Tennis Racket"/>
    <n v="43"/>
    <n v="4963.01"/>
    <n v="213409.43"/>
    <n v="22769.93"/>
    <n v="0"/>
    <n v="190639.5"/>
    <s v="Pending"/>
    <s v="Pending"/>
  </r>
  <r>
    <s v="INV-2026-01166"/>
    <x v="59"/>
    <s v="West"/>
    <s v="Mumbai"/>
    <s v="Direct Sales"/>
    <s v="Priya Patel"/>
    <s v="Smart Systems"/>
    <x v="0"/>
    <s v="Whiteboard"/>
    <n v="13"/>
    <n v="5827"/>
    <n v="75751"/>
    <n v="1593.63"/>
    <n v="15408.18"/>
    <n v="58749.19"/>
    <s v="Pending"/>
    <s v="Pending"/>
  </r>
  <r>
    <s v="INV-2026-01167"/>
    <x v="66"/>
    <s v="Central"/>
    <s v="Indore"/>
    <s v="Online"/>
    <s v="Anita Desai"/>
    <s v="Elite Enterprises"/>
    <x v="4"/>
    <s v="T-Shirt"/>
    <n v="34"/>
    <n v="47684.6"/>
    <n v="1621276.4"/>
    <n v="0"/>
    <n v="0"/>
    <n v="1621276.4"/>
    <s v="Processing"/>
    <s v="Pending"/>
  </r>
  <r>
    <s v="INV-2026-01168"/>
    <x v="45"/>
    <s v="South"/>
    <s v="Chennai"/>
    <s v="Online"/>
    <s v="Meera Joshi"/>
    <s v="XYZ Ltd"/>
    <x v="4"/>
    <s v="Formal Shirt"/>
    <n v="19"/>
    <n v="36953.96"/>
    <n v="702125.24"/>
    <n v="80425.070000000007"/>
    <n v="0"/>
    <n v="621700.17000000004"/>
    <s v="Pending"/>
    <s v="Pending"/>
  </r>
  <r>
    <s v="INV-2026-01169"/>
    <x v="74"/>
    <s v="South"/>
    <s v="Bangalore"/>
    <s v="Distributor"/>
    <s v="Kavita Nair"/>
    <s v="Tech Solutions"/>
    <x v="2"/>
    <s v="Tennis Racket"/>
    <n v="8"/>
    <n v="36388.089999999997"/>
    <n v="291104.71999999997"/>
    <n v="44916.49"/>
    <n v="0"/>
    <n v="246188.23"/>
    <s v="Pending"/>
    <s v="Paid"/>
  </r>
  <r>
    <s v="INV-2026-01170"/>
    <x v="76"/>
    <s v="Central"/>
    <s v="Indore"/>
    <s v="Retail Store"/>
    <s v="Anita Desai"/>
    <s v="Omega Stores"/>
    <x v="5"/>
    <s v="Washing Machine"/>
    <n v="2"/>
    <n v="9514.32"/>
    <n v="19028.64"/>
    <n v="0"/>
    <n v="4081.52"/>
    <n v="14947.12"/>
    <s v="Pending"/>
    <s v="Paid"/>
  </r>
  <r>
    <s v="INV-2026-01171"/>
    <x v="48"/>
    <s v="North"/>
    <s v="Delhi"/>
    <s v="Direct Sales"/>
    <s v="Meera Joshi"/>
    <s v="Omega Stores"/>
    <x v="3"/>
    <s v="Tablet"/>
    <n v="19"/>
    <n v="7438.61"/>
    <n v="141333.59"/>
    <n v="23444.27"/>
    <n v="0"/>
    <n v="117889.32"/>
    <s v="Cancelled"/>
    <s v="Pending"/>
  </r>
  <r>
    <s v="INV-2026-01172"/>
    <x v="77"/>
    <s v="Central"/>
    <s v="Raipur"/>
    <s v="Retail Store"/>
    <s v="Priya Patel"/>
    <s v="ABC Corp"/>
    <x v="3"/>
    <s v="Smart Watch"/>
    <n v="12"/>
    <n v="25277.599999999999"/>
    <n v="303331.20000000001"/>
    <n v="586.71"/>
    <n v="0"/>
    <n v="302744.49"/>
    <s v="Completed"/>
    <s v="Paid"/>
  </r>
  <r>
    <s v="INV-2026-01173"/>
    <x v="84"/>
    <s v="North"/>
    <s v="Delhi"/>
    <s v="Retail Store"/>
    <s v="Sneha Reddy"/>
    <s v="Digital Hub"/>
    <x v="4"/>
    <s v="Shoes"/>
    <n v="8"/>
    <n v="10550.81"/>
    <n v="84406.48"/>
    <n v="0"/>
    <n v="0"/>
    <n v="84406.48"/>
    <s v="Processing"/>
    <s v="Pending"/>
  </r>
  <r>
    <s v="INV-2026-01174"/>
    <x v="88"/>
    <s v="Central"/>
    <s v="Bhopal"/>
    <s v="Retail Store"/>
    <s v="Priya Patel"/>
    <s v="Skyline Corp"/>
    <x v="0"/>
    <s v="Notebook"/>
    <n v="25"/>
    <n v="30603.19"/>
    <n v="765079.75"/>
    <n v="9502.01"/>
    <n v="0"/>
    <n v="755577.74"/>
    <s v="Completed"/>
    <s v="Paid"/>
  </r>
  <r>
    <s v="INV-2026-01175"/>
    <x v="22"/>
    <s v="South"/>
    <s v="Hyderabad"/>
    <s v="Direct Sales"/>
    <s v="Rahul Sharma"/>
    <s v="Alpha Trading"/>
    <x v="3"/>
    <s v="Camera"/>
    <n v="44"/>
    <n v="5513.92"/>
    <n v="242612.48000000001"/>
    <n v="45003.29"/>
    <n v="0"/>
    <n v="197609.19"/>
    <s v="Pending"/>
    <s v="Pending"/>
  </r>
  <r>
    <s v="INV-2026-01176"/>
    <x v="69"/>
    <s v="North"/>
    <s v="Lucknow"/>
    <s v="Direct Sales"/>
    <s v="Vijay Singh"/>
    <s v="Prime Retail"/>
    <x v="4"/>
    <s v="Jeans"/>
    <n v="34"/>
    <n v="14277.54"/>
    <n v="485436.36"/>
    <n v="70020.149999999994"/>
    <n v="0"/>
    <n v="415416.21"/>
    <s v="Completed"/>
    <s v="Pending"/>
  </r>
  <r>
    <s v="INV-2026-01177"/>
    <x v="74"/>
    <s v="Central"/>
    <s v="Nagpur"/>
    <s v="Online"/>
    <s v="Amit Kumar"/>
    <s v="Nexus Ltd"/>
    <x v="5"/>
    <s v="Vacuum Cleaner"/>
    <n v="49"/>
    <n v="1934.94"/>
    <n v="94812.06"/>
    <n v="0"/>
    <n v="0"/>
    <n v="94812.06"/>
    <s v="Cancelled"/>
    <s v="Pending"/>
  </r>
  <r>
    <s v="INV-2026-01178"/>
    <x v="15"/>
    <s v="South"/>
    <s v="Chennai"/>
    <s v="Online"/>
    <s v="Priya Patel"/>
    <s v="Omega Stores"/>
    <x v="3"/>
    <s v="Headphones"/>
    <n v="38"/>
    <n v="50486.59"/>
    <n v="1918490.42"/>
    <n v="145935.31"/>
    <n v="0"/>
    <n v="1772555.11"/>
    <s v="Processing"/>
    <s v="Paid"/>
  </r>
  <r>
    <s v="INV-2026-01179"/>
    <x v="71"/>
    <s v="West"/>
    <s v="Pune"/>
    <s v="Direct Sales"/>
    <s v="Meera Joshi"/>
    <s v="Alpha Trading"/>
    <x v="4"/>
    <s v="Formal Shirt"/>
    <n v="32"/>
    <n v="33275.589999999997"/>
    <n v="1064818.8799999999"/>
    <n v="179064.55"/>
    <n v="0"/>
    <n v="885754.33"/>
    <s v="Processing"/>
    <s v="Pending"/>
  </r>
  <r>
    <s v="INV-2026-01180"/>
    <x v="79"/>
    <s v="East"/>
    <s v="Kolkata"/>
    <s v="Distributor"/>
    <s v="Anita Desai"/>
    <s v="Smart Systems"/>
    <x v="3"/>
    <s v="Headphones"/>
    <n v="46"/>
    <n v="35246.11"/>
    <n v="1621321.06"/>
    <n v="252975.88"/>
    <n v="0"/>
    <n v="1368345.18"/>
    <s v="Cancelled"/>
    <s v="Pending"/>
  </r>
  <r>
    <s v="INV-2026-01181"/>
    <x v="42"/>
    <s v="East"/>
    <s v="Patna"/>
    <s v="Distributor"/>
    <s v="Vijay Singh"/>
    <s v="Elite Enterprises"/>
    <x v="0"/>
    <s v="File Folder"/>
    <n v="7"/>
    <n v="2669.85"/>
    <n v="18688.95"/>
    <n v="0"/>
    <n v="0"/>
    <n v="18688.95"/>
    <s v="Pending"/>
    <s v="Pending"/>
  </r>
  <r>
    <s v="INV-2026-01182"/>
    <x v="68"/>
    <s v="East"/>
    <s v="Kolkata"/>
    <s v="Distributor"/>
    <s v="Sneha Reddy"/>
    <s v="Urban Store"/>
    <x v="3"/>
    <s v="Headphones"/>
    <n v="17"/>
    <n v="45877.51"/>
    <n v="779917.67"/>
    <n v="112976.91"/>
    <n v="0"/>
    <n v="666940.76"/>
    <s v="Processing"/>
    <s v="Paid"/>
  </r>
  <r>
    <s v="INV-2026-01183"/>
    <x v="17"/>
    <s v="North"/>
    <s v="Jaipur"/>
    <s v="Direct Sales"/>
    <s v="Meera Joshi"/>
    <s v="Global Traders"/>
    <x v="1"/>
    <s v="Bookshelf"/>
    <n v="20"/>
    <n v="2896.34"/>
    <n v="57926.8"/>
    <n v="0"/>
    <n v="0"/>
    <n v="57926.8"/>
    <s v="Completed"/>
    <s v="Paid"/>
  </r>
  <r>
    <s v="INV-2026-01184"/>
    <x v="0"/>
    <s v="East"/>
    <s v="Kolkata"/>
    <s v="Retail Store"/>
    <s v="Amit Kumar"/>
    <s v="Future Tech"/>
    <x v="0"/>
    <s v="File Folder"/>
    <n v="41"/>
    <n v="48332.83"/>
    <n v="1981646.03"/>
    <n v="0"/>
    <n v="0"/>
    <n v="1981646.03"/>
    <s v="Cancelled"/>
    <s v="Pending"/>
  </r>
  <r>
    <s v="INV-2026-01185"/>
    <x v="41"/>
    <s v="South"/>
    <s v="Bangalore"/>
    <s v="Retail Store"/>
    <s v="Rahul Sharma"/>
    <s v="Metro Mart"/>
    <x v="3"/>
    <s v="Laptop"/>
    <n v="45"/>
    <n v="6456.85"/>
    <n v="290558.25"/>
    <n v="0"/>
    <n v="28586.99"/>
    <n v="261971.26"/>
    <s v="Processing"/>
    <s v="Pending"/>
  </r>
  <r>
    <s v="INV-2026-01186"/>
    <x v="8"/>
    <s v="West"/>
    <s v="Mumbai"/>
    <s v="Online"/>
    <s v="Rajesh Verma"/>
    <s v="Urban Store"/>
    <x v="3"/>
    <s v="Laptop"/>
    <n v="33"/>
    <n v="44876.94"/>
    <n v="1480939.02"/>
    <n v="69461.72"/>
    <n v="0"/>
    <n v="1411477.3"/>
    <s v="Pending"/>
    <s v="Pending"/>
  </r>
  <r>
    <s v="INV-2026-01187"/>
    <x v="33"/>
    <s v="West"/>
    <s v="Surat"/>
    <s v="Retail Store"/>
    <s v="Kavita Nair"/>
    <s v="Metro Mart"/>
    <x v="1"/>
    <s v="Conference Table"/>
    <n v="18"/>
    <n v="39767.949999999997"/>
    <n v="715823.1"/>
    <n v="68190.05"/>
    <n v="0"/>
    <n v="647633.05000000005"/>
    <s v="Completed"/>
    <s v="Paid"/>
  </r>
  <r>
    <s v="INV-2026-01188"/>
    <x v="59"/>
    <s v="North"/>
    <s v="Lucknow"/>
    <s v="Retail Store"/>
    <s v="Sneha Reddy"/>
    <s v="Urban Store"/>
    <x v="1"/>
    <s v="Bookshelf"/>
    <n v="11"/>
    <n v="18384.89"/>
    <n v="202233.79"/>
    <n v="0"/>
    <n v="0"/>
    <n v="202233.79"/>
    <s v="Processing"/>
    <s v="Pending"/>
  </r>
  <r>
    <s v="INV-2026-01189"/>
    <x v="90"/>
    <s v="East"/>
    <s v="Bhubaneswar"/>
    <s v="Retail Store"/>
    <s v="Kavita Nair"/>
    <s v="Omega Stores"/>
    <x v="5"/>
    <s v="Air Conditioner"/>
    <n v="48"/>
    <n v="2610.5300000000002"/>
    <n v="125305.44"/>
    <n v="0"/>
    <n v="0"/>
    <n v="125305.44"/>
    <s v="Completed"/>
    <s v="Overdue"/>
  </r>
  <r>
    <s v="INV-2026-01190"/>
    <x v="18"/>
    <s v="West"/>
    <s v="Surat"/>
    <s v="Distributor"/>
    <s v="Rajesh Verma"/>
    <s v="Smart Systems"/>
    <x v="0"/>
    <s v="Pen Set"/>
    <n v="2"/>
    <n v="48717.56"/>
    <n v="97435.12"/>
    <n v="17694.79"/>
    <n v="0"/>
    <n v="79740.33"/>
    <s v="Processing"/>
    <s v="Paid"/>
  </r>
  <r>
    <s v="INV-2026-01191"/>
    <x v="69"/>
    <s v="West"/>
    <s v="Ahmedabad"/>
    <s v="Online"/>
    <s v="Rajesh Verma"/>
    <s v="Digital Hub"/>
    <x v="0"/>
    <s v="Whiteboard"/>
    <n v="2"/>
    <n v="17969.05"/>
    <n v="35938.1"/>
    <n v="0"/>
    <n v="0"/>
    <n v="35938.1"/>
    <s v="Cancelled"/>
    <s v="Pending"/>
  </r>
  <r>
    <s v="INV-2026-01192"/>
    <x v="10"/>
    <s v="West"/>
    <s v="Ahmedabad"/>
    <s v="Retail Store"/>
    <s v="Priya Patel"/>
    <s v="Metro Mart"/>
    <x v="1"/>
    <s v="Conference Table"/>
    <n v="13"/>
    <n v="42669.95"/>
    <n v="554709.35"/>
    <n v="0"/>
    <n v="0"/>
    <n v="554709.35"/>
    <s v="Cancelled"/>
    <s v="Pending"/>
  </r>
  <r>
    <s v="INV-2026-01193"/>
    <x v="68"/>
    <s v="North"/>
    <s v="Chandigarh"/>
    <s v="Online"/>
    <s v="Suresh Gupta"/>
    <s v="Skyline Corp"/>
    <x v="5"/>
    <s v="Vacuum Cleaner"/>
    <n v="1"/>
    <n v="16456.55"/>
    <n v="16456.55"/>
    <n v="0"/>
    <n v="0"/>
    <n v="16456.55"/>
    <s v="Processing"/>
    <s v="Pending"/>
  </r>
  <r>
    <s v="INV-2026-01194"/>
    <x v="61"/>
    <s v="West"/>
    <s v="Surat"/>
    <s v="Retail Store"/>
    <s v="Kavita Nair"/>
    <s v="ABC Corp"/>
    <x v="4"/>
    <s v="Jeans"/>
    <n v="8"/>
    <n v="35990.129999999997"/>
    <n v="287921.03999999998"/>
    <n v="17639.259999999998"/>
    <n v="0"/>
    <n v="270281.78000000003"/>
    <s v="Cancelled"/>
    <s v="Pending"/>
  </r>
  <r>
    <s v="INV-2026-01195"/>
    <x v="55"/>
    <s v="West"/>
    <s v="Mumbai"/>
    <s v="Retail Store"/>
    <s v="Meera Joshi"/>
    <s v="ABC Corp"/>
    <x v="0"/>
    <s v="File Folder"/>
    <n v="28"/>
    <n v="40106.639999999999"/>
    <n v="1122985.92"/>
    <n v="55769.919999999998"/>
    <n v="0"/>
    <n v="1067216"/>
    <s v="Pending"/>
    <s v="Pending"/>
  </r>
  <r>
    <s v="INV-2026-01196"/>
    <x v="49"/>
    <s v="East"/>
    <s v="Guwahati"/>
    <s v="Retail Store"/>
    <s v="Rahul Sharma"/>
    <s v="Nexus Ltd"/>
    <x v="2"/>
    <s v="Bicycle"/>
    <n v="6"/>
    <n v="36889.75"/>
    <n v="221338.5"/>
    <n v="36103.040000000001"/>
    <n v="0"/>
    <n v="185235.46"/>
    <s v="Pending"/>
    <s v="Paid"/>
  </r>
  <r>
    <s v="INV-2026-01197"/>
    <x v="11"/>
    <s v="West"/>
    <s v="Surat"/>
    <s v="Direct Sales"/>
    <s v="Amit Kumar"/>
    <s v="Elite Enterprises"/>
    <x v="2"/>
    <s v="Tennis Racket"/>
    <n v="1"/>
    <n v="40962.769999999997"/>
    <n v="40962.769999999997"/>
    <n v="2618.38"/>
    <n v="0"/>
    <n v="38344.39"/>
    <s v="Cancelled"/>
    <s v="Pending"/>
  </r>
  <r>
    <s v="INV-2026-01198"/>
    <x v="58"/>
    <s v="South"/>
    <s v="Chennai"/>
    <s v="Distributor"/>
    <s v="Meera Joshi"/>
    <s v="XYZ Ltd"/>
    <x v="1"/>
    <s v="Bookshelf"/>
    <n v="48"/>
    <n v="40179.19"/>
    <n v="1928601.12"/>
    <n v="0"/>
    <n v="0"/>
    <n v="1928601.12"/>
    <s v="Processing"/>
    <s v="Pending"/>
  </r>
  <r>
    <s v="INV-2026-01199"/>
    <x v="9"/>
    <s v="Central"/>
    <s v="Nagpur"/>
    <s v="Distributor"/>
    <s v="Priya Patel"/>
    <s v="XYZ Ltd"/>
    <x v="0"/>
    <s v="Pen Set"/>
    <n v="28"/>
    <n v="45278.38"/>
    <n v="1267794.6399999999"/>
    <n v="66499.820000000007"/>
    <n v="0"/>
    <n v="1201294.82"/>
    <s v="Pending"/>
    <s v="Pending"/>
  </r>
  <r>
    <s v="INV-2026-01200"/>
    <x v="51"/>
    <s v="North"/>
    <s v="Delhi"/>
    <s v="Online"/>
    <s v="Anita Desai"/>
    <s v="Future Tech"/>
    <x v="3"/>
    <s v="Headphones"/>
    <n v="43"/>
    <n v="14651.66"/>
    <n v="630021.38"/>
    <n v="0"/>
    <n v="0"/>
    <n v="630021.38"/>
    <s v="Processing"/>
    <s v="Pending"/>
  </r>
  <r>
    <s v="INV-2026-01201"/>
    <x v="37"/>
    <s v="West"/>
    <s v="Surat"/>
    <s v="Online"/>
    <s v="Amit Kumar"/>
    <s v="Alpha Trading"/>
    <x v="2"/>
    <s v="Yoga Mat"/>
    <n v="13"/>
    <n v="39955.89"/>
    <n v="519426.57"/>
    <n v="91499"/>
    <n v="0"/>
    <n v="427927.57"/>
    <s v="Pending"/>
    <s v="Pending"/>
  </r>
  <r>
    <s v="INV-2026-01202"/>
    <x v="84"/>
    <s v="North"/>
    <s v="Jaipur"/>
    <s v="Retail Store"/>
    <s v="Meera Joshi"/>
    <s v="Global Traders"/>
    <x v="5"/>
    <s v="Washing Machine"/>
    <n v="32"/>
    <n v="37766.22"/>
    <n v="1208519.04"/>
    <n v="235782.45"/>
    <n v="313275.64"/>
    <n v="659460.94999999995"/>
    <s v="Processing"/>
    <s v="Pending"/>
  </r>
  <r>
    <s v="INV-2026-01203"/>
    <x v="29"/>
    <s v="East"/>
    <s v="Guwahati"/>
    <s v="Retail Store"/>
    <s v="Vijay Singh"/>
    <s v="Omega Stores"/>
    <x v="5"/>
    <s v="Microwave"/>
    <n v="7"/>
    <n v="40713.26"/>
    <n v="284992.82"/>
    <n v="20639.91"/>
    <n v="0"/>
    <n v="264352.90999999997"/>
    <s v="Pending"/>
    <s v="Pending"/>
  </r>
  <r>
    <s v="INV-2026-01204"/>
    <x v="49"/>
    <s v="Central"/>
    <s v="Indore"/>
    <s v="Retail Store"/>
    <s v="Rajesh Verma"/>
    <s v="Alpha Trading"/>
    <x v="5"/>
    <s v="Washing Machine"/>
    <n v="12"/>
    <n v="2133.96"/>
    <n v="25607.52"/>
    <n v="722.9"/>
    <n v="0"/>
    <n v="24884.62"/>
    <s v="Completed"/>
    <s v="Paid"/>
  </r>
  <r>
    <s v="INV-2026-01205"/>
    <x v="66"/>
    <s v="South"/>
    <s v="Kochi"/>
    <s v="Retail Store"/>
    <s v="Rajesh Verma"/>
    <s v="Future Tech"/>
    <x v="1"/>
    <s v="Cabinet"/>
    <n v="48"/>
    <n v="27585.279999999999"/>
    <n v="1324093.4399999999"/>
    <n v="159589.19"/>
    <n v="0"/>
    <n v="1164504.25"/>
    <s v="Pending"/>
    <s v="Pending"/>
  </r>
  <r>
    <s v="INV-2026-01206"/>
    <x v="26"/>
    <s v="East"/>
    <s v="Bhubaneswar"/>
    <s v="Distributor"/>
    <s v="Priya Patel"/>
    <s v="Omega Stores"/>
    <x v="3"/>
    <s v="Tablet"/>
    <n v="16"/>
    <n v="40233.07"/>
    <n v="643729.12"/>
    <n v="109853.69"/>
    <n v="0"/>
    <n v="533875.43000000005"/>
    <s v="Pending"/>
    <s v="Pending"/>
  </r>
  <r>
    <s v="INV-2026-01207"/>
    <x v="45"/>
    <s v="Central"/>
    <s v="Indore"/>
    <s v="Direct Sales"/>
    <s v="Rahul Sharma"/>
    <s v="Tech Solutions"/>
    <x v="1"/>
    <s v="Conference Table"/>
    <n v="5"/>
    <n v="7209.33"/>
    <n v="36046.65"/>
    <n v="0"/>
    <n v="0"/>
    <n v="36046.65"/>
    <s v="Processing"/>
    <s v="Paid"/>
  </r>
  <r>
    <s v="INV-2026-01208"/>
    <x v="43"/>
    <s v="South"/>
    <s v="Chennai"/>
    <s v="Retail Store"/>
    <s v="Priya Patel"/>
    <s v="Omega Stores"/>
    <x v="5"/>
    <s v="Refrigerator"/>
    <n v="45"/>
    <n v="43125.82"/>
    <n v="1940661.9"/>
    <n v="170768.64000000001"/>
    <n v="0"/>
    <n v="1769893.26"/>
    <s v="Pending"/>
    <s v="Paid"/>
  </r>
  <r>
    <s v="INV-2026-01209"/>
    <x v="4"/>
    <s v="South"/>
    <s v="Hyderabad"/>
    <s v="Direct Sales"/>
    <s v="Sneha Reddy"/>
    <s v="Future Tech"/>
    <x v="5"/>
    <s v="TV"/>
    <n v="12"/>
    <n v="3690.55"/>
    <n v="44286.6"/>
    <n v="1000.46"/>
    <n v="0"/>
    <n v="43286.14"/>
    <s v="Processing"/>
    <s v="Paid"/>
  </r>
  <r>
    <s v="INV-2026-01210"/>
    <x v="70"/>
    <s v="East"/>
    <s v="Bhubaneswar"/>
    <s v="Retail Store"/>
    <s v="Rajesh Verma"/>
    <s v="Smart Systems"/>
    <x v="2"/>
    <s v="Football"/>
    <n v="32"/>
    <n v="49232.98"/>
    <n v="1575455.36"/>
    <n v="282642.43"/>
    <n v="0"/>
    <n v="1292812.93"/>
    <s v="Cancelled"/>
    <s v="Pending"/>
  </r>
  <r>
    <s v="INV-2026-01211"/>
    <x v="18"/>
    <s v="West"/>
    <s v="Mumbai"/>
    <s v="Direct Sales"/>
    <s v="Priya Patel"/>
    <s v="Global Traders"/>
    <x v="4"/>
    <s v="Shoes"/>
    <n v="8"/>
    <n v="29850.62"/>
    <n v="238804.96"/>
    <n v="45483.48"/>
    <n v="0"/>
    <n v="193321.48"/>
    <s v="Processing"/>
    <s v="Paid"/>
  </r>
  <r>
    <s v="INV-2026-01212"/>
    <x v="37"/>
    <s v="West"/>
    <s v="Mumbai"/>
    <s v="Distributor"/>
    <s v="Sneha Reddy"/>
    <s v="Prime Retail"/>
    <x v="4"/>
    <s v="T-Shirt"/>
    <n v="26"/>
    <n v="19343.18"/>
    <n v="502922.68"/>
    <n v="84144"/>
    <n v="0"/>
    <n v="418778.68"/>
    <s v="Pending"/>
    <s v="Pending"/>
  </r>
  <r>
    <s v="INV-2026-01213"/>
    <x v="86"/>
    <s v="East"/>
    <s v="Kolkata"/>
    <s v="Online"/>
    <s v="Suresh Gupta"/>
    <s v="Metro Mart"/>
    <x v="2"/>
    <s v="Tennis Racket"/>
    <n v="41"/>
    <n v="45808.72"/>
    <n v="1878157.52"/>
    <n v="0"/>
    <n v="0"/>
    <n v="1878157.52"/>
    <s v="Cancelled"/>
    <s v="Pending"/>
  </r>
  <r>
    <s v="INV-2026-01214"/>
    <x v="72"/>
    <s v="Central"/>
    <s v="Bhopal"/>
    <s v="Online"/>
    <s v="Amit Kumar"/>
    <s v="Tech Solutions"/>
    <x v="0"/>
    <s v="File Folder"/>
    <n v="4"/>
    <n v="1310.75"/>
    <n v="5243"/>
    <n v="784.73"/>
    <n v="0"/>
    <n v="4458.2700000000004"/>
    <s v="Cancelled"/>
    <s v="Pending"/>
  </r>
  <r>
    <s v="INV-2026-01215"/>
    <x v="28"/>
    <s v="East"/>
    <s v="Guwahati"/>
    <s v="Distributor"/>
    <s v="Sneha Reddy"/>
    <s v="ABC Corp"/>
    <x v="5"/>
    <s v="Microwave"/>
    <n v="33"/>
    <n v="34551.160000000003"/>
    <n v="1140188.28"/>
    <n v="208616.81"/>
    <n v="220349.13"/>
    <n v="711222.34"/>
    <s v="Pending"/>
    <s v="Pending"/>
  </r>
  <r>
    <s v="INV-2026-01216"/>
    <x v="11"/>
    <s v="Central"/>
    <s v="Raipur"/>
    <s v="Distributor"/>
    <s v="Meera Joshi"/>
    <s v="Omega Stores"/>
    <x v="3"/>
    <s v="Smart Watch"/>
    <n v="26"/>
    <n v="21226.21"/>
    <n v="551881.46"/>
    <n v="65555.61"/>
    <n v="0"/>
    <n v="486325.85"/>
    <s v="Processing"/>
    <s v="Paid"/>
  </r>
  <r>
    <s v="INV-2026-01217"/>
    <x v="62"/>
    <s v="Central"/>
    <s v="Nagpur"/>
    <s v="Retail Store"/>
    <s v="Sneha Reddy"/>
    <s v="Nexus Ltd"/>
    <x v="5"/>
    <s v="Microwave"/>
    <n v="37"/>
    <n v="44675.06"/>
    <n v="1652977.22"/>
    <n v="0"/>
    <n v="0"/>
    <n v="1652977.22"/>
    <s v="Completed"/>
    <s v="Paid"/>
  </r>
  <r>
    <s v="INV-2026-01218"/>
    <x v="84"/>
    <s v="Central"/>
    <s v="Indore"/>
    <s v="Retail Store"/>
    <s v="Rahul Sharma"/>
    <s v="Skyline Corp"/>
    <x v="4"/>
    <s v="Jacket"/>
    <n v="34"/>
    <n v="17081.05"/>
    <n v="580755.69999999995"/>
    <n v="29227.45"/>
    <n v="0"/>
    <n v="551528.25"/>
    <s v="Pending"/>
    <s v="Paid"/>
  </r>
  <r>
    <s v="INV-2026-01219"/>
    <x v="5"/>
    <s v="Central"/>
    <s v="Indore"/>
    <s v="Direct Sales"/>
    <s v="Suresh Gupta"/>
    <s v="Prime Retail"/>
    <x v="0"/>
    <s v="File Folder"/>
    <n v="1"/>
    <n v="3558.4"/>
    <n v="3558.4"/>
    <n v="102.72"/>
    <n v="0"/>
    <n v="3455.68"/>
    <s v="Completed"/>
    <s v="Paid"/>
  </r>
  <r>
    <s v="INV-2026-01220"/>
    <x v="37"/>
    <s v="North"/>
    <s v="Chandigarh"/>
    <s v="Online"/>
    <s v="Meera Joshi"/>
    <s v="Future Tech"/>
    <x v="4"/>
    <s v="Shoes"/>
    <n v="40"/>
    <n v="43108.14"/>
    <n v="1724325.6"/>
    <n v="0"/>
    <n v="268529.53000000003"/>
    <n v="1455796.07"/>
    <s v="Cancelled"/>
    <s v="Pending"/>
  </r>
  <r>
    <s v="INV-2026-01221"/>
    <x v="6"/>
    <s v="East"/>
    <s v="Patna"/>
    <s v="Direct Sales"/>
    <s v="Kavita Nair"/>
    <s v="Nexus Ltd"/>
    <x v="4"/>
    <s v="T-Shirt"/>
    <n v="12"/>
    <n v="10781.08"/>
    <n v="129372.96"/>
    <n v="0"/>
    <n v="7560.95"/>
    <n v="121812.01"/>
    <s v="Pending"/>
    <s v="Pending"/>
  </r>
  <r>
    <s v="INV-2026-01222"/>
    <x v="86"/>
    <s v="South"/>
    <s v="Hyderabad"/>
    <s v="Direct Sales"/>
    <s v="Kavita Nair"/>
    <s v="ABC Corp"/>
    <x v="1"/>
    <s v="Conference Table"/>
    <n v="46"/>
    <n v="46589.4"/>
    <n v="2143112.4"/>
    <n v="129658.6"/>
    <n v="0"/>
    <n v="2013453.8"/>
    <s v="Pending"/>
    <s v="Pending"/>
  </r>
  <r>
    <s v="INV-2026-01223"/>
    <x v="44"/>
    <s v="East"/>
    <s v="Bhubaneswar"/>
    <s v="Direct Sales"/>
    <s v="Rajesh Verma"/>
    <s v="Digital Hub"/>
    <x v="4"/>
    <s v="Jacket"/>
    <n v="28"/>
    <n v="26340.77"/>
    <n v="737541.56"/>
    <n v="37340.730000000003"/>
    <n v="178726.52"/>
    <n v="521474.31"/>
    <s v="Cancelled"/>
    <s v="Pending"/>
  </r>
  <r>
    <s v="INV-2026-01224"/>
    <x v="48"/>
    <s v="South"/>
    <s v="Bangalore"/>
    <s v="Online"/>
    <s v="Amit Kumar"/>
    <s v="Nexus Ltd"/>
    <x v="5"/>
    <s v="Vacuum Cleaner"/>
    <n v="5"/>
    <n v="27060.04"/>
    <n v="135300.20000000001"/>
    <n v="0"/>
    <n v="35515.910000000003"/>
    <n v="99784.29"/>
    <s v="Processing"/>
    <s v="Pending"/>
  </r>
  <r>
    <s v="INV-2026-01225"/>
    <x v="0"/>
    <s v="Central"/>
    <s v="Indore"/>
    <s v="Retail Store"/>
    <s v="Priya Patel"/>
    <s v="Alpha Trading"/>
    <x v="2"/>
    <s v="Cricket Bat"/>
    <n v="26"/>
    <n v="29808.47"/>
    <n v="775020.22"/>
    <n v="150683.19"/>
    <n v="0"/>
    <n v="624337.03"/>
    <s v="Processing"/>
    <s v="Pending"/>
  </r>
  <r>
    <s v="INV-2026-01226"/>
    <x v="69"/>
    <s v="South"/>
    <s v="Bangalore"/>
    <s v="Distributor"/>
    <s v="Priya Patel"/>
    <s v="Elite Enterprises"/>
    <x v="4"/>
    <s v="Dress"/>
    <n v="50"/>
    <n v="50106.44"/>
    <n v="2505322"/>
    <n v="0"/>
    <n v="0"/>
    <n v="2505322"/>
    <s v="Cancelled"/>
    <s v="Pending"/>
  </r>
  <r>
    <s v="INV-2026-01227"/>
    <x v="4"/>
    <s v="South"/>
    <s v="Kochi"/>
    <s v="Distributor"/>
    <s v="Amit Kumar"/>
    <s v="Skyline Corp"/>
    <x v="4"/>
    <s v="T-Shirt"/>
    <n v="36"/>
    <n v="2836.75"/>
    <n v="102123"/>
    <n v="9648.0300000000007"/>
    <n v="0"/>
    <n v="92474.97"/>
    <s v="Cancelled"/>
    <s v="Pending"/>
  </r>
  <r>
    <s v="INV-2026-01228"/>
    <x v="36"/>
    <s v="East"/>
    <s v="Guwahati"/>
    <s v="Online"/>
    <s v="Suresh Gupta"/>
    <s v="Skyline Corp"/>
    <x v="0"/>
    <s v="Printer Paper"/>
    <n v="21"/>
    <n v="11259.82"/>
    <n v="236456.22"/>
    <n v="0"/>
    <n v="0"/>
    <n v="236456.22"/>
    <s v="Processing"/>
    <s v="Pending"/>
  </r>
  <r>
    <s v="INV-2026-01229"/>
    <x v="57"/>
    <s v="South"/>
    <s v="Chennai"/>
    <s v="Direct Sales"/>
    <s v="Rajesh Verma"/>
    <s v="Prime Retail"/>
    <x v="2"/>
    <s v="Bicycle"/>
    <n v="22"/>
    <n v="21611.69"/>
    <n v="475457.18"/>
    <n v="0"/>
    <n v="123987.35"/>
    <n v="351469.83"/>
    <s v="Processing"/>
    <s v="Pending"/>
  </r>
  <r>
    <s v="INV-2026-01230"/>
    <x v="17"/>
    <s v="East"/>
    <s v="Guwahati"/>
    <s v="Retail Store"/>
    <s v="Rajesh Verma"/>
    <s v="Prime Retail"/>
    <x v="5"/>
    <s v="Microwave"/>
    <n v="33"/>
    <n v="27480.62"/>
    <n v="906860.46"/>
    <n v="107415.02"/>
    <n v="0"/>
    <n v="799445.44"/>
    <s v="Cancelled"/>
    <s v="Pending"/>
  </r>
  <r>
    <s v="INV-2026-01231"/>
    <x v="85"/>
    <s v="Central"/>
    <s v="Raipur"/>
    <s v="Online"/>
    <s v="Rajesh Verma"/>
    <s v="Nexus Ltd"/>
    <x v="4"/>
    <s v="Formal Shirt"/>
    <n v="44"/>
    <n v="16172.44"/>
    <n v="711587.36"/>
    <n v="26033.42"/>
    <n v="0"/>
    <n v="685553.94"/>
    <s v="Completed"/>
    <s v="Paid"/>
  </r>
  <r>
    <s v="INV-2026-01232"/>
    <x v="36"/>
    <s v="Central"/>
    <s v="Raipur"/>
    <s v="Retail Store"/>
    <s v="Anita Desai"/>
    <s v="ABC Corp"/>
    <x v="1"/>
    <s v="Office Chair"/>
    <n v="23"/>
    <n v="11942.4"/>
    <n v="274675.20000000001"/>
    <n v="0"/>
    <n v="0"/>
    <n v="274675.20000000001"/>
    <s v="Cancelled"/>
    <s v="Pending"/>
  </r>
  <r>
    <s v="INV-2026-01233"/>
    <x v="74"/>
    <s v="South"/>
    <s v="Hyderabad"/>
    <s v="Retail Store"/>
    <s v="Kavita Nair"/>
    <s v="Omega Stores"/>
    <x v="0"/>
    <s v="Printer Paper"/>
    <n v="48"/>
    <n v="44309.31"/>
    <n v="2126846.88"/>
    <n v="0"/>
    <n v="0"/>
    <n v="2126846.88"/>
    <s v="Cancelled"/>
    <s v="Pending"/>
  </r>
  <r>
    <s v="INV-2026-01234"/>
    <x v="9"/>
    <s v="North"/>
    <s v="Delhi"/>
    <s v="Online"/>
    <s v="Priya Patel"/>
    <s v="Alpha Trading"/>
    <x v="5"/>
    <s v="Refrigerator"/>
    <n v="36"/>
    <n v="3074.98"/>
    <n v="110699.28"/>
    <n v="0"/>
    <n v="28965.46"/>
    <n v="81733.820000000007"/>
    <s v="Cancelled"/>
    <s v="Pending"/>
  </r>
  <r>
    <s v="INV-2026-01235"/>
    <x v="15"/>
    <s v="Central"/>
    <s v="Indore"/>
    <s v="Direct Sales"/>
    <s v="Sneha Reddy"/>
    <s v="XYZ Ltd"/>
    <x v="0"/>
    <s v="Whiteboard"/>
    <n v="46"/>
    <n v="15179.44"/>
    <n v="698254.24"/>
    <n v="0"/>
    <n v="0"/>
    <n v="698254.24"/>
    <s v="Completed"/>
    <s v="Paid"/>
  </r>
  <r>
    <s v="INV-2026-01236"/>
    <x v="80"/>
    <s v="East"/>
    <s v="Guwahati"/>
    <s v="Retail Store"/>
    <s v="Anita Desai"/>
    <s v="Smart Systems"/>
    <x v="1"/>
    <s v="Cabinet"/>
    <n v="24"/>
    <n v="25108.48"/>
    <n v="602603.52000000002"/>
    <n v="0"/>
    <n v="0"/>
    <n v="602603.52000000002"/>
    <s v="Cancelled"/>
    <s v="Pending"/>
  </r>
  <r>
    <s v="INV-2026-01237"/>
    <x v="37"/>
    <s v="North"/>
    <s v="Jaipur"/>
    <s v="Direct Sales"/>
    <s v="Anita Desai"/>
    <s v="Tech Solutions"/>
    <x v="0"/>
    <s v="Pen Set"/>
    <n v="11"/>
    <n v="11037.42"/>
    <n v="121411.62"/>
    <n v="19978.03"/>
    <n v="0"/>
    <n v="101433.59"/>
    <s v="Completed"/>
    <s v="Paid"/>
  </r>
  <r>
    <s v="INV-2026-01238"/>
    <x v="52"/>
    <s v="East"/>
    <s v="Bhubaneswar"/>
    <s v="Direct Sales"/>
    <s v="Amit Kumar"/>
    <s v="Urban Store"/>
    <x v="0"/>
    <s v="Printer Paper"/>
    <n v="48"/>
    <n v="26275.62"/>
    <n v="1261229.76"/>
    <n v="40039.269999999997"/>
    <n v="0"/>
    <n v="1221190.49"/>
    <s v="Processing"/>
    <s v="Paid"/>
  </r>
  <r>
    <s v="INV-2026-01239"/>
    <x v="35"/>
    <s v="East"/>
    <s v="Kolkata"/>
    <s v="Retail Store"/>
    <s v="Anita Desai"/>
    <s v="Alpha Trading"/>
    <x v="4"/>
    <s v="Formal Shirt"/>
    <n v="29"/>
    <n v="6353.56"/>
    <n v="184253.24"/>
    <n v="0"/>
    <n v="0"/>
    <n v="184253.24"/>
    <s v="Cancelled"/>
    <s v="Pending"/>
  </r>
  <r>
    <s v="INV-2026-01240"/>
    <x v="27"/>
    <s v="West"/>
    <s v="Ahmedabad"/>
    <s v="Retail Store"/>
    <s v="Vijay Singh"/>
    <s v="Alpha Trading"/>
    <x v="1"/>
    <s v="Desk"/>
    <n v="29"/>
    <n v="47699.06"/>
    <n v="1383272.74"/>
    <n v="0"/>
    <n v="0"/>
    <n v="1383272.74"/>
    <s v="Completed"/>
    <s v="Paid"/>
  </r>
  <r>
    <s v="INV-2026-01241"/>
    <x v="62"/>
    <s v="East"/>
    <s v="Patna"/>
    <s v="Online"/>
    <s v="Kavita Nair"/>
    <s v="Omega Stores"/>
    <x v="0"/>
    <s v="File Folder"/>
    <n v="50"/>
    <n v="34606.07"/>
    <n v="1730303.5"/>
    <n v="0"/>
    <n v="0"/>
    <n v="1730303.5"/>
    <s v="Completed"/>
    <s v="Paid"/>
  </r>
  <r>
    <s v="INV-2026-01242"/>
    <x v="42"/>
    <s v="West"/>
    <s v="Mumbai"/>
    <s v="Distributor"/>
    <s v="Amit Kumar"/>
    <s v="Omega Stores"/>
    <x v="3"/>
    <s v="Camera"/>
    <n v="24"/>
    <n v="33794.239999999998"/>
    <n v="811061.76000000001"/>
    <n v="19143.8"/>
    <n v="0"/>
    <n v="791917.96"/>
    <s v="Completed"/>
    <s v="Paid"/>
  </r>
  <r>
    <s v="INV-2026-01243"/>
    <x v="19"/>
    <s v="West"/>
    <s v="Pune"/>
    <s v="Retail Store"/>
    <s v="Vijay Singh"/>
    <s v="ABC Corp"/>
    <x v="2"/>
    <s v="Bicycle"/>
    <n v="31"/>
    <n v="36597.160000000003"/>
    <n v="1134511.96"/>
    <n v="0"/>
    <n v="0"/>
    <n v="1134511.96"/>
    <s v="Processing"/>
    <s v="Pending"/>
  </r>
  <r>
    <s v="INV-2026-01244"/>
    <x v="34"/>
    <s v="South"/>
    <s v="Kochi"/>
    <s v="Direct Sales"/>
    <s v="Sneha Reddy"/>
    <s v="XYZ Ltd"/>
    <x v="5"/>
    <s v="Air Conditioner"/>
    <n v="50"/>
    <n v="12210.29"/>
    <n v="610514.5"/>
    <n v="0"/>
    <n v="0"/>
    <n v="610514.5"/>
    <s v="Pending"/>
    <s v="Pending"/>
  </r>
  <r>
    <s v="INV-2026-01245"/>
    <x v="45"/>
    <s v="North"/>
    <s v="Chandigarh"/>
    <s v="Retail Store"/>
    <s v="Amit Kumar"/>
    <s v="Future Tech"/>
    <x v="0"/>
    <s v="Pen Set"/>
    <n v="3"/>
    <n v="37433.64"/>
    <n v="112300.92"/>
    <n v="6859.41"/>
    <n v="0"/>
    <n v="105441.51"/>
    <s v="Cancelled"/>
    <s v="Pending"/>
  </r>
  <r>
    <s v="INV-2026-01246"/>
    <x v="80"/>
    <s v="West"/>
    <s v="Pune"/>
    <s v="Online"/>
    <s v="Anita Desai"/>
    <s v="ABC Corp"/>
    <x v="5"/>
    <s v="Air Conditioner"/>
    <n v="27"/>
    <n v="12575.74"/>
    <n v="339544.98"/>
    <n v="0"/>
    <n v="0"/>
    <n v="339544.98"/>
    <s v="Cancelled"/>
    <s v="Pending"/>
  </r>
  <r>
    <s v="INV-2026-01247"/>
    <x v="85"/>
    <s v="West"/>
    <s v="Surat"/>
    <s v="Direct Sales"/>
    <s v="Kavita Nair"/>
    <s v="Digital Hub"/>
    <x v="2"/>
    <s v="Tennis Racket"/>
    <n v="41"/>
    <n v="3292.35"/>
    <n v="134986.35"/>
    <n v="22467.15"/>
    <n v="0"/>
    <n v="112519.2"/>
    <s v="Processing"/>
    <s v="Pending"/>
  </r>
  <r>
    <s v="INV-2026-01248"/>
    <x v="60"/>
    <s v="North"/>
    <s v="Chandigarh"/>
    <s v="Distributor"/>
    <s v="Sneha Reddy"/>
    <s v="Digital Hub"/>
    <x v="5"/>
    <s v="Refrigerator"/>
    <n v="15"/>
    <n v="2463.75"/>
    <n v="36956.25"/>
    <n v="1282.55"/>
    <n v="0"/>
    <n v="35673.699999999997"/>
    <s v="Pending"/>
    <s v="Paid"/>
  </r>
  <r>
    <s v="INV-2026-01249"/>
    <x v="74"/>
    <s v="Central"/>
    <s v="Bhopal"/>
    <s v="Direct Sales"/>
    <s v="Vijay Singh"/>
    <s v="Prime Retail"/>
    <x v="3"/>
    <s v="Smart Watch"/>
    <n v="3"/>
    <n v="4590.3100000000004"/>
    <n v="13770.93"/>
    <n v="340.92"/>
    <n v="0"/>
    <n v="13430.01"/>
    <s v="Pending"/>
    <s v="Pending"/>
  </r>
  <r>
    <s v="INV-2026-01250"/>
    <x v="3"/>
    <s v="East"/>
    <s v="Guwahati"/>
    <s v="Retail Store"/>
    <s v="Rajesh Verma"/>
    <s v="Future Tech"/>
    <x v="2"/>
    <s v="Cricket Bat"/>
    <n v="10"/>
    <n v="14036.8"/>
    <n v="140368"/>
    <n v="14978.24"/>
    <n v="0"/>
    <n v="125389.75999999999"/>
    <s v="Completed"/>
    <s v="Paid"/>
  </r>
  <r>
    <s v="INV-2026-01251"/>
    <x v="29"/>
    <s v="South"/>
    <s v="Chennai"/>
    <s v="Distributor"/>
    <s v="Vijay Singh"/>
    <s v="XYZ Ltd"/>
    <x v="4"/>
    <s v="Shoes"/>
    <n v="48"/>
    <n v="31614.66"/>
    <n v="1517503.68"/>
    <n v="299259.44"/>
    <n v="258035.93"/>
    <n v="960208.31"/>
    <s v="Completed"/>
    <s v="Paid"/>
  </r>
  <r>
    <s v="INV-2026-01252"/>
    <x v="56"/>
    <s v="North"/>
    <s v="Delhi"/>
    <s v="Online"/>
    <s v="Vijay Singh"/>
    <s v="Metro Mart"/>
    <x v="1"/>
    <s v="Conference Table"/>
    <n v="2"/>
    <n v="48085.83"/>
    <n v="96171.66"/>
    <n v="3243.83"/>
    <n v="0"/>
    <n v="92927.83"/>
    <s v="Completed"/>
    <s v="Paid"/>
  </r>
  <r>
    <s v="INV-2026-01253"/>
    <x v="3"/>
    <s v="North"/>
    <s v="Delhi"/>
    <s v="Direct Sales"/>
    <s v="Sneha Reddy"/>
    <s v="Future Tech"/>
    <x v="0"/>
    <s v="Printer Paper"/>
    <n v="33"/>
    <n v="17548.23"/>
    <n v="579091.59"/>
    <n v="103849.09"/>
    <n v="31790.78"/>
    <n v="443451.72"/>
    <s v="Completed"/>
    <s v="Paid"/>
  </r>
  <r>
    <s v="INV-2026-01254"/>
    <x v="35"/>
    <s v="West"/>
    <s v="Mumbai"/>
    <s v="Online"/>
    <s v="Rahul Sharma"/>
    <s v="Tech Solutions"/>
    <x v="1"/>
    <s v="Desk"/>
    <n v="48"/>
    <n v="45772.92"/>
    <n v="2197100.16"/>
    <n v="0"/>
    <n v="0"/>
    <n v="2197100.16"/>
    <s v="Pending"/>
    <s v="Pending"/>
  </r>
  <r>
    <s v="INV-2026-01255"/>
    <x v="75"/>
    <s v="South"/>
    <s v="Kochi"/>
    <s v="Distributor"/>
    <s v="Priya Patel"/>
    <s v="XYZ Ltd"/>
    <x v="5"/>
    <s v="Microwave"/>
    <n v="36"/>
    <n v="15357.09"/>
    <n v="552855.24"/>
    <n v="40091.870000000003"/>
    <n v="0"/>
    <n v="512763.37"/>
    <s v="Pending"/>
    <s v="Pending"/>
  </r>
  <r>
    <s v="INV-2026-01256"/>
    <x v="60"/>
    <s v="East"/>
    <s v="Kolkata"/>
    <s v="Online"/>
    <s v="Vijay Singh"/>
    <s v="Urban Store"/>
    <x v="5"/>
    <s v="Refrigerator"/>
    <n v="42"/>
    <n v="47158.7"/>
    <n v="1980665.4"/>
    <n v="112047.93"/>
    <n v="0"/>
    <n v="1868617.47"/>
    <s v="Processing"/>
    <s v="Paid"/>
  </r>
  <r>
    <s v="INV-2026-01257"/>
    <x v="13"/>
    <s v="West"/>
    <s v="Ahmedabad"/>
    <s v="Online"/>
    <s v="Meera Joshi"/>
    <s v="Smart Systems"/>
    <x v="4"/>
    <s v="Formal Shirt"/>
    <n v="21"/>
    <n v="34217.160000000003"/>
    <n v="718560.36"/>
    <n v="126468.81"/>
    <n v="0"/>
    <n v="592091.55000000005"/>
    <s v="Pending"/>
    <s v="Pending"/>
  </r>
  <r>
    <s v="INV-2026-01258"/>
    <x v="75"/>
    <s v="West"/>
    <s v="Pune"/>
    <s v="Distributor"/>
    <s v="Vijay Singh"/>
    <s v="Urban Store"/>
    <x v="2"/>
    <s v="Bicycle"/>
    <n v="43"/>
    <n v="21106.09"/>
    <n v="907561.87"/>
    <n v="0"/>
    <n v="0"/>
    <n v="907561.87"/>
    <s v="Completed"/>
    <s v="Paid"/>
  </r>
  <r>
    <s v="INV-2026-01259"/>
    <x v="9"/>
    <s v="Central"/>
    <s v="Indore"/>
    <s v="Online"/>
    <s v="Meera Joshi"/>
    <s v="Global Traders"/>
    <x v="5"/>
    <s v="Washing Machine"/>
    <n v="6"/>
    <n v="10722.22"/>
    <n v="64333.32"/>
    <n v="0"/>
    <n v="10559.36"/>
    <n v="53773.96"/>
    <s v="Completed"/>
    <s v="Paid"/>
  </r>
  <r>
    <s v="INV-2026-01260"/>
    <x v="70"/>
    <s v="Central"/>
    <s v="Bhopal"/>
    <s v="Distributor"/>
    <s v="Priya Patel"/>
    <s v="Metro Mart"/>
    <x v="2"/>
    <s v="Bicycle"/>
    <n v="45"/>
    <n v="24291.03"/>
    <n v="1093096.3500000001"/>
    <n v="143275.60999999999"/>
    <n v="0"/>
    <n v="949820.74"/>
    <s v="Cancelled"/>
    <s v="Pending"/>
  </r>
  <r>
    <s v="INV-2026-01261"/>
    <x v="90"/>
    <s v="North"/>
    <s v="Jaipur"/>
    <s v="Online"/>
    <s v="Anita Desai"/>
    <s v="Urban Store"/>
    <x v="1"/>
    <s v="Desk"/>
    <n v="47"/>
    <n v="20908.400000000001"/>
    <n v="982694.8"/>
    <n v="183476.02"/>
    <n v="0"/>
    <n v="799218.78"/>
    <s v="Processing"/>
    <s v="Pending"/>
  </r>
  <r>
    <s v="INV-2026-01262"/>
    <x v="18"/>
    <s v="Central"/>
    <s v="Bhopal"/>
    <s v="Retail Store"/>
    <s v="Anita Desai"/>
    <s v="XYZ Ltd"/>
    <x v="2"/>
    <s v="Football"/>
    <n v="32"/>
    <n v="16684.919999999998"/>
    <n v="533917.43999999994"/>
    <n v="71168.06"/>
    <n v="0"/>
    <n v="462749.38"/>
    <s v="Completed"/>
    <s v="Paid"/>
  </r>
  <r>
    <s v="INV-2026-01263"/>
    <x v="5"/>
    <s v="West"/>
    <s v="Pune"/>
    <s v="Direct Sales"/>
    <s v="Vijay Singh"/>
    <s v="Omega Stores"/>
    <x v="2"/>
    <s v="Yoga Mat"/>
    <n v="36"/>
    <n v="46620.88"/>
    <n v="1678351.68"/>
    <n v="0"/>
    <n v="294518.65999999997"/>
    <n v="1383833.02"/>
    <s v="Cancelled"/>
    <s v="Pending"/>
  </r>
  <r>
    <s v="INV-2026-01264"/>
    <x v="66"/>
    <s v="East"/>
    <s v="Kolkata"/>
    <s v="Distributor"/>
    <s v="Sneha Reddy"/>
    <s v="Metro Mart"/>
    <x v="0"/>
    <s v="Whiteboard"/>
    <n v="12"/>
    <n v="18986.36"/>
    <n v="227836.32"/>
    <n v="0"/>
    <n v="0"/>
    <n v="227836.32"/>
    <s v="Cancelled"/>
    <s v="Pending"/>
  </r>
  <r>
    <s v="INV-2026-01265"/>
    <x v="20"/>
    <s v="South"/>
    <s v="Chennai"/>
    <s v="Online"/>
    <s v="Suresh Gupta"/>
    <s v="Alpha Trading"/>
    <x v="3"/>
    <s v="Laptop"/>
    <n v="17"/>
    <n v="31590.37"/>
    <n v="537036.29"/>
    <n v="67975.95"/>
    <n v="0"/>
    <n v="469060.34"/>
    <s v="Completed"/>
    <s v="Paid"/>
  </r>
  <r>
    <s v="INV-2026-01266"/>
    <x v="68"/>
    <s v="North"/>
    <s v="Delhi"/>
    <s v="Direct Sales"/>
    <s v="Vijay Singh"/>
    <s v="Prime Retail"/>
    <x v="5"/>
    <s v="TV"/>
    <n v="5"/>
    <n v="2244.7399999999998"/>
    <n v="11223.7"/>
    <n v="2011.11"/>
    <n v="0"/>
    <n v="9212.59"/>
    <s v="Completed"/>
    <s v="Paid"/>
  </r>
  <r>
    <s v="INV-2026-01267"/>
    <x v="53"/>
    <s v="East"/>
    <s v="Bhubaneswar"/>
    <s v="Direct Sales"/>
    <s v="Meera Joshi"/>
    <s v="Global Traders"/>
    <x v="3"/>
    <s v="Headphones"/>
    <n v="46"/>
    <n v="24978.28"/>
    <n v="1149000.8799999999"/>
    <n v="12305.14"/>
    <n v="0"/>
    <n v="1136695.74"/>
    <s v="Cancelled"/>
    <s v="Pending"/>
  </r>
  <r>
    <s v="INV-2026-01268"/>
    <x v="44"/>
    <s v="South"/>
    <s v="Hyderabad"/>
    <s v="Direct Sales"/>
    <s v="Rahul Sharma"/>
    <s v="Nexus Ltd"/>
    <x v="1"/>
    <s v="Conference Table"/>
    <n v="19"/>
    <n v="44903.42"/>
    <n v="853164.98"/>
    <n v="43297.26"/>
    <n v="0"/>
    <n v="809867.72"/>
    <s v="Cancelled"/>
    <s v="Pending"/>
  </r>
  <r>
    <s v="INV-2026-01269"/>
    <x v="75"/>
    <s v="South"/>
    <s v="Chennai"/>
    <s v="Distributor"/>
    <s v="Meera Joshi"/>
    <s v="Skyline Corp"/>
    <x v="1"/>
    <s v="Cabinet"/>
    <n v="25"/>
    <n v="11559.11"/>
    <n v="288977.75"/>
    <n v="26496.89"/>
    <n v="0"/>
    <n v="262480.86"/>
    <s v="Completed"/>
    <s v="Paid"/>
  </r>
  <r>
    <s v="INV-2026-01270"/>
    <x v="17"/>
    <s v="East"/>
    <s v="Bhubaneswar"/>
    <s v="Direct Sales"/>
    <s v="Kavita Nair"/>
    <s v="Nexus Ltd"/>
    <x v="4"/>
    <s v="Shoes"/>
    <n v="9"/>
    <n v="28685.48"/>
    <n v="258169.32"/>
    <n v="45336.87"/>
    <n v="0"/>
    <n v="212832.45"/>
    <s v="Processing"/>
    <s v="Pending"/>
  </r>
  <r>
    <s v="INV-2026-01271"/>
    <x v="84"/>
    <s v="Central"/>
    <s v="Raipur"/>
    <s v="Direct Sales"/>
    <s v="Anita Desai"/>
    <s v="Tech Solutions"/>
    <x v="1"/>
    <s v="Office Chair"/>
    <n v="8"/>
    <n v="44340.52"/>
    <n v="354724.16"/>
    <n v="0"/>
    <n v="0"/>
    <n v="354724.16"/>
    <s v="Completed"/>
    <s v="Paid"/>
  </r>
  <r>
    <s v="INV-2026-01272"/>
    <x v="81"/>
    <s v="Central"/>
    <s v="Bhopal"/>
    <s v="Online"/>
    <s v="Priya Patel"/>
    <s v="Metro Mart"/>
    <x v="1"/>
    <s v="Desk"/>
    <n v="1"/>
    <n v="48820.61"/>
    <n v="48820.61"/>
    <n v="0"/>
    <n v="0"/>
    <n v="48820.61"/>
    <s v="Cancelled"/>
    <s v="Pending"/>
  </r>
  <r>
    <s v="INV-2026-01273"/>
    <x v="0"/>
    <s v="East"/>
    <s v="Bhubaneswar"/>
    <s v="Retail Store"/>
    <s v="Priya Patel"/>
    <s v="Smart Systems"/>
    <x v="4"/>
    <s v="T-Shirt"/>
    <n v="29"/>
    <n v="2895.13"/>
    <n v="83958.77"/>
    <n v="2606.25"/>
    <n v="6895.55"/>
    <n v="74456.97"/>
    <s v="Completed"/>
    <s v="Paid"/>
  </r>
  <r>
    <s v="INV-2026-01274"/>
    <x v="50"/>
    <s v="East"/>
    <s v="Kolkata"/>
    <s v="Retail Store"/>
    <s v="Meera Joshi"/>
    <s v="Metro Mart"/>
    <x v="1"/>
    <s v="Desk"/>
    <n v="4"/>
    <n v="26061.52"/>
    <n v="104246.08"/>
    <n v="0"/>
    <n v="0"/>
    <n v="104246.08"/>
    <s v="Cancelled"/>
    <s v="Pending"/>
  </r>
  <r>
    <s v="INV-2026-01275"/>
    <x v="79"/>
    <s v="West"/>
    <s v="Pune"/>
    <s v="Retail Store"/>
    <s v="Sneha Reddy"/>
    <s v="ABC Corp"/>
    <x v="3"/>
    <s v="Headphones"/>
    <n v="46"/>
    <n v="11888.97"/>
    <n v="546892.62"/>
    <n v="41778.800000000003"/>
    <n v="90430.2"/>
    <n v="414683.62"/>
    <s v="Processing"/>
    <s v="Pending"/>
  </r>
  <r>
    <s v="INV-2026-01276"/>
    <x v="16"/>
    <s v="East"/>
    <s v="Patna"/>
    <s v="Retail Store"/>
    <s v="Vijay Singh"/>
    <s v="XYZ Ltd"/>
    <x v="3"/>
    <s v="Laptop"/>
    <n v="34"/>
    <n v="28847.01"/>
    <n v="980798.34"/>
    <n v="32299.33"/>
    <n v="0"/>
    <n v="948499.01"/>
    <s v="Pending"/>
    <s v="Pending"/>
  </r>
  <r>
    <s v="INV-2026-01277"/>
    <x v="86"/>
    <s v="West"/>
    <s v="Mumbai"/>
    <s v="Distributor"/>
    <s v="Meera Joshi"/>
    <s v="Metro Mart"/>
    <x v="0"/>
    <s v="Pen Set"/>
    <n v="2"/>
    <n v="2753.49"/>
    <n v="5506.98"/>
    <n v="1024.74"/>
    <n v="0"/>
    <n v="4482.24"/>
    <s v="Completed"/>
    <s v="Paid"/>
  </r>
  <r>
    <s v="INV-2026-01278"/>
    <x v="29"/>
    <s v="South"/>
    <s v="Bangalore"/>
    <s v="Distributor"/>
    <s v="Sneha Reddy"/>
    <s v="Digital Hub"/>
    <x v="0"/>
    <s v="Whiteboard"/>
    <n v="43"/>
    <n v="11145.65"/>
    <n v="479262.95"/>
    <n v="35733.019999999997"/>
    <n v="0"/>
    <n v="443529.93"/>
    <s v="Processing"/>
    <s v="Pending"/>
  </r>
  <r>
    <s v="INV-2026-01279"/>
    <x v="41"/>
    <s v="Central"/>
    <s v="Nagpur"/>
    <s v="Online"/>
    <s v="Meera Joshi"/>
    <s v="Skyline Corp"/>
    <x v="1"/>
    <s v="Cabinet"/>
    <n v="17"/>
    <n v="41056.33"/>
    <n v="697957.61"/>
    <n v="133529.79"/>
    <n v="0"/>
    <n v="564427.81999999995"/>
    <s v="Completed"/>
    <s v="Paid"/>
  </r>
  <r>
    <s v="INV-2026-01280"/>
    <x v="21"/>
    <s v="North"/>
    <s v="Jaipur"/>
    <s v="Direct Sales"/>
    <s v="Anita Desai"/>
    <s v="Elite Enterprises"/>
    <x v="1"/>
    <s v="Cabinet"/>
    <n v="4"/>
    <n v="4992.75"/>
    <n v="19971"/>
    <n v="0"/>
    <n v="0"/>
    <n v="19971"/>
    <s v="Processing"/>
    <s v="Pending"/>
  </r>
  <r>
    <s v="INV-2026-01281"/>
    <x v="79"/>
    <s v="Central"/>
    <s v="Indore"/>
    <s v="Online"/>
    <s v="Rajesh Verma"/>
    <s v="Digital Hub"/>
    <x v="5"/>
    <s v="Washing Machine"/>
    <n v="17"/>
    <n v="43733.72"/>
    <n v="743473.24"/>
    <n v="109493.39"/>
    <n v="0"/>
    <n v="633979.85"/>
    <s v="Completed"/>
    <s v="Paid"/>
  </r>
  <r>
    <s v="INV-2026-01282"/>
    <x v="63"/>
    <s v="East"/>
    <s v="Patna"/>
    <s v="Online"/>
    <s v="Rahul Sharma"/>
    <s v="Alpha Trading"/>
    <x v="0"/>
    <s v="Printer Paper"/>
    <n v="15"/>
    <n v="27875.47"/>
    <n v="418132.05"/>
    <n v="0"/>
    <n v="0"/>
    <n v="418132.05"/>
    <s v="Completed"/>
    <s v="Paid"/>
  </r>
  <r>
    <s v="INV-2026-01283"/>
    <x v="45"/>
    <s v="North"/>
    <s v="Lucknow"/>
    <s v="Retail Store"/>
    <s v="Sneha Reddy"/>
    <s v="ABC Corp"/>
    <x v="1"/>
    <s v="Sofa"/>
    <n v="6"/>
    <n v="14152.02"/>
    <n v="84912.12"/>
    <n v="5367.87"/>
    <n v="0"/>
    <n v="79544.25"/>
    <s v="Pending"/>
    <s v="Pending"/>
  </r>
  <r>
    <s v="INV-2026-01284"/>
    <x v="53"/>
    <s v="North"/>
    <s v="Jaipur"/>
    <s v="Distributor"/>
    <s v="Suresh Gupta"/>
    <s v="Skyline Corp"/>
    <x v="4"/>
    <s v="T-Shirt"/>
    <n v="31"/>
    <n v="6673.04"/>
    <n v="206864.24"/>
    <n v="35937.839999999997"/>
    <n v="0"/>
    <n v="170926.4"/>
    <s v="Processing"/>
    <s v="Pending"/>
  </r>
  <r>
    <s v="INV-2026-01285"/>
    <x v="4"/>
    <s v="South"/>
    <s v="Bangalore"/>
    <s v="Direct Sales"/>
    <s v="Anita Desai"/>
    <s v="Metro Mart"/>
    <x v="0"/>
    <s v="File Folder"/>
    <n v="30"/>
    <n v="26585.32"/>
    <n v="797559.6"/>
    <n v="159116.71"/>
    <n v="0"/>
    <n v="638442.89"/>
    <s v="Processing"/>
    <s v="Pending"/>
  </r>
  <r>
    <s v="INV-2026-01286"/>
    <x v="36"/>
    <s v="East"/>
    <s v="Bhubaneswar"/>
    <s v="Retail Store"/>
    <s v="Anita Desai"/>
    <s v="Tech Solutions"/>
    <x v="1"/>
    <s v="Office Chair"/>
    <n v="42"/>
    <n v="42342.34"/>
    <n v="1778378.28"/>
    <n v="323819.06"/>
    <n v="0"/>
    <n v="1454559.22"/>
    <s v="Processing"/>
    <s v="Pending"/>
  </r>
  <r>
    <s v="INV-2026-01287"/>
    <x v="44"/>
    <s v="North"/>
    <s v="Chandigarh"/>
    <s v="Direct Sales"/>
    <s v="Amit Kumar"/>
    <s v="Metro Mart"/>
    <x v="5"/>
    <s v="Vacuum Cleaner"/>
    <n v="40"/>
    <n v="23303.42"/>
    <n v="932136.8"/>
    <n v="0"/>
    <n v="0"/>
    <n v="932136.8"/>
    <s v="Pending"/>
    <s v="Pending"/>
  </r>
  <r>
    <s v="INV-2026-01288"/>
    <x v="17"/>
    <s v="North"/>
    <s v="Chandigarh"/>
    <s v="Direct Sales"/>
    <s v="Meera Joshi"/>
    <s v="Metro Mart"/>
    <x v="0"/>
    <s v="Desk Organizer"/>
    <n v="50"/>
    <n v="14992.75"/>
    <n v="749637.5"/>
    <n v="117164.35"/>
    <n v="0"/>
    <n v="632473.15"/>
    <s v="Cancelled"/>
    <s v="Pending"/>
  </r>
  <r>
    <s v="INV-2026-01289"/>
    <x v="91"/>
    <s v="South"/>
    <s v="Bangalore"/>
    <s v="Distributor"/>
    <s v="Meera Joshi"/>
    <s v="Urban Store"/>
    <x v="4"/>
    <s v="Shoes"/>
    <n v="35"/>
    <n v="43808.959999999999"/>
    <n v="1533313.6"/>
    <n v="111990.35"/>
    <n v="0"/>
    <n v="1421323.25"/>
    <s v="Processing"/>
    <s v="Pending"/>
  </r>
  <r>
    <s v="INV-2026-01290"/>
    <x v="3"/>
    <s v="Central"/>
    <s v="Bhopal"/>
    <s v="Distributor"/>
    <s v="Anita Desai"/>
    <s v="Future Tech"/>
    <x v="4"/>
    <s v="Shoes"/>
    <n v="9"/>
    <n v="28284.9"/>
    <n v="254564.1"/>
    <n v="0"/>
    <n v="0"/>
    <n v="254564.1"/>
    <s v="Pending"/>
    <s v="Paid"/>
  </r>
  <r>
    <s v="INV-2026-01291"/>
    <x v="90"/>
    <s v="North"/>
    <s v="Delhi"/>
    <s v="Distributor"/>
    <s v="Meera Joshi"/>
    <s v="XYZ Ltd"/>
    <x v="1"/>
    <s v="Desk"/>
    <n v="43"/>
    <n v="25620.959999999999"/>
    <n v="1101701.28"/>
    <n v="0"/>
    <n v="79521.850000000006"/>
    <n v="1022179.43"/>
    <s v="Cancelled"/>
    <s v="Pending"/>
  </r>
  <r>
    <s v="INV-2026-01292"/>
    <x v="33"/>
    <s v="West"/>
    <s v="Mumbai"/>
    <s v="Online"/>
    <s v="Meera Joshi"/>
    <s v="Elite Enterprises"/>
    <x v="2"/>
    <s v="Football"/>
    <n v="5"/>
    <n v="12993.32"/>
    <n v="64966.6"/>
    <n v="4367.2"/>
    <n v="0"/>
    <n v="60599.4"/>
    <s v="Completed"/>
    <s v="Paid"/>
  </r>
  <r>
    <s v="INV-2026-01293"/>
    <x v="87"/>
    <s v="North"/>
    <s v="Chandigarh"/>
    <s v="Retail Store"/>
    <s v="Amit Kumar"/>
    <s v="Global Traders"/>
    <x v="5"/>
    <s v="Air Conditioner"/>
    <n v="15"/>
    <n v="31145.599999999999"/>
    <n v="467184"/>
    <n v="78900.009999999995"/>
    <n v="0"/>
    <n v="388283.99"/>
    <s v="Pending"/>
    <s v="Paid"/>
  </r>
  <r>
    <s v="INV-2026-01294"/>
    <x v="22"/>
    <s v="East"/>
    <s v="Patna"/>
    <s v="Retail Store"/>
    <s v="Anita Desai"/>
    <s v="Nexus Ltd"/>
    <x v="4"/>
    <s v="Formal Shirt"/>
    <n v="8"/>
    <n v="4694.2700000000004"/>
    <n v="37554.160000000003"/>
    <n v="5005.0600000000004"/>
    <n v="0"/>
    <n v="32549.1"/>
    <s v="Pending"/>
    <s v="Pending"/>
  </r>
  <r>
    <s v="INV-2026-01295"/>
    <x v="88"/>
    <s v="West"/>
    <s v="Surat"/>
    <s v="Distributor"/>
    <s v="Vijay Singh"/>
    <s v="Urban Store"/>
    <x v="2"/>
    <s v="Football"/>
    <n v="29"/>
    <n v="29566.14"/>
    <n v="857418.06"/>
    <n v="32582.29"/>
    <n v="0"/>
    <n v="824835.77"/>
    <s v="Completed"/>
    <s v="Paid"/>
  </r>
  <r>
    <s v="INV-2026-01296"/>
    <x v="56"/>
    <s v="North"/>
    <s v="Lucknow"/>
    <s v="Retail Store"/>
    <s v="Sneha Reddy"/>
    <s v="Skyline Corp"/>
    <x v="2"/>
    <s v="Gym Equipment"/>
    <n v="50"/>
    <n v="12949.7"/>
    <n v="647485"/>
    <n v="50409.73"/>
    <n v="0"/>
    <n v="597075.27"/>
    <s v="Processing"/>
    <s v="Pending"/>
  </r>
  <r>
    <s v="INV-2026-01297"/>
    <x v="68"/>
    <s v="Central"/>
    <s v="Raipur"/>
    <s v="Online"/>
    <s v="Kavita Nair"/>
    <s v="Global Traders"/>
    <x v="0"/>
    <s v="Desk Organizer"/>
    <n v="28"/>
    <n v="11157.76"/>
    <n v="312417.28000000003"/>
    <n v="0"/>
    <n v="0"/>
    <n v="312417.28000000003"/>
    <s v="Completed"/>
    <s v="Paid"/>
  </r>
  <r>
    <s v="INV-2026-01298"/>
    <x v="16"/>
    <s v="North"/>
    <s v="Chandigarh"/>
    <s v="Direct Sales"/>
    <s v="Suresh Gupta"/>
    <s v="Elite Enterprises"/>
    <x v="1"/>
    <s v="Office Chair"/>
    <n v="17"/>
    <n v="34920.160000000003"/>
    <n v="593642.72"/>
    <n v="69617.33"/>
    <n v="0"/>
    <n v="524025.39"/>
    <s v="Processing"/>
    <s v="Pending"/>
  </r>
  <r>
    <s v="INV-2026-01299"/>
    <x v="70"/>
    <s v="West"/>
    <s v="Surat"/>
    <s v="Online"/>
    <s v="Rahul Sharma"/>
    <s v="Global Traders"/>
    <x v="3"/>
    <s v="Headphones"/>
    <n v="45"/>
    <n v="4212.7299999999996"/>
    <n v="189572.85"/>
    <n v="27899.45"/>
    <n v="0"/>
    <n v="161673.4"/>
    <s v="Pending"/>
    <s v="Pending"/>
  </r>
  <r>
    <s v="INV-2026-01300"/>
    <x v="80"/>
    <s v="North"/>
    <s v="Jaipur"/>
    <s v="Retail Store"/>
    <s v="Sneha Reddy"/>
    <s v="Urban Store"/>
    <x v="5"/>
    <s v="Refrigerator"/>
    <n v="50"/>
    <n v="23137.56"/>
    <n v="1156878"/>
    <n v="204762.06"/>
    <n v="0"/>
    <n v="952115.94"/>
    <s v="Completed"/>
    <s v="Paid"/>
  </r>
  <r>
    <s v="INV-2026-01301"/>
    <x v="73"/>
    <s v="South"/>
    <s v="Chennai"/>
    <s v="Direct Sales"/>
    <s v="Vijay Singh"/>
    <s v="ABC Corp"/>
    <x v="3"/>
    <s v="Laptop"/>
    <n v="7"/>
    <n v="15850.13"/>
    <n v="110950.91"/>
    <n v="20179.7"/>
    <n v="0"/>
    <n v="90771.21"/>
    <s v="Cancelled"/>
    <s v="Pending"/>
  </r>
  <r>
    <s v="INV-2026-01302"/>
    <x v="41"/>
    <s v="North"/>
    <s v="Chandigarh"/>
    <s v="Direct Sales"/>
    <s v="Amit Kumar"/>
    <s v="Tech Solutions"/>
    <x v="5"/>
    <s v="Refrigerator"/>
    <n v="20"/>
    <n v="769.7"/>
    <n v="15394"/>
    <n v="0"/>
    <n v="0"/>
    <n v="15394"/>
    <s v="Pending"/>
    <s v="Paid"/>
  </r>
  <r>
    <s v="INV-2026-01303"/>
    <x v="0"/>
    <s v="North"/>
    <s v="Chandigarh"/>
    <s v="Distributor"/>
    <s v="Suresh Gupta"/>
    <s v="Future Tech"/>
    <x v="1"/>
    <s v="Conference Table"/>
    <n v="7"/>
    <n v="45366.48"/>
    <n v="317565.36"/>
    <n v="49547.86"/>
    <n v="0"/>
    <n v="268017.5"/>
    <s v="Completed"/>
    <s v="Paid"/>
  </r>
  <r>
    <s v="INV-2026-01304"/>
    <x v="24"/>
    <s v="North"/>
    <s v="Jaipur"/>
    <s v="Retail Store"/>
    <s v="Vijay Singh"/>
    <s v="Urban Store"/>
    <x v="3"/>
    <s v="Smartphone"/>
    <n v="40"/>
    <n v="601.55999999999995"/>
    <n v="24062.400000000001"/>
    <n v="0"/>
    <n v="0"/>
    <n v="24062.400000000001"/>
    <s v="Completed"/>
    <s v="Paid"/>
  </r>
  <r>
    <s v="INV-2026-01305"/>
    <x v="56"/>
    <s v="East"/>
    <s v="Patna"/>
    <s v="Distributor"/>
    <s v="Rajesh Verma"/>
    <s v="Digital Hub"/>
    <x v="4"/>
    <s v="Shoes"/>
    <n v="43"/>
    <n v="6624.58"/>
    <n v="284856.94"/>
    <n v="41626.5"/>
    <n v="0"/>
    <n v="243230.44"/>
    <s v="Pending"/>
    <s v="Pending"/>
  </r>
  <r>
    <s v="INV-2026-01306"/>
    <x v="21"/>
    <s v="South"/>
    <s v="Kochi"/>
    <s v="Online"/>
    <s v="Vijay Singh"/>
    <s v="Alpha Trading"/>
    <x v="5"/>
    <s v="Washing Machine"/>
    <n v="3"/>
    <n v="18740.96"/>
    <n v="56222.879999999997"/>
    <n v="0"/>
    <n v="0"/>
    <n v="56222.879999999997"/>
    <s v="Processing"/>
    <s v="Pending"/>
  </r>
  <r>
    <s v="INV-2026-01307"/>
    <x v="62"/>
    <s v="North"/>
    <s v="Delhi"/>
    <s v="Distributor"/>
    <s v="Kavita Nair"/>
    <s v="Skyline Corp"/>
    <x v="1"/>
    <s v="Conference Table"/>
    <n v="24"/>
    <n v="30651.34"/>
    <n v="735632.16"/>
    <n v="0"/>
    <n v="0"/>
    <n v="735632.16"/>
    <s v="Completed"/>
    <s v="Paid"/>
  </r>
  <r>
    <s v="INV-2026-01308"/>
    <x v="52"/>
    <s v="West"/>
    <s v="Pune"/>
    <s v="Retail Store"/>
    <s v="Anita Desai"/>
    <s v="Skyline Corp"/>
    <x v="1"/>
    <s v="Cabinet"/>
    <n v="18"/>
    <n v="10421.719999999999"/>
    <n v="187590.96"/>
    <n v="0"/>
    <n v="0"/>
    <n v="187590.96"/>
    <s v="Completed"/>
    <s v="Paid"/>
  </r>
  <r>
    <s v="INV-2026-01309"/>
    <x v="37"/>
    <s v="Central"/>
    <s v="Nagpur"/>
    <s v="Online"/>
    <s v="Vijay Singh"/>
    <s v="Nexus Ltd"/>
    <x v="3"/>
    <s v="Smart Watch"/>
    <n v="45"/>
    <n v="37028.410000000003"/>
    <n v="1666278.45"/>
    <n v="229249.29"/>
    <n v="493985.82"/>
    <n v="943043.34"/>
    <s v="Completed"/>
    <s v="Paid"/>
  </r>
  <r>
    <s v="INV-2026-01310"/>
    <x v="72"/>
    <s v="West"/>
    <s v="Surat"/>
    <s v="Distributor"/>
    <s v="Rahul Sharma"/>
    <s v="Metro Mart"/>
    <x v="0"/>
    <s v="File Folder"/>
    <n v="47"/>
    <n v="18824.13"/>
    <n v="884734.11"/>
    <n v="91801.36"/>
    <n v="0"/>
    <n v="792932.75"/>
    <s v="Processing"/>
    <s v="Paid"/>
  </r>
  <r>
    <s v="INV-2026-01311"/>
    <x v="50"/>
    <s v="South"/>
    <s v="Kochi"/>
    <s v="Retail Store"/>
    <s v="Anita Desai"/>
    <s v="Prime Retail"/>
    <x v="2"/>
    <s v="Yoga Mat"/>
    <n v="36"/>
    <n v="11084.01"/>
    <n v="399024.36"/>
    <n v="0"/>
    <n v="102014.45"/>
    <n v="297009.90999999997"/>
    <s v="Completed"/>
    <s v="Paid"/>
  </r>
  <r>
    <s v="INV-2026-01312"/>
    <x v="60"/>
    <s v="Central"/>
    <s v="Raipur"/>
    <s v="Distributor"/>
    <s v="Suresh Gupta"/>
    <s v="Smart Systems"/>
    <x v="0"/>
    <s v="Pen Set"/>
    <n v="28"/>
    <n v="14032.49"/>
    <n v="392909.72"/>
    <n v="0"/>
    <n v="0"/>
    <n v="392909.72"/>
    <s v="Cancelled"/>
    <s v="Pending"/>
  </r>
  <r>
    <s v="INV-2026-01313"/>
    <x v="77"/>
    <s v="West"/>
    <s v="Mumbai"/>
    <s v="Direct Sales"/>
    <s v="Suresh Gupta"/>
    <s v="Urban Store"/>
    <x v="4"/>
    <s v="Formal Shirt"/>
    <n v="45"/>
    <n v="9011.56"/>
    <n v="405520.2"/>
    <n v="59598.92"/>
    <n v="0"/>
    <n v="345921.28000000003"/>
    <s v="Cancelled"/>
    <s v="Pending"/>
  </r>
  <r>
    <s v="INV-2026-01314"/>
    <x v="51"/>
    <s v="East"/>
    <s v="Patna"/>
    <s v="Distributor"/>
    <s v="Rahul Sharma"/>
    <s v="Digital Hub"/>
    <x v="1"/>
    <s v="Office Chair"/>
    <n v="25"/>
    <n v="29092.43"/>
    <n v="727310.75"/>
    <n v="87987.42"/>
    <n v="187335.36"/>
    <n v="451987.97"/>
    <s v="Pending"/>
    <s v="Pending"/>
  </r>
  <r>
    <s v="INV-2026-01315"/>
    <x v="76"/>
    <s v="South"/>
    <s v="Bangalore"/>
    <s v="Direct Sales"/>
    <s v="Rajesh Verma"/>
    <s v="Skyline Corp"/>
    <x v="0"/>
    <s v="Pen Set"/>
    <n v="13"/>
    <n v="47521.05"/>
    <n v="617773.65"/>
    <n v="0"/>
    <n v="0"/>
    <n v="617773.65"/>
    <s v="Pending"/>
    <s v="Paid"/>
  </r>
  <r>
    <s v="INV-2026-01316"/>
    <x v="62"/>
    <s v="West"/>
    <s v="Pune"/>
    <s v="Direct Sales"/>
    <s v="Amit Kumar"/>
    <s v="Urban Store"/>
    <x v="0"/>
    <s v="Desk Organizer"/>
    <n v="32"/>
    <n v="33236.400000000001"/>
    <n v="1063564.8"/>
    <n v="0"/>
    <n v="0"/>
    <n v="1063564.8"/>
    <s v="Processing"/>
    <s v="Pending"/>
  </r>
  <r>
    <s v="INV-2026-01317"/>
    <x v="62"/>
    <s v="North"/>
    <s v="Jaipur"/>
    <s v="Retail Store"/>
    <s v="Meera Joshi"/>
    <s v="Nexus Ltd"/>
    <x v="1"/>
    <s v="Office Chair"/>
    <n v="24"/>
    <n v="17479.43"/>
    <n v="419506.32"/>
    <n v="0"/>
    <n v="0"/>
    <n v="419506.32"/>
    <s v="Processing"/>
    <s v="Pending"/>
  </r>
  <r>
    <s v="INV-2026-01318"/>
    <x v="4"/>
    <s v="East"/>
    <s v="Guwahati"/>
    <s v="Online"/>
    <s v="Amit Kumar"/>
    <s v="Omega Stores"/>
    <x v="5"/>
    <s v="Air Conditioner"/>
    <n v="31"/>
    <n v="20990.95"/>
    <n v="650719.44999999995"/>
    <n v="6532.51"/>
    <n v="0"/>
    <n v="644186.93999999994"/>
    <s v="Processing"/>
    <s v="Pending"/>
  </r>
  <r>
    <s v="INV-2026-01319"/>
    <x v="37"/>
    <s v="East"/>
    <s v="Kolkata"/>
    <s v="Direct Sales"/>
    <s v="Rahul Sharma"/>
    <s v="ABC Corp"/>
    <x v="4"/>
    <s v="T-Shirt"/>
    <n v="23"/>
    <n v="9876.43"/>
    <n v="227157.89"/>
    <n v="3207.6"/>
    <n v="0"/>
    <n v="223950.29"/>
    <s v="Processing"/>
    <s v="Pending"/>
  </r>
  <r>
    <s v="INV-2026-01320"/>
    <x v="67"/>
    <s v="Central"/>
    <s v="Raipur"/>
    <s v="Direct Sales"/>
    <s v="Suresh Gupta"/>
    <s v="Future Tech"/>
    <x v="2"/>
    <s v="Bicycle"/>
    <n v="4"/>
    <n v="22217.72"/>
    <n v="88870.88"/>
    <n v="0"/>
    <n v="0"/>
    <n v="88870.88"/>
    <s v="Cancelled"/>
    <s v="Pending"/>
  </r>
  <r>
    <s v="INV-2026-01321"/>
    <x v="85"/>
    <s v="Central"/>
    <s v="Bhopal"/>
    <s v="Distributor"/>
    <s v="Rajesh Verma"/>
    <s v="ABC Corp"/>
    <x v="2"/>
    <s v="Bicycle"/>
    <n v="44"/>
    <n v="22568.82"/>
    <n v="993028.08"/>
    <n v="143684.76999999999"/>
    <n v="0"/>
    <n v="849343.31"/>
    <s v="Completed"/>
    <s v="Paid"/>
  </r>
  <r>
    <s v="INV-2026-01322"/>
    <x v="72"/>
    <s v="South"/>
    <s v="Hyderabad"/>
    <s v="Direct Sales"/>
    <s v="Priya Patel"/>
    <s v="XYZ Ltd"/>
    <x v="1"/>
    <s v="Bookshelf"/>
    <n v="39"/>
    <n v="17418.330000000002"/>
    <n v="679314.87"/>
    <n v="111906.77"/>
    <n v="0"/>
    <n v="567408.1"/>
    <s v="Cancelled"/>
    <s v="Pending"/>
  </r>
  <r>
    <s v="INV-2026-01323"/>
    <x v="62"/>
    <s v="Central"/>
    <s v="Bhopal"/>
    <s v="Online"/>
    <s v="Anita Desai"/>
    <s v="Smart Systems"/>
    <x v="3"/>
    <s v="Smart Watch"/>
    <n v="37"/>
    <n v="37602.720000000001"/>
    <n v="1391300.64"/>
    <n v="85159.21"/>
    <n v="0"/>
    <n v="1306141.43"/>
    <s v="Processing"/>
    <s v="Pending"/>
  </r>
  <r>
    <s v="INV-2026-01324"/>
    <x v="43"/>
    <s v="West"/>
    <s v="Mumbai"/>
    <s v="Online"/>
    <s v="Amit Kumar"/>
    <s v="Omega Stores"/>
    <x v="5"/>
    <s v="Vacuum Cleaner"/>
    <n v="48"/>
    <n v="2246.33"/>
    <n v="107823.84"/>
    <n v="1462.74"/>
    <n v="0"/>
    <n v="106361.1"/>
    <s v="Processing"/>
    <s v="Paid"/>
  </r>
  <r>
    <s v="INV-2026-01325"/>
    <x v="15"/>
    <s v="Central"/>
    <s v="Nagpur"/>
    <s v="Direct Sales"/>
    <s v="Rajesh Verma"/>
    <s v="Elite Enterprises"/>
    <x v="4"/>
    <s v="Jacket"/>
    <n v="10"/>
    <n v="26621.27"/>
    <n v="266212.7"/>
    <n v="34559.82"/>
    <n v="0"/>
    <n v="231652.88"/>
    <s v="Completed"/>
    <s v="Paid"/>
  </r>
  <r>
    <s v="INV-2026-01326"/>
    <x v="21"/>
    <s v="South"/>
    <s v="Kochi"/>
    <s v="Distributor"/>
    <s v="Suresh Gupta"/>
    <s v="Future Tech"/>
    <x v="3"/>
    <s v="Smart Watch"/>
    <n v="38"/>
    <n v="2933.24"/>
    <n v="111463.12"/>
    <n v="0"/>
    <n v="0"/>
    <n v="111463.12"/>
    <s v="Pending"/>
    <s v="Paid"/>
  </r>
  <r>
    <s v="INV-2026-01327"/>
    <x v="74"/>
    <s v="North"/>
    <s v="Chandigarh"/>
    <s v="Retail Store"/>
    <s v="Rahul Sharma"/>
    <s v="Skyline Corp"/>
    <x v="5"/>
    <s v="Air Conditioner"/>
    <n v="1"/>
    <n v="12142.84"/>
    <n v="12142.84"/>
    <n v="0"/>
    <n v="2714.38"/>
    <n v="9428.4599999999991"/>
    <s v="Completed"/>
    <s v="Paid"/>
  </r>
  <r>
    <s v="INV-2026-01328"/>
    <x v="83"/>
    <s v="East"/>
    <s v="Bhubaneswar"/>
    <s v="Direct Sales"/>
    <s v="Kavita Nair"/>
    <s v="Future Tech"/>
    <x v="1"/>
    <s v="Sofa"/>
    <n v="4"/>
    <n v="46763.09"/>
    <n v="187052.36"/>
    <n v="0"/>
    <n v="0"/>
    <n v="187052.36"/>
    <s v="Completed"/>
    <s v="Paid"/>
  </r>
  <r>
    <s v="INV-2026-01329"/>
    <x v="46"/>
    <s v="West"/>
    <s v="Pune"/>
    <s v="Distributor"/>
    <s v="Priya Patel"/>
    <s v="Urban Store"/>
    <x v="3"/>
    <s v="Headphones"/>
    <n v="36"/>
    <n v="13663.24"/>
    <n v="491876.64"/>
    <n v="0"/>
    <n v="0"/>
    <n v="491876.64"/>
    <s v="Pending"/>
    <s v="Pending"/>
  </r>
  <r>
    <s v="INV-2026-01330"/>
    <x v="46"/>
    <s v="South"/>
    <s v="Kochi"/>
    <s v="Online"/>
    <s v="Vijay Singh"/>
    <s v="ABC Corp"/>
    <x v="0"/>
    <s v="Printer Paper"/>
    <n v="39"/>
    <n v="1639.1"/>
    <n v="63924.9"/>
    <n v="0"/>
    <n v="0"/>
    <n v="63924.9"/>
    <s v="Completed"/>
    <s v="Paid"/>
  </r>
  <r>
    <s v="INV-2026-01331"/>
    <x v="39"/>
    <s v="North"/>
    <s v="Lucknow"/>
    <s v="Direct Sales"/>
    <s v="Meera Joshi"/>
    <s v="Digital Hub"/>
    <x v="3"/>
    <s v="Laptop"/>
    <n v="26"/>
    <n v="15107.89"/>
    <n v="392805.14"/>
    <n v="0"/>
    <n v="0"/>
    <n v="392805.14"/>
    <s v="Processing"/>
    <s v="Pending"/>
  </r>
  <r>
    <s v="INV-2026-01332"/>
    <x v="79"/>
    <s v="East"/>
    <s v="Kolkata"/>
    <s v="Direct Sales"/>
    <s v="Kavita Nair"/>
    <s v="Metro Mart"/>
    <x v="0"/>
    <s v="Pen Set"/>
    <n v="13"/>
    <n v="13673.59"/>
    <n v="177756.67"/>
    <n v="17624.23"/>
    <n v="0"/>
    <n v="160132.44"/>
    <s v="Cancelled"/>
    <s v="Pending"/>
  </r>
  <r>
    <s v="INV-2026-01333"/>
    <x v="14"/>
    <s v="South"/>
    <s v="Bangalore"/>
    <s v="Distributor"/>
    <s v="Amit Kumar"/>
    <s v="ABC Corp"/>
    <x v="1"/>
    <s v="Bookshelf"/>
    <n v="23"/>
    <n v="18150.2"/>
    <n v="417454.6"/>
    <n v="5123.16"/>
    <n v="0"/>
    <n v="412331.44"/>
    <s v="Completed"/>
    <s v="Paid"/>
  </r>
  <r>
    <s v="INV-2026-01334"/>
    <x v="30"/>
    <s v="North"/>
    <s v="Jaipur"/>
    <s v="Retail Store"/>
    <s v="Kavita Nair"/>
    <s v="Prime Retail"/>
    <x v="1"/>
    <s v="Desk"/>
    <n v="40"/>
    <n v="47740.5"/>
    <n v="1909620"/>
    <n v="238008.7"/>
    <n v="0"/>
    <n v="1671611.3"/>
    <s v="Pending"/>
    <s v="Pending"/>
  </r>
  <r>
    <s v="INV-2026-01335"/>
    <x v="74"/>
    <s v="North"/>
    <s v="Chandigarh"/>
    <s v="Online"/>
    <s v="Rajesh Verma"/>
    <s v="Skyline Corp"/>
    <x v="2"/>
    <s v="Yoga Mat"/>
    <n v="3"/>
    <n v="29910.43"/>
    <n v="89731.29"/>
    <n v="15798.97"/>
    <n v="0"/>
    <n v="73932.320000000007"/>
    <s v="Processing"/>
    <s v="Pending"/>
  </r>
  <r>
    <s v="INV-2026-01336"/>
    <x v="17"/>
    <s v="South"/>
    <s v="Bangalore"/>
    <s v="Online"/>
    <s v="Anita Desai"/>
    <s v="XYZ Ltd"/>
    <x v="5"/>
    <s v="Microwave"/>
    <n v="24"/>
    <n v="29778.95"/>
    <n v="714694.8"/>
    <n v="31439.38"/>
    <n v="0"/>
    <n v="683255.42"/>
    <s v="Processing"/>
    <s v="Paid"/>
  </r>
  <r>
    <s v="INV-2026-01337"/>
    <x v="42"/>
    <s v="North"/>
    <s v="Jaipur"/>
    <s v="Online"/>
    <s v="Rahul Sharma"/>
    <s v="Prime Retail"/>
    <x v="4"/>
    <s v="Jeans"/>
    <n v="48"/>
    <n v="28272.05"/>
    <n v="1357058.4"/>
    <n v="258326.15"/>
    <n v="0"/>
    <n v="1098732.25"/>
    <s v="Processing"/>
    <s v="Paid"/>
  </r>
  <r>
    <s v="INV-2026-01338"/>
    <x v="32"/>
    <s v="North"/>
    <s v="Delhi"/>
    <s v="Online"/>
    <s v="Rahul Sharma"/>
    <s v="Prime Retail"/>
    <x v="0"/>
    <s v="Notebook"/>
    <n v="31"/>
    <n v="16203.12"/>
    <n v="502296.72"/>
    <n v="0"/>
    <n v="0"/>
    <n v="502296.72"/>
    <s v="Completed"/>
    <s v="Pending"/>
  </r>
  <r>
    <s v="INV-2026-01339"/>
    <x v="64"/>
    <s v="North"/>
    <s v="Lucknow"/>
    <s v="Direct Sales"/>
    <s v="Rajesh Verma"/>
    <s v="ABC Corp"/>
    <x v="5"/>
    <s v="TV"/>
    <n v="12"/>
    <n v="21371.23"/>
    <n v="256454.76"/>
    <n v="0"/>
    <n v="0"/>
    <n v="256454.76"/>
    <s v="Completed"/>
    <s v="Paid"/>
  </r>
  <r>
    <s v="INV-2026-01340"/>
    <x v="34"/>
    <s v="North"/>
    <s v="Chandigarh"/>
    <s v="Distributor"/>
    <s v="Priya Patel"/>
    <s v="Omega Stores"/>
    <x v="5"/>
    <s v="Refrigerator"/>
    <n v="9"/>
    <n v="26030.6"/>
    <n v="234275.4"/>
    <n v="0"/>
    <n v="0"/>
    <n v="234275.4"/>
    <s v="Completed"/>
    <s v="Paid"/>
  </r>
  <r>
    <s v="INV-2026-01341"/>
    <x v="80"/>
    <s v="South"/>
    <s v="Kochi"/>
    <s v="Retail Store"/>
    <s v="Anita Desai"/>
    <s v="Omega Stores"/>
    <x v="5"/>
    <s v="Washing Machine"/>
    <n v="38"/>
    <n v="7205.28"/>
    <n v="273800.64"/>
    <n v="44968.32"/>
    <n v="0"/>
    <n v="228832.32"/>
    <s v="Pending"/>
    <s v="Paid"/>
  </r>
  <r>
    <s v="INV-2026-01342"/>
    <x v="88"/>
    <s v="North"/>
    <s v="Chandigarh"/>
    <s v="Retail Store"/>
    <s v="Anita Desai"/>
    <s v="Urban Store"/>
    <x v="3"/>
    <s v="Smart Watch"/>
    <n v="18"/>
    <n v="32450.48"/>
    <n v="584108.64"/>
    <n v="27632.36"/>
    <n v="0"/>
    <n v="556476.28"/>
    <s v="Pending"/>
    <s v="Pending"/>
  </r>
  <r>
    <s v="INV-2026-01343"/>
    <x v="13"/>
    <s v="North"/>
    <s v="Jaipur"/>
    <s v="Retail Store"/>
    <s v="Rahul Sharma"/>
    <s v="Prime Retail"/>
    <x v="0"/>
    <s v="Notebook"/>
    <n v="18"/>
    <n v="44067.58"/>
    <n v="793216.44"/>
    <n v="1781.04"/>
    <n v="0"/>
    <n v="791435.4"/>
    <s v="Completed"/>
    <s v="Paid"/>
  </r>
  <r>
    <s v="INV-2026-01344"/>
    <x v="23"/>
    <s v="North"/>
    <s v="Delhi"/>
    <s v="Retail Store"/>
    <s v="Kavita Nair"/>
    <s v="Alpha Trading"/>
    <x v="2"/>
    <s v="Tennis Racket"/>
    <n v="1"/>
    <n v="22172.06"/>
    <n v="22172.06"/>
    <n v="690.79"/>
    <n v="5633.36"/>
    <n v="15847.91"/>
    <s v="Completed"/>
    <s v="Pending"/>
  </r>
  <r>
    <s v="INV-2026-01345"/>
    <x v="62"/>
    <s v="South"/>
    <s v="Kochi"/>
    <s v="Direct Sales"/>
    <s v="Meera Joshi"/>
    <s v="XYZ Ltd"/>
    <x v="3"/>
    <s v="Tablet"/>
    <n v="1"/>
    <n v="6833.87"/>
    <n v="6833.87"/>
    <n v="342.81"/>
    <n v="0"/>
    <n v="6491.06"/>
    <s v="Cancelled"/>
    <s v="Pending"/>
  </r>
  <r>
    <s v="INV-2026-01346"/>
    <x v="61"/>
    <s v="South"/>
    <s v="Bangalore"/>
    <s v="Distributor"/>
    <s v="Meera Joshi"/>
    <s v="Metro Mart"/>
    <x v="0"/>
    <s v="File Folder"/>
    <n v="32"/>
    <n v="778.35"/>
    <n v="24907.200000000001"/>
    <n v="951.65"/>
    <n v="0"/>
    <n v="23955.55"/>
    <s v="Completed"/>
    <s v="Paid"/>
  </r>
  <r>
    <s v="INV-2026-01347"/>
    <x v="85"/>
    <s v="East"/>
    <s v="Patna"/>
    <s v="Distributor"/>
    <s v="Suresh Gupta"/>
    <s v="Urban Store"/>
    <x v="2"/>
    <s v="Bicycle"/>
    <n v="14"/>
    <n v="48103.4"/>
    <n v="673447.6"/>
    <n v="63412.83"/>
    <n v="174296.21"/>
    <n v="435738.56"/>
    <s v="Cancelled"/>
    <s v="Pending"/>
  </r>
  <r>
    <s v="INV-2026-01348"/>
    <x v="11"/>
    <s v="South"/>
    <s v="Bangalore"/>
    <s v="Distributor"/>
    <s v="Rajesh Verma"/>
    <s v="Digital Hub"/>
    <x v="4"/>
    <s v="Formal Shirt"/>
    <n v="43"/>
    <n v="3443.17"/>
    <n v="148056.31"/>
    <n v="0"/>
    <n v="0"/>
    <n v="148056.31"/>
    <s v="Completed"/>
    <s v="Paid"/>
  </r>
  <r>
    <s v="INV-2026-01349"/>
    <x v="50"/>
    <s v="South"/>
    <s v="Chennai"/>
    <s v="Distributor"/>
    <s v="Suresh Gupta"/>
    <s v="Alpha Trading"/>
    <x v="2"/>
    <s v="Cricket Bat"/>
    <n v="19"/>
    <n v="14922.33"/>
    <n v="283524.27"/>
    <n v="0"/>
    <n v="0"/>
    <n v="283524.27"/>
    <s v="Processing"/>
    <s v="Pending"/>
  </r>
  <r>
    <s v="INV-2026-01350"/>
    <x v="19"/>
    <s v="Central"/>
    <s v="Nagpur"/>
    <s v="Distributor"/>
    <s v="Suresh Gupta"/>
    <s v="Elite Enterprises"/>
    <x v="0"/>
    <s v="Desk Organizer"/>
    <n v="2"/>
    <n v="24421.82"/>
    <n v="48843.64"/>
    <n v="4327.2"/>
    <n v="0"/>
    <n v="44516.44"/>
    <s v="Cancelled"/>
    <s v="Pending"/>
  </r>
  <r>
    <s v="INV-2026-01351"/>
    <x v="35"/>
    <s v="Central"/>
    <s v="Raipur"/>
    <s v="Online"/>
    <s v="Vijay Singh"/>
    <s v="Nexus Ltd"/>
    <x v="1"/>
    <s v="Bookshelf"/>
    <n v="37"/>
    <n v="3093.05"/>
    <n v="114442.85"/>
    <n v="2804.6"/>
    <n v="0"/>
    <n v="111638.25"/>
    <s v="Cancelled"/>
    <s v="Pending"/>
  </r>
  <r>
    <s v="INV-2026-01352"/>
    <x v="72"/>
    <s v="South"/>
    <s v="Kochi"/>
    <s v="Distributor"/>
    <s v="Vijay Singh"/>
    <s v="Metro Mart"/>
    <x v="4"/>
    <s v="Jacket"/>
    <n v="28"/>
    <n v="18041.150000000001"/>
    <n v="505152.2"/>
    <n v="69993.22"/>
    <n v="0"/>
    <n v="435158.98"/>
    <s v="Cancelled"/>
    <s v="Pending"/>
  </r>
  <r>
    <s v="INV-2026-01353"/>
    <x v="38"/>
    <s v="West"/>
    <s v="Mumbai"/>
    <s v="Distributor"/>
    <s v="Rajesh Verma"/>
    <s v="Urban Store"/>
    <x v="0"/>
    <s v="Pen Set"/>
    <n v="10"/>
    <n v="10223.1"/>
    <n v="102231"/>
    <n v="0"/>
    <n v="0"/>
    <n v="102231"/>
    <s v="Cancelled"/>
    <s v="Pending"/>
  </r>
  <r>
    <s v="INV-2026-01354"/>
    <x v="11"/>
    <s v="West"/>
    <s v="Mumbai"/>
    <s v="Distributor"/>
    <s v="Suresh Gupta"/>
    <s v="Urban Store"/>
    <x v="4"/>
    <s v="Formal Shirt"/>
    <n v="6"/>
    <n v="24251.45"/>
    <n v="145508.70000000001"/>
    <n v="0"/>
    <n v="0"/>
    <n v="145508.70000000001"/>
    <s v="Processing"/>
    <s v="Pending"/>
  </r>
  <r>
    <s v="INV-2026-01355"/>
    <x v="63"/>
    <s v="North"/>
    <s v="Lucknow"/>
    <s v="Direct Sales"/>
    <s v="Rahul Sharma"/>
    <s v="Smart Systems"/>
    <x v="4"/>
    <s v="Jacket"/>
    <n v="5"/>
    <n v="5461.77"/>
    <n v="27308.85"/>
    <n v="2600.19"/>
    <n v="0"/>
    <n v="24708.66"/>
    <s v="Pending"/>
    <s v="Pending"/>
  </r>
  <r>
    <s v="INV-2026-01356"/>
    <x v="11"/>
    <s v="Central"/>
    <s v="Bhopal"/>
    <s v="Online"/>
    <s v="Amit Kumar"/>
    <s v="Metro Mart"/>
    <x v="0"/>
    <s v="Printer Paper"/>
    <n v="6"/>
    <n v="30351.61"/>
    <n v="182109.66"/>
    <n v="6348.27"/>
    <n v="0"/>
    <n v="175761.39"/>
    <s v="Processing"/>
    <s v="Pending"/>
  </r>
  <r>
    <s v="INV-2026-01357"/>
    <x v="66"/>
    <s v="East"/>
    <s v="Bhubaneswar"/>
    <s v="Online"/>
    <s v="Amit Kumar"/>
    <s v="Prime Retail"/>
    <x v="2"/>
    <s v="Cricket Bat"/>
    <n v="23"/>
    <n v="21562.31"/>
    <n v="495933.13"/>
    <n v="91092.92"/>
    <n v="0"/>
    <n v="404840.21"/>
    <s v="Cancelled"/>
    <s v="Pending"/>
  </r>
  <r>
    <s v="INV-2026-01358"/>
    <x v="32"/>
    <s v="West"/>
    <s v="Ahmedabad"/>
    <s v="Direct Sales"/>
    <s v="Meera Joshi"/>
    <s v="Skyline Corp"/>
    <x v="1"/>
    <s v="Bookshelf"/>
    <n v="36"/>
    <n v="16952.62"/>
    <n v="610294.31999999995"/>
    <n v="0"/>
    <n v="26086.54"/>
    <n v="584207.78"/>
    <s v="Pending"/>
    <s v="Pending"/>
  </r>
  <r>
    <s v="INV-2026-01359"/>
    <x v="58"/>
    <s v="South"/>
    <s v="Hyderabad"/>
    <s v="Distributor"/>
    <s v="Anita Desai"/>
    <s v="Nexus Ltd"/>
    <x v="2"/>
    <s v="Bicycle"/>
    <n v="26"/>
    <n v="16945.84"/>
    <n v="440591.84"/>
    <n v="0"/>
    <n v="0"/>
    <n v="440591.84"/>
    <s v="Pending"/>
    <s v="Paid"/>
  </r>
  <r>
    <s v="INV-2026-01360"/>
    <x v="82"/>
    <s v="South"/>
    <s v="Kochi"/>
    <s v="Distributor"/>
    <s v="Anita Desai"/>
    <s v="Metro Mart"/>
    <x v="3"/>
    <s v="Laptop"/>
    <n v="45"/>
    <n v="49264.77"/>
    <n v="2216914.65"/>
    <n v="0"/>
    <n v="0"/>
    <n v="2216914.65"/>
    <s v="Cancelled"/>
    <s v="Pending"/>
  </r>
  <r>
    <s v="INV-2026-01361"/>
    <x v="55"/>
    <s v="North"/>
    <s v="Chandigarh"/>
    <s v="Direct Sales"/>
    <s v="Vijay Singh"/>
    <s v="Global Traders"/>
    <x v="0"/>
    <s v="File Folder"/>
    <n v="31"/>
    <n v="48725.08"/>
    <n v="1510477.48"/>
    <n v="169248.09"/>
    <n v="0"/>
    <n v="1341229.3899999999"/>
    <s v="Pending"/>
    <s v="Paid"/>
  </r>
  <r>
    <s v="INV-2026-01362"/>
    <x v="50"/>
    <s v="North"/>
    <s v="Chandigarh"/>
    <s v="Online"/>
    <s v="Vijay Singh"/>
    <s v="Digital Hub"/>
    <x v="0"/>
    <s v="Notebook"/>
    <n v="39"/>
    <n v="9332.36"/>
    <n v="363962.04"/>
    <n v="3828.43"/>
    <n v="0"/>
    <n v="360133.61"/>
    <s v="Completed"/>
    <s v="Paid"/>
  </r>
  <r>
    <s v="INV-2026-01363"/>
    <x v="33"/>
    <s v="North"/>
    <s v="Chandigarh"/>
    <s v="Online"/>
    <s v="Rahul Sharma"/>
    <s v="Global Traders"/>
    <x v="2"/>
    <s v="Gym Equipment"/>
    <n v="37"/>
    <n v="19363.810000000001"/>
    <n v="716460.97"/>
    <n v="0"/>
    <n v="0"/>
    <n v="716460.97"/>
    <s v="Cancelled"/>
    <s v="Pending"/>
  </r>
  <r>
    <s v="INV-2026-01364"/>
    <x v="2"/>
    <s v="South"/>
    <s v="Kochi"/>
    <s v="Online"/>
    <s v="Sneha Reddy"/>
    <s v="Metro Mart"/>
    <x v="3"/>
    <s v="Headphones"/>
    <n v="23"/>
    <n v="20172.91"/>
    <n v="463976.93"/>
    <n v="0"/>
    <n v="0"/>
    <n v="463976.93"/>
    <s v="Completed"/>
    <s v="Paid"/>
  </r>
  <r>
    <s v="INV-2026-01365"/>
    <x v="15"/>
    <s v="North"/>
    <s v="Lucknow"/>
    <s v="Direct Sales"/>
    <s v="Rajesh Verma"/>
    <s v="Nexus Ltd"/>
    <x v="5"/>
    <s v="Microwave"/>
    <n v="44"/>
    <n v="43745.03"/>
    <n v="1924781.32"/>
    <n v="0"/>
    <n v="0"/>
    <n v="1924781.32"/>
    <s v="Pending"/>
    <s v="Pending"/>
  </r>
  <r>
    <s v="INV-2026-01366"/>
    <x v="5"/>
    <s v="East"/>
    <s v="Patna"/>
    <s v="Online"/>
    <s v="Rajesh Verma"/>
    <s v="Omega Stores"/>
    <x v="5"/>
    <s v="Refrigerator"/>
    <n v="4"/>
    <n v="12050.16"/>
    <n v="48200.639999999999"/>
    <n v="0"/>
    <n v="0"/>
    <n v="48200.639999999999"/>
    <s v="Processing"/>
    <s v="Pending"/>
  </r>
  <r>
    <s v="INV-2026-01367"/>
    <x v="60"/>
    <s v="West"/>
    <s v="Ahmedabad"/>
    <s v="Distributor"/>
    <s v="Vijay Singh"/>
    <s v="Alpha Trading"/>
    <x v="5"/>
    <s v="Washing Machine"/>
    <n v="20"/>
    <n v="8090.31"/>
    <n v="161806.20000000001"/>
    <n v="19323.5"/>
    <n v="0"/>
    <n v="142482.70000000001"/>
    <s v="Cancelled"/>
    <s v="Pending"/>
  </r>
  <r>
    <s v="INV-2026-01368"/>
    <x v="54"/>
    <s v="North"/>
    <s v="Jaipur"/>
    <s v="Online"/>
    <s v="Suresh Gupta"/>
    <s v="Omega Stores"/>
    <x v="1"/>
    <s v="Desk"/>
    <n v="50"/>
    <n v="8397.8799999999992"/>
    <n v="419894"/>
    <n v="30256.639999999999"/>
    <n v="0"/>
    <n v="389637.36"/>
    <s v="Processing"/>
    <s v="Pending"/>
  </r>
  <r>
    <s v="INV-2026-01369"/>
    <x v="42"/>
    <s v="South"/>
    <s v="Chennai"/>
    <s v="Distributor"/>
    <s v="Anita Desai"/>
    <s v="Digital Hub"/>
    <x v="4"/>
    <s v="Formal Shirt"/>
    <n v="15"/>
    <n v="17074.669999999998"/>
    <n v="256120.05"/>
    <n v="34855.19"/>
    <n v="0"/>
    <n v="221264.86"/>
    <s v="Processing"/>
    <s v="Pending"/>
  </r>
  <r>
    <s v="INV-2026-01370"/>
    <x v="15"/>
    <s v="North"/>
    <s v="Delhi"/>
    <s v="Retail Store"/>
    <s v="Rahul Sharma"/>
    <s v="Skyline Corp"/>
    <x v="3"/>
    <s v="Laptop"/>
    <n v="31"/>
    <n v="25055.99"/>
    <n v="776735.69"/>
    <n v="26383.200000000001"/>
    <n v="0"/>
    <n v="750352.49"/>
    <s v="Processing"/>
    <s v="Paid"/>
  </r>
  <r>
    <s v="INV-2026-01371"/>
    <x v="3"/>
    <s v="West"/>
    <s v="Mumbai"/>
    <s v="Direct Sales"/>
    <s v="Anita Desai"/>
    <s v="Alpha Trading"/>
    <x v="1"/>
    <s v="Bookshelf"/>
    <n v="4"/>
    <n v="17033.72"/>
    <n v="68134.880000000005"/>
    <n v="12510.75"/>
    <n v="0"/>
    <n v="55624.13"/>
    <s v="Processing"/>
    <s v="Pending"/>
  </r>
  <r>
    <s v="INV-2026-01372"/>
    <x v="51"/>
    <s v="East"/>
    <s v="Guwahati"/>
    <s v="Direct Sales"/>
    <s v="Rahul Sharma"/>
    <s v="Nexus Ltd"/>
    <x v="3"/>
    <s v="Tablet"/>
    <n v="31"/>
    <n v="12363.27"/>
    <n v="383261.37"/>
    <n v="12207.4"/>
    <n v="63568.77"/>
    <n v="307485.2"/>
    <s v="Processing"/>
    <s v="Paid"/>
  </r>
  <r>
    <s v="INV-2026-01373"/>
    <x v="14"/>
    <s v="South"/>
    <s v="Hyderabad"/>
    <s v="Online"/>
    <s v="Rajesh Verma"/>
    <s v="Digital Hub"/>
    <x v="5"/>
    <s v="Refrigerator"/>
    <n v="26"/>
    <n v="5913.65"/>
    <n v="153754.9"/>
    <n v="7422.74"/>
    <n v="22604.22"/>
    <n v="123727.94"/>
    <s v="Cancelled"/>
    <s v="Pending"/>
  </r>
  <r>
    <s v="INV-2026-01374"/>
    <x v="76"/>
    <s v="Central"/>
    <s v="Raipur"/>
    <s v="Direct Sales"/>
    <s v="Vijay Singh"/>
    <s v="Global Traders"/>
    <x v="0"/>
    <s v="Printer Paper"/>
    <n v="9"/>
    <n v="2203"/>
    <n v="19827"/>
    <n v="0"/>
    <n v="0"/>
    <n v="19827"/>
    <s v="Completed"/>
    <s v="Paid"/>
  </r>
  <r>
    <s v="INV-2026-01375"/>
    <x v="71"/>
    <s v="South"/>
    <s v="Kochi"/>
    <s v="Distributor"/>
    <s v="Suresh Gupta"/>
    <s v="Prime Retail"/>
    <x v="0"/>
    <s v="Desk Organizer"/>
    <n v="40"/>
    <n v="3569.05"/>
    <n v="142762"/>
    <n v="15519.59"/>
    <n v="34119.83"/>
    <n v="93122.58"/>
    <s v="Completed"/>
    <s v="Paid"/>
  </r>
  <r>
    <s v="INV-2026-01376"/>
    <x v="63"/>
    <s v="North"/>
    <s v="Chandigarh"/>
    <s v="Retail Store"/>
    <s v="Priya Patel"/>
    <s v="Smart Systems"/>
    <x v="4"/>
    <s v="Formal Shirt"/>
    <n v="24"/>
    <n v="829.66"/>
    <n v="19911.84"/>
    <n v="556.74"/>
    <n v="0"/>
    <n v="19355.099999999999"/>
    <s v="Cancelled"/>
    <s v="Pending"/>
  </r>
  <r>
    <s v="INV-2026-01377"/>
    <x v="34"/>
    <s v="Central"/>
    <s v="Indore"/>
    <s v="Direct Sales"/>
    <s v="Sneha Reddy"/>
    <s v="Global Traders"/>
    <x v="5"/>
    <s v="Refrigerator"/>
    <n v="8"/>
    <n v="36273.69"/>
    <n v="290189.52"/>
    <n v="163.15"/>
    <n v="64169.16"/>
    <n v="225857.21"/>
    <s v="Completed"/>
    <s v="Pending"/>
  </r>
  <r>
    <s v="INV-2026-01378"/>
    <x v="42"/>
    <s v="South"/>
    <s v="Chennai"/>
    <s v="Direct Sales"/>
    <s v="Vijay Singh"/>
    <s v="Prime Retail"/>
    <x v="3"/>
    <s v="Smart Watch"/>
    <n v="37"/>
    <n v="49528.73"/>
    <n v="1832563.01"/>
    <n v="194947.87"/>
    <n v="0"/>
    <n v="1637615.14"/>
    <s v="Cancelled"/>
    <s v="Pending"/>
  </r>
  <r>
    <s v="INV-2026-01379"/>
    <x v="42"/>
    <s v="South"/>
    <s v="Bangalore"/>
    <s v="Online"/>
    <s v="Suresh Gupta"/>
    <s v="Prime Retail"/>
    <x v="5"/>
    <s v="Washing Machine"/>
    <n v="39"/>
    <n v="37712.120000000003"/>
    <n v="1470772.68"/>
    <n v="167989.9"/>
    <n v="0"/>
    <n v="1302782.78"/>
    <s v="Completed"/>
    <s v="Paid"/>
  </r>
  <r>
    <s v="INV-2026-01380"/>
    <x v="57"/>
    <s v="Central"/>
    <s v="Raipur"/>
    <s v="Direct Sales"/>
    <s v="Kavita Nair"/>
    <s v="Alpha Trading"/>
    <x v="2"/>
    <s v="Cricket Bat"/>
    <n v="3"/>
    <n v="33895.879999999997"/>
    <n v="101687.64"/>
    <n v="0"/>
    <n v="0"/>
    <n v="101687.64"/>
    <s v="Pending"/>
    <s v="Pending"/>
  </r>
  <r>
    <s v="INV-2026-01381"/>
    <x v="27"/>
    <s v="Central"/>
    <s v="Indore"/>
    <s v="Distributor"/>
    <s v="Rajesh Verma"/>
    <s v="Prime Retail"/>
    <x v="3"/>
    <s v="Smartphone"/>
    <n v="41"/>
    <n v="37754.58"/>
    <n v="1547937.78"/>
    <n v="268310.3"/>
    <n v="0"/>
    <n v="1279627.48"/>
    <s v="Cancelled"/>
    <s v="Pending"/>
  </r>
  <r>
    <s v="INV-2026-01382"/>
    <x v="7"/>
    <s v="Central"/>
    <s v="Bhopal"/>
    <s v="Retail Store"/>
    <s v="Anita Desai"/>
    <s v="Digital Hub"/>
    <x v="3"/>
    <s v="Smart Watch"/>
    <n v="40"/>
    <n v="49834.77"/>
    <n v="1993390.8"/>
    <n v="376252.02"/>
    <n v="0"/>
    <n v="1617138.78"/>
    <s v="Processing"/>
    <s v="Pending"/>
  </r>
  <r>
    <s v="INV-2026-01383"/>
    <x v="1"/>
    <s v="North"/>
    <s v="Lucknow"/>
    <s v="Distributor"/>
    <s v="Vijay Singh"/>
    <s v="Omega Stores"/>
    <x v="3"/>
    <s v="Headphones"/>
    <n v="16"/>
    <n v="15269.36"/>
    <n v="244309.76000000001"/>
    <n v="17032.29"/>
    <n v="0"/>
    <n v="227277.47"/>
    <s v="Pending"/>
    <s v="Paid"/>
  </r>
  <r>
    <s v="INV-2026-01384"/>
    <x v="22"/>
    <s v="North"/>
    <s v="Delhi"/>
    <s v="Distributor"/>
    <s v="Amit Kumar"/>
    <s v="Nexus Ltd"/>
    <x v="2"/>
    <s v="Football"/>
    <n v="32"/>
    <n v="9502.1"/>
    <n v="304067.20000000001"/>
    <n v="0"/>
    <n v="0"/>
    <n v="304067.20000000001"/>
    <s v="Processing"/>
    <s v="Paid"/>
  </r>
  <r>
    <s v="INV-2026-01385"/>
    <x v="10"/>
    <s v="North"/>
    <s v="Lucknow"/>
    <s v="Online"/>
    <s v="Rahul Sharma"/>
    <s v="XYZ Ltd"/>
    <x v="5"/>
    <s v="Vacuum Cleaner"/>
    <n v="32"/>
    <n v="26003.77"/>
    <n v="832120.64"/>
    <n v="98234.13"/>
    <n v="0"/>
    <n v="733886.51"/>
    <s v="Cancelled"/>
    <s v="Pending"/>
  </r>
  <r>
    <s v="INV-2026-01386"/>
    <x v="61"/>
    <s v="North"/>
    <s v="Lucknow"/>
    <s v="Direct Sales"/>
    <s v="Priya Patel"/>
    <s v="Metro Mart"/>
    <x v="1"/>
    <s v="Desk"/>
    <n v="36"/>
    <n v="44843.3"/>
    <n v="1614358.8"/>
    <n v="19549.97"/>
    <n v="0"/>
    <n v="1594808.83"/>
    <s v="Pending"/>
    <s v="Pending"/>
  </r>
  <r>
    <s v="INV-2026-01387"/>
    <x v="6"/>
    <s v="Central"/>
    <s v="Raipur"/>
    <s v="Retail Store"/>
    <s v="Suresh Gupta"/>
    <s v="Smart Systems"/>
    <x v="5"/>
    <s v="Refrigerator"/>
    <n v="29"/>
    <n v="40041.96"/>
    <n v="1161216.8400000001"/>
    <n v="211676.19"/>
    <n v="0"/>
    <n v="949540.65"/>
    <s v="Processing"/>
    <s v="Paid"/>
  </r>
  <r>
    <s v="INV-2026-01388"/>
    <x v="58"/>
    <s v="West"/>
    <s v="Ahmedabad"/>
    <s v="Direct Sales"/>
    <s v="Kavita Nair"/>
    <s v="ABC Corp"/>
    <x v="5"/>
    <s v="TV"/>
    <n v="12"/>
    <n v="37112.449999999997"/>
    <n v="445349.4"/>
    <n v="0"/>
    <n v="0"/>
    <n v="445349.4"/>
    <s v="Completed"/>
    <s v="Paid"/>
  </r>
  <r>
    <s v="INV-2026-01389"/>
    <x v="39"/>
    <s v="West"/>
    <s v="Ahmedabad"/>
    <s v="Distributor"/>
    <s v="Priya Patel"/>
    <s v="Skyline Corp"/>
    <x v="3"/>
    <s v="Camera"/>
    <n v="36"/>
    <n v="39507.379999999997"/>
    <n v="1422265.68"/>
    <n v="0"/>
    <n v="0"/>
    <n v="1422265.68"/>
    <s v="Pending"/>
    <s v="Pending"/>
  </r>
  <r>
    <s v="INV-2026-01390"/>
    <x v="14"/>
    <s v="Central"/>
    <s v="Nagpur"/>
    <s v="Online"/>
    <s v="Rajesh Verma"/>
    <s v="Prime Retail"/>
    <x v="5"/>
    <s v="Microwave"/>
    <n v="37"/>
    <n v="1409.78"/>
    <n v="52161.86"/>
    <n v="0"/>
    <n v="0"/>
    <n v="52161.86"/>
    <s v="Processing"/>
    <s v="Pending"/>
  </r>
  <r>
    <s v="INV-2026-01391"/>
    <x v="28"/>
    <s v="West"/>
    <s v="Surat"/>
    <s v="Retail Store"/>
    <s v="Anita Desai"/>
    <s v="XYZ Ltd"/>
    <x v="3"/>
    <s v="Headphones"/>
    <n v="1"/>
    <n v="31755.03"/>
    <n v="31755.03"/>
    <n v="5172.91"/>
    <n v="3299.88"/>
    <n v="23282.240000000002"/>
    <s v="Processing"/>
    <s v="Pending"/>
  </r>
  <r>
    <s v="INV-2026-01392"/>
    <x v="87"/>
    <s v="Central"/>
    <s v="Bhopal"/>
    <s v="Distributor"/>
    <s v="Rahul Sharma"/>
    <s v="Global Traders"/>
    <x v="2"/>
    <s v="Football"/>
    <n v="29"/>
    <n v="12454.59"/>
    <n v="361183.11"/>
    <n v="0"/>
    <n v="0"/>
    <n v="361183.11"/>
    <s v="Completed"/>
    <s v="Paid"/>
  </r>
  <r>
    <s v="INV-2026-01393"/>
    <x v="66"/>
    <s v="Central"/>
    <s v="Indore"/>
    <s v="Online"/>
    <s v="Priya Patel"/>
    <s v="XYZ Ltd"/>
    <x v="1"/>
    <s v="Desk"/>
    <n v="39"/>
    <n v="3936.05"/>
    <n v="153505.95000000001"/>
    <n v="0"/>
    <n v="0"/>
    <n v="153505.95000000001"/>
    <s v="Completed"/>
    <s v="Paid"/>
  </r>
  <r>
    <s v="INV-2026-01394"/>
    <x v="20"/>
    <s v="South"/>
    <s v="Kochi"/>
    <s v="Online"/>
    <s v="Vijay Singh"/>
    <s v="Tech Solutions"/>
    <x v="1"/>
    <s v="Sofa"/>
    <n v="45"/>
    <n v="27009.14"/>
    <n v="1215411.3"/>
    <n v="3072.91"/>
    <n v="0"/>
    <n v="1212338.3899999999"/>
    <s v="Processing"/>
    <s v="Paid"/>
  </r>
  <r>
    <s v="INV-2026-01395"/>
    <x v="79"/>
    <s v="South"/>
    <s v="Chennai"/>
    <s v="Retail Store"/>
    <s v="Kavita Nair"/>
    <s v="Smart Systems"/>
    <x v="5"/>
    <s v="Microwave"/>
    <n v="38"/>
    <n v="42874.62"/>
    <n v="1629235.56"/>
    <n v="0"/>
    <n v="0"/>
    <n v="1629235.56"/>
    <s v="Completed"/>
    <s v="Paid"/>
  </r>
  <r>
    <s v="INV-2026-01396"/>
    <x v="53"/>
    <s v="North"/>
    <s v="Chandigarh"/>
    <s v="Retail Store"/>
    <s v="Rajesh Verma"/>
    <s v="Alpha Trading"/>
    <x v="0"/>
    <s v="Desk Organizer"/>
    <n v="2"/>
    <n v="41612.71"/>
    <n v="83225.42"/>
    <n v="8916.01"/>
    <n v="0"/>
    <n v="74309.41"/>
    <s v="Cancelled"/>
    <s v="Pending"/>
  </r>
  <r>
    <s v="INV-2026-01397"/>
    <x v="20"/>
    <s v="West"/>
    <s v="Pune"/>
    <s v="Online"/>
    <s v="Priya Patel"/>
    <s v="Urban Store"/>
    <x v="3"/>
    <s v="Camera"/>
    <n v="18"/>
    <n v="6660.87"/>
    <n v="119895.66"/>
    <n v="7866.9"/>
    <n v="0"/>
    <n v="112028.76"/>
    <s v="Completed"/>
    <s v="Pending"/>
  </r>
  <r>
    <s v="INV-2026-01398"/>
    <x v="83"/>
    <s v="West"/>
    <s v="Ahmedabad"/>
    <s v="Retail Store"/>
    <s v="Amit Kumar"/>
    <s v="Digital Hub"/>
    <x v="4"/>
    <s v="Jeans"/>
    <n v="6"/>
    <n v="17394.830000000002"/>
    <n v="104368.98"/>
    <n v="14120.98"/>
    <n v="0"/>
    <n v="90248"/>
    <s v="Cancelled"/>
    <s v="Pending"/>
  </r>
  <r>
    <s v="INV-2026-01399"/>
    <x v="49"/>
    <s v="North"/>
    <s v="Jaipur"/>
    <s v="Online"/>
    <s v="Rahul Sharma"/>
    <s v="ABC Corp"/>
    <x v="2"/>
    <s v="Football"/>
    <n v="41"/>
    <n v="28903.39"/>
    <n v="1185038.99"/>
    <n v="78072.91"/>
    <n v="0"/>
    <n v="1106966.08"/>
    <s v="Cancelled"/>
    <s v="Pending"/>
  </r>
  <r>
    <s v="INV-2026-01400"/>
    <x v="27"/>
    <s v="East"/>
    <s v="Kolkata"/>
    <s v="Online"/>
    <s v="Amit Kumar"/>
    <s v="Global Traders"/>
    <x v="5"/>
    <s v="Microwave"/>
    <n v="24"/>
    <n v="32940.9"/>
    <n v="790581.6"/>
    <n v="0"/>
    <n v="0"/>
    <n v="790581.6"/>
    <s v="Completed"/>
    <s v="Paid"/>
  </r>
  <r>
    <s v="INV-2026-01401"/>
    <x v="27"/>
    <s v="West"/>
    <s v="Ahmedabad"/>
    <s v="Online"/>
    <s v="Sneha Reddy"/>
    <s v="Prime Retail"/>
    <x v="2"/>
    <s v="Yoga Mat"/>
    <n v="21"/>
    <n v="36906.269999999997"/>
    <n v="775031.67"/>
    <n v="89897.8"/>
    <n v="0"/>
    <n v="685133.87"/>
    <s v="Pending"/>
    <s v="Pending"/>
  </r>
  <r>
    <s v="INV-2026-01402"/>
    <x v="76"/>
    <s v="North"/>
    <s v="Lucknow"/>
    <s v="Online"/>
    <s v="Priya Patel"/>
    <s v="Elite Enterprises"/>
    <x v="3"/>
    <s v="Camera"/>
    <n v="29"/>
    <n v="48125.36"/>
    <n v="1395635.44"/>
    <n v="0"/>
    <n v="0"/>
    <n v="1395635.44"/>
    <s v="Cancelled"/>
    <s v="Pending"/>
  </r>
  <r>
    <s v="INV-2026-01403"/>
    <x v="82"/>
    <s v="North"/>
    <s v="Jaipur"/>
    <s v="Direct Sales"/>
    <s v="Rahul Sharma"/>
    <s v="ABC Corp"/>
    <x v="2"/>
    <s v="Yoga Mat"/>
    <n v="19"/>
    <n v="3831.91"/>
    <n v="72806.289999999994"/>
    <n v="11840.11"/>
    <n v="0"/>
    <n v="60966.18"/>
    <s v="Completed"/>
    <s v="Paid"/>
  </r>
  <r>
    <s v="INV-2026-01404"/>
    <x v="71"/>
    <s v="West"/>
    <s v="Pune"/>
    <s v="Distributor"/>
    <s v="Suresh Gupta"/>
    <s v="Smart Systems"/>
    <x v="1"/>
    <s v="Cabinet"/>
    <n v="23"/>
    <n v="14568.56"/>
    <n v="335076.88"/>
    <n v="0"/>
    <n v="0"/>
    <n v="335076.88"/>
    <s v="Pending"/>
    <s v="Pending"/>
  </r>
  <r>
    <s v="INV-2026-01405"/>
    <x v="6"/>
    <s v="West"/>
    <s v="Pune"/>
    <s v="Retail Store"/>
    <s v="Rajesh Verma"/>
    <s v="Urban Store"/>
    <x v="4"/>
    <s v="Dress"/>
    <n v="4"/>
    <n v="19587.439999999999"/>
    <n v="78349.759999999995"/>
    <n v="11618.58"/>
    <n v="0"/>
    <n v="66731.179999999993"/>
    <s v="Pending"/>
    <s v="Pending"/>
  </r>
  <r>
    <s v="INV-2026-01406"/>
    <x v="50"/>
    <s v="East"/>
    <s v="Kolkata"/>
    <s v="Online"/>
    <s v="Suresh Gupta"/>
    <s v="XYZ Ltd"/>
    <x v="2"/>
    <s v="Yoga Mat"/>
    <n v="47"/>
    <n v="45553.32"/>
    <n v="2141006.04"/>
    <n v="209658.82"/>
    <n v="0"/>
    <n v="1931347.22"/>
    <s v="Cancelled"/>
    <s v="Pending"/>
  </r>
  <r>
    <s v="INV-2026-01407"/>
    <x v="16"/>
    <s v="East"/>
    <s v="Patna"/>
    <s v="Distributor"/>
    <s v="Anita Desai"/>
    <s v="Omega Stores"/>
    <x v="1"/>
    <s v="Cabinet"/>
    <n v="19"/>
    <n v="31742.54"/>
    <n v="603108.26"/>
    <n v="88988.74"/>
    <n v="31787.19"/>
    <n v="482332.33"/>
    <s v="Cancelled"/>
    <s v="Pending"/>
  </r>
  <r>
    <s v="INV-2026-01408"/>
    <x v="57"/>
    <s v="East"/>
    <s v="Guwahati"/>
    <s v="Retail Store"/>
    <s v="Anita Desai"/>
    <s v="Urban Store"/>
    <x v="2"/>
    <s v="Bicycle"/>
    <n v="1"/>
    <n v="23904.71"/>
    <n v="23904.71"/>
    <n v="239.58"/>
    <n v="0"/>
    <n v="23665.13"/>
    <s v="Completed"/>
    <s v="Paid"/>
  </r>
  <r>
    <s v="INV-2026-01409"/>
    <x v="91"/>
    <s v="South"/>
    <s v="Hyderabad"/>
    <s v="Distributor"/>
    <s v="Rajesh Verma"/>
    <s v="Elite Enterprises"/>
    <x v="4"/>
    <s v="Shoes"/>
    <n v="30"/>
    <n v="29577.75"/>
    <n v="887332.5"/>
    <n v="113520.12"/>
    <n v="0"/>
    <n v="773812.38"/>
    <s v="Completed"/>
    <s v="Paid"/>
  </r>
  <r>
    <s v="INV-2026-01410"/>
    <x v="5"/>
    <s v="North"/>
    <s v="Delhi"/>
    <s v="Online"/>
    <s v="Amit Kumar"/>
    <s v="Urban Store"/>
    <x v="2"/>
    <s v="Tennis Racket"/>
    <n v="31"/>
    <n v="41735.18"/>
    <n v="1293790.58"/>
    <n v="203531.59"/>
    <n v="0"/>
    <n v="1090258.99"/>
    <s v="Completed"/>
    <s v="Overdue"/>
  </r>
  <r>
    <s v="INV-2026-01411"/>
    <x v="69"/>
    <s v="South"/>
    <s v="Kochi"/>
    <s v="Online"/>
    <s v="Priya Patel"/>
    <s v="Digital Hub"/>
    <x v="0"/>
    <s v="Pen Set"/>
    <n v="42"/>
    <n v="34081.39"/>
    <n v="1431418.38"/>
    <n v="234492.65"/>
    <n v="67950.789999999994"/>
    <n v="1128974.94"/>
    <s v="Completed"/>
    <s v="Paid"/>
  </r>
  <r>
    <s v="INV-2026-01412"/>
    <x v="73"/>
    <s v="Central"/>
    <s v="Indore"/>
    <s v="Distributor"/>
    <s v="Suresh Gupta"/>
    <s v="Smart Systems"/>
    <x v="4"/>
    <s v="T-Shirt"/>
    <n v="12"/>
    <n v="41350.21"/>
    <n v="496202.52"/>
    <n v="86913.16"/>
    <n v="0"/>
    <n v="409289.36"/>
    <s v="Cancelled"/>
    <s v="Pending"/>
  </r>
  <r>
    <s v="INV-2026-01413"/>
    <x v="15"/>
    <s v="North"/>
    <s v="Chandigarh"/>
    <s v="Retail Store"/>
    <s v="Vijay Singh"/>
    <s v="Global Traders"/>
    <x v="5"/>
    <s v="Refrigerator"/>
    <n v="38"/>
    <n v="4425.87"/>
    <n v="168183.06"/>
    <n v="2539.86"/>
    <n v="26762"/>
    <n v="138881.20000000001"/>
    <s v="Cancelled"/>
    <s v="Pending"/>
  </r>
  <r>
    <s v="INV-2026-01414"/>
    <x v="79"/>
    <s v="West"/>
    <s v="Ahmedabad"/>
    <s v="Distributor"/>
    <s v="Sneha Reddy"/>
    <s v="Smart Systems"/>
    <x v="0"/>
    <s v="Printer Paper"/>
    <n v="35"/>
    <n v="47305.5"/>
    <n v="1655692.5"/>
    <n v="0"/>
    <n v="137316"/>
    <n v="1518376.5"/>
    <s v="Cancelled"/>
    <s v="Pending"/>
  </r>
  <r>
    <s v="INV-2026-01415"/>
    <x v="86"/>
    <s v="Central"/>
    <s v="Nagpur"/>
    <s v="Distributor"/>
    <s v="Rahul Sharma"/>
    <s v="Urban Store"/>
    <x v="2"/>
    <s v="Cricket Bat"/>
    <n v="36"/>
    <n v="37007.199999999997"/>
    <n v="1332259.2"/>
    <n v="18552.14"/>
    <n v="0"/>
    <n v="1313707.06"/>
    <s v="Processing"/>
    <s v="Pending"/>
  </r>
  <r>
    <s v="INV-2026-01416"/>
    <x v="51"/>
    <s v="East"/>
    <s v="Bhubaneswar"/>
    <s v="Online"/>
    <s v="Rajesh Verma"/>
    <s v="Urban Store"/>
    <x v="0"/>
    <s v="Pen Set"/>
    <n v="40"/>
    <n v="47661.95"/>
    <n v="1906478"/>
    <n v="0"/>
    <n v="0"/>
    <n v="1906478"/>
    <s v="Processing"/>
    <s v="Pending"/>
  </r>
  <r>
    <s v="INV-2026-01417"/>
    <x v="90"/>
    <s v="West"/>
    <s v="Pune"/>
    <s v="Online"/>
    <s v="Suresh Gupta"/>
    <s v="Digital Hub"/>
    <x v="2"/>
    <s v="Bicycle"/>
    <n v="16"/>
    <n v="43256.66"/>
    <n v="692106.56"/>
    <n v="0"/>
    <n v="0"/>
    <n v="692106.56"/>
    <s v="Pending"/>
    <s v="Pending"/>
  </r>
  <r>
    <s v="INV-2026-01418"/>
    <x v="13"/>
    <s v="North"/>
    <s v="Delhi"/>
    <s v="Retail Store"/>
    <s v="Rajesh Verma"/>
    <s v="Skyline Corp"/>
    <x v="2"/>
    <s v="Cricket Bat"/>
    <n v="9"/>
    <n v="49252.82"/>
    <n v="443275.38"/>
    <n v="1706.11"/>
    <n v="0"/>
    <n v="441569.27"/>
    <s v="Completed"/>
    <s v="Paid"/>
  </r>
  <r>
    <s v="INV-2026-01419"/>
    <x v="12"/>
    <s v="North"/>
    <s v="Chandigarh"/>
    <s v="Retail Store"/>
    <s v="Kavita Nair"/>
    <s v="Metro Mart"/>
    <x v="0"/>
    <s v="Notebook"/>
    <n v="7"/>
    <n v="5026.13"/>
    <n v="35182.910000000003"/>
    <n v="4097.34"/>
    <n v="2065.9699999999998"/>
    <n v="29019.599999999999"/>
    <s v="Completed"/>
    <s v="Paid"/>
  </r>
  <r>
    <s v="INV-2026-01420"/>
    <x v="28"/>
    <s v="Central"/>
    <s v="Bhopal"/>
    <s v="Direct Sales"/>
    <s v="Amit Kumar"/>
    <s v="Skyline Corp"/>
    <x v="1"/>
    <s v="Office Chair"/>
    <n v="35"/>
    <n v="2628.33"/>
    <n v="91991.55"/>
    <n v="0"/>
    <n v="19937.830000000002"/>
    <n v="72053.72"/>
    <s v="Processing"/>
    <s v="Pending"/>
  </r>
  <r>
    <s v="INV-2026-01421"/>
    <x v="39"/>
    <s v="North"/>
    <s v="Delhi"/>
    <s v="Online"/>
    <s v="Anita Desai"/>
    <s v="Global Traders"/>
    <x v="0"/>
    <s v="File Folder"/>
    <n v="14"/>
    <n v="28232.74"/>
    <n v="395258.36"/>
    <n v="0"/>
    <n v="0"/>
    <n v="395258.36"/>
    <s v="Pending"/>
    <s v="Paid"/>
  </r>
  <r>
    <s v="INV-2026-01422"/>
    <x v="30"/>
    <s v="Central"/>
    <s v="Bhopal"/>
    <s v="Direct Sales"/>
    <s v="Sneha Reddy"/>
    <s v="ABC Corp"/>
    <x v="5"/>
    <s v="Washing Machine"/>
    <n v="36"/>
    <n v="40884.42"/>
    <n v="1471839.12"/>
    <n v="231674.23"/>
    <n v="0"/>
    <n v="1240164.8899999999"/>
    <s v="Completed"/>
    <s v="Paid"/>
  </r>
  <r>
    <s v="INV-2026-01423"/>
    <x v="53"/>
    <s v="East"/>
    <s v="Guwahati"/>
    <s v="Online"/>
    <s v="Meera Joshi"/>
    <s v="Alpha Trading"/>
    <x v="1"/>
    <s v="Cabinet"/>
    <n v="32"/>
    <n v="18361.55"/>
    <n v="587569.6"/>
    <n v="47212.68"/>
    <n v="125985.86"/>
    <n v="414371.06"/>
    <s v="Processing"/>
    <s v="Pending"/>
  </r>
  <r>
    <s v="INV-2026-01424"/>
    <x v="57"/>
    <s v="Central"/>
    <s v="Nagpur"/>
    <s v="Online"/>
    <s v="Anita Desai"/>
    <s v="Future Tech"/>
    <x v="0"/>
    <s v="File Folder"/>
    <n v="25"/>
    <n v="44229.53"/>
    <n v="1105738.25"/>
    <n v="208366.57"/>
    <n v="0"/>
    <n v="897371.68"/>
    <s v="Completed"/>
    <s v="Paid"/>
  </r>
  <r>
    <s v="INV-2026-01425"/>
    <x v="29"/>
    <s v="Central"/>
    <s v="Indore"/>
    <s v="Direct Sales"/>
    <s v="Meera Joshi"/>
    <s v="Tech Solutions"/>
    <x v="3"/>
    <s v="Laptop"/>
    <n v="20"/>
    <n v="44605.82"/>
    <n v="892116.4"/>
    <n v="0"/>
    <n v="0"/>
    <n v="892116.4"/>
    <s v="Completed"/>
    <s v="Paid"/>
  </r>
  <r>
    <s v="INV-2026-01426"/>
    <x v="48"/>
    <s v="Central"/>
    <s v="Bhopal"/>
    <s v="Retail Store"/>
    <s v="Sneha Reddy"/>
    <s v="Skyline Corp"/>
    <x v="5"/>
    <s v="Microwave"/>
    <n v="13"/>
    <n v="5185.5"/>
    <n v="67411.5"/>
    <n v="0"/>
    <n v="0"/>
    <n v="67411.5"/>
    <s v="Processing"/>
    <s v="Paid"/>
  </r>
  <r>
    <s v="INV-2026-01427"/>
    <x v="36"/>
    <s v="North"/>
    <s v="Chandigarh"/>
    <s v="Retail Store"/>
    <s v="Rahul Sharma"/>
    <s v="Metro Mart"/>
    <x v="2"/>
    <s v="Tennis Racket"/>
    <n v="26"/>
    <n v="2442.9899999999998"/>
    <n v="63517.74"/>
    <n v="10382.52"/>
    <n v="0"/>
    <n v="53135.22"/>
    <s v="Pending"/>
    <s v="Paid"/>
  </r>
  <r>
    <s v="INV-2026-01428"/>
    <x v="10"/>
    <s v="East"/>
    <s v="Kolkata"/>
    <s v="Direct Sales"/>
    <s v="Kavita Nair"/>
    <s v="Nexus Ltd"/>
    <x v="2"/>
    <s v="Cricket Bat"/>
    <n v="14"/>
    <n v="12351.14"/>
    <n v="172915.96"/>
    <n v="5887.15"/>
    <n v="0"/>
    <n v="167028.81"/>
    <s v="Completed"/>
    <s v="Paid"/>
  </r>
  <r>
    <s v="INV-2026-01429"/>
    <x v="33"/>
    <s v="East"/>
    <s v="Patna"/>
    <s v="Retail Store"/>
    <s v="Priya Patel"/>
    <s v="Alpha Trading"/>
    <x v="0"/>
    <s v="Notebook"/>
    <n v="50"/>
    <n v="16094.97"/>
    <n v="804748.5"/>
    <n v="0"/>
    <n v="0"/>
    <n v="804748.5"/>
    <s v="Processing"/>
    <s v="Pending"/>
  </r>
  <r>
    <s v="INV-2026-01430"/>
    <x v="12"/>
    <s v="Central"/>
    <s v="Bhopal"/>
    <s v="Online"/>
    <s v="Vijay Singh"/>
    <s v="Digital Hub"/>
    <x v="2"/>
    <s v="Cricket Bat"/>
    <n v="5"/>
    <n v="35690.33"/>
    <n v="178451.65"/>
    <n v="1736.77"/>
    <n v="0"/>
    <n v="176714.88"/>
    <s v="Cancelled"/>
    <s v="Pending"/>
  </r>
  <r>
    <s v="INV-2026-01431"/>
    <x v="75"/>
    <s v="East"/>
    <s v="Guwahati"/>
    <s v="Retail Store"/>
    <s v="Rajesh Verma"/>
    <s v="Alpha Trading"/>
    <x v="2"/>
    <s v="Gym Equipment"/>
    <n v="49"/>
    <n v="28430.31"/>
    <n v="1393085.19"/>
    <n v="0"/>
    <n v="0"/>
    <n v="1393085.19"/>
    <s v="Processing"/>
    <s v="Pending"/>
  </r>
  <r>
    <s v="INV-2026-01432"/>
    <x v="15"/>
    <s v="West"/>
    <s v="Mumbai"/>
    <s v="Online"/>
    <s v="Suresh Gupta"/>
    <s v="Skyline Corp"/>
    <x v="3"/>
    <s v="Tablet"/>
    <n v="36"/>
    <n v="43114.6"/>
    <n v="1552125.6"/>
    <n v="0"/>
    <n v="0"/>
    <n v="1552125.6"/>
    <s v="Pending"/>
    <s v="Paid"/>
  </r>
  <r>
    <s v="INV-2026-01433"/>
    <x v="91"/>
    <s v="Central"/>
    <s v="Raipur"/>
    <s v="Distributor"/>
    <s v="Meera Joshi"/>
    <s v="Global Traders"/>
    <x v="2"/>
    <s v="Tennis Racket"/>
    <n v="16"/>
    <n v="25393.43"/>
    <n v="406294.88"/>
    <n v="0"/>
    <n v="110623.03"/>
    <n v="295671.84999999998"/>
    <s v="Pending"/>
    <s v="Pending"/>
  </r>
  <r>
    <s v="INV-2026-01434"/>
    <x v="39"/>
    <s v="Central"/>
    <s v="Nagpur"/>
    <s v="Retail Store"/>
    <s v="Sneha Reddy"/>
    <s v="Alpha Trading"/>
    <x v="0"/>
    <s v="Desk Organizer"/>
    <n v="20"/>
    <n v="32343.89"/>
    <n v="646877.80000000005"/>
    <n v="107638.17"/>
    <n v="0"/>
    <n v="539239.63"/>
    <s v="Completed"/>
    <s v="Paid"/>
  </r>
  <r>
    <s v="INV-2026-01435"/>
    <x v="33"/>
    <s v="West"/>
    <s v="Pune"/>
    <s v="Retail Store"/>
    <s v="Amit Kumar"/>
    <s v="Global Traders"/>
    <x v="3"/>
    <s v="Headphones"/>
    <n v="1"/>
    <n v="46000.93"/>
    <n v="46000.93"/>
    <n v="3061.54"/>
    <n v="0"/>
    <n v="42939.39"/>
    <s v="Pending"/>
    <s v="Paid"/>
  </r>
  <r>
    <s v="INV-2026-01436"/>
    <x v="46"/>
    <s v="North"/>
    <s v="Jaipur"/>
    <s v="Online"/>
    <s v="Meera Joshi"/>
    <s v="Urban Store"/>
    <x v="1"/>
    <s v="Cabinet"/>
    <n v="41"/>
    <n v="19967.02"/>
    <n v="818647.82"/>
    <n v="53112.21"/>
    <n v="0"/>
    <n v="765535.61"/>
    <s v="Pending"/>
    <s v="Paid"/>
  </r>
  <r>
    <s v="INV-2026-01437"/>
    <x v="76"/>
    <s v="Central"/>
    <s v="Bhopal"/>
    <s v="Distributor"/>
    <s v="Kavita Nair"/>
    <s v="Future Tech"/>
    <x v="3"/>
    <s v="Tablet"/>
    <n v="1"/>
    <n v="4854.8999999999996"/>
    <n v="4854.8999999999996"/>
    <n v="181.26"/>
    <n v="0"/>
    <n v="4673.6400000000003"/>
    <s v="Processing"/>
    <s v="Pending"/>
  </r>
  <r>
    <s v="INV-2026-01438"/>
    <x v="14"/>
    <s v="West"/>
    <s v="Mumbai"/>
    <s v="Retail Store"/>
    <s v="Amit Kumar"/>
    <s v="Tech Solutions"/>
    <x v="0"/>
    <s v="Printer Paper"/>
    <n v="50"/>
    <n v="1074.69"/>
    <n v="53734.5"/>
    <n v="2441.3200000000002"/>
    <n v="0"/>
    <n v="51293.18"/>
    <s v="Completed"/>
    <s v="Overdue"/>
  </r>
  <r>
    <s v="INV-2026-01439"/>
    <x v="2"/>
    <s v="South"/>
    <s v="Hyderabad"/>
    <s v="Direct Sales"/>
    <s v="Amit Kumar"/>
    <s v="Future Tech"/>
    <x v="3"/>
    <s v="Tablet"/>
    <n v="38"/>
    <n v="5911.3"/>
    <n v="224629.4"/>
    <n v="30806.91"/>
    <n v="0"/>
    <n v="193822.49"/>
    <s v="Processing"/>
    <s v="Paid"/>
  </r>
  <r>
    <s v="INV-2026-01440"/>
    <x v="59"/>
    <s v="West"/>
    <s v="Surat"/>
    <s v="Online"/>
    <s v="Amit Kumar"/>
    <s v="Prime Retail"/>
    <x v="5"/>
    <s v="Refrigerator"/>
    <n v="43"/>
    <n v="5015.1899999999996"/>
    <n v="215653.17"/>
    <n v="40062.82"/>
    <n v="0"/>
    <n v="175590.35"/>
    <s v="Pending"/>
    <s v="Pending"/>
  </r>
  <r>
    <s v="INV-2026-01441"/>
    <x v="85"/>
    <s v="Central"/>
    <s v="Indore"/>
    <s v="Direct Sales"/>
    <s v="Anita Desai"/>
    <s v="Global Traders"/>
    <x v="2"/>
    <s v="Tennis Racket"/>
    <n v="16"/>
    <n v="16852.990000000002"/>
    <n v="269647.84000000003"/>
    <n v="0"/>
    <n v="0"/>
    <n v="269647.84000000003"/>
    <s v="Cancelled"/>
    <s v="Pending"/>
  </r>
  <r>
    <s v="INV-2026-01442"/>
    <x v="69"/>
    <s v="North"/>
    <s v="Lucknow"/>
    <s v="Retail Store"/>
    <s v="Amit Kumar"/>
    <s v="Urban Store"/>
    <x v="0"/>
    <s v="Pen Set"/>
    <n v="26"/>
    <n v="22145.48"/>
    <n v="575782.48"/>
    <n v="0"/>
    <n v="0"/>
    <n v="575782.48"/>
    <s v="Processing"/>
    <s v="Paid"/>
  </r>
  <r>
    <s v="INV-2026-01443"/>
    <x v="25"/>
    <s v="South"/>
    <s v="Chennai"/>
    <s v="Distributor"/>
    <s v="Anita Desai"/>
    <s v="Nexus Ltd"/>
    <x v="2"/>
    <s v="Cricket Bat"/>
    <n v="42"/>
    <n v="48936.02"/>
    <n v="2055312.84"/>
    <n v="355564.49"/>
    <n v="0"/>
    <n v="1699748.35"/>
    <s v="Processing"/>
    <s v="Pending"/>
  </r>
  <r>
    <s v="INV-2026-01444"/>
    <x v="32"/>
    <s v="North"/>
    <s v="Chandigarh"/>
    <s v="Distributor"/>
    <s v="Rajesh Verma"/>
    <s v="Smart Systems"/>
    <x v="4"/>
    <s v="Formal Shirt"/>
    <n v="17"/>
    <n v="9512.59"/>
    <n v="161714.03"/>
    <n v="29630.59"/>
    <n v="28976.76"/>
    <n v="103106.68"/>
    <s v="Completed"/>
    <s v="Paid"/>
  </r>
  <r>
    <s v="INV-2026-01445"/>
    <x v="83"/>
    <s v="Central"/>
    <s v="Bhopal"/>
    <s v="Online"/>
    <s v="Meera Joshi"/>
    <s v="Future Tech"/>
    <x v="3"/>
    <s v="Headphones"/>
    <n v="1"/>
    <n v="3604.17"/>
    <n v="3604.17"/>
    <n v="452.42"/>
    <n v="0"/>
    <n v="3151.75"/>
    <s v="Completed"/>
    <s v="Paid"/>
  </r>
  <r>
    <s v="INV-2026-01446"/>
    <x v="51"/>
    <s v="West"/>
    <s v="Mumbai"/>
    <s v="Retail Store"/>
    <s v="Kavita Nair"/>
    <s v="Digital Hub"/>
    <x v="0"/>
    <s v="Desk Organizer"/>
    <n v="21"/>
    <n v="32846.26"/>
    <n v="689771.46"/>
    <n v="74487.039999999994"/>
    <n v="0"/>
    <n v="615284.42000000004"/>
    <s v="Cancelled"/>
    <s v="Pending"/>
  </r>
  <r>
    <s v="INV-2026-01447"/>
    <x v="26"/>
    <s v="South"/>
    <s v="Chennai"/>
    <s v="Direct Sales"/>
    <s v="Meera Joshi"/>
    <s v="Omega Stores"/>
    <x v="5"/>
    <s v="Vacuum Cleaner"/>
    <n v="13"/>
    <n v="24588.18"/>
    <n v="319646.34000000003"/>
    <n v="23965.1"/>
    <n v="0"/>
    <n v="295681.24"/>
    <s v="Completed"/>
    <s v="Paid"/>
  </r>
  <r>
    <s v="INV-2026-01448"/>
    <x v="91"/>
    <s v="Central"/>
    <s v="Raipur"/>
    <s v="Direct Sales"/>
    <s v="Kavita Nair"/>
    <s v="Tech Solutions"/>
    <x v="2"/>
    <s v="Bicycle"/>
    <n v="12"/>
    <n v="16153.33"/>
    <n v="193839.96"/>
    <n v="0"/>
    <n v="0"/>
    <n v="193839.96"/>
    <s v="Completed"/>
    <s v="Paid"/>
  </r>
  <r>
    <s v="INV-2026-01449"/>
    <x v="47"/>
    <s v="North"/>
    <s v="Jaipur"/>
    <s v="Retail Store"/>
    <s v="Kavita Nair"/>
    <s v="Urban Store"/>
    <x v="1"/>
    <s v="Desk"/>
    <n v="4"/>
    <n v="33433.160000000003"/>
    <n v="133732.64000000001"/>
    <n v="23866.51"/>
    <n v="0"/>
    <n v="109866.13"/>
    <s v="Completed"/>
    <s v="Paid"/>
  </r>
  <r>
    <s v="INV-2026-01450"/>
    <x v="40"/>
    <s v="South"/>
    <s v="Hyderabad"/>
    <s v="Online"/>
    <s v="Sneha Reddy"/>
    <s v="Metro Mart"/>
    <x v="5"/>
    <s v="Vacuum Cleaner"/>
    <n v="31"/>
    <n v="33432.089999999997"/>
    <n v="1036394.79"/>
    <n v="0"/>
    <n v="238812.94"/>
    <n v="797581.85"/>
    <s v="Processing"/>
    <s v="Paid"/>
  </r>
  <r>
    <s v="INV-2026-01451"/>
    <x v="68"/>
    <s v="West"/>
    <s v="Pune"/>
    <s v="Online"/>
    <s v="Vijay Singh"/>
    <s v="Nexus Ltd"/>
    <x v="4"/>
    <s v="Jeans"/>
    <n v="1"/>
    <n v="43678.35"/>
    <n v="43678.35"/>
    <n v="1120.6300000000001"/>
    <n v="0"/>
    <n v="42557.72"/>
    <s v="Processing"/>
    <s v="Pending"/>
  </r>
  <r>
    <s v="INV-2026-01452"/>
    <x v="79"/>
    <s v="North"/>
    <s v="Delhi"/>
    <s v="Retail Store"/>
    <s v="Suresh Gupta"/>
    <s v="Elite Enterprises"/>
    <x v="4"/>
    <s v="T-Shirt"/>
    <n v="22"/>
    <n v="17930.07"/>
    <n v="394461.54"/>
    <n v="31387.41"/>
    <n v="107963.88"/>
    <n v="255110.25"/>
    <s v="Pending"/>
    <s v="Paid"/>
  </r>
  <r>
    <s v="INV-2026-01453"/>
    <x v="20"/>
    <s v="East"/>
    <s v="Kolkata"/>
    <s v="Retail Store"/>
    <s v="Suresh Gupta"/>
    <s v="Urban Store"/>
    <x v="4"/>
    <s v="Formal Shirt"/>
    <n v="29"/>
    <n v="25787.35"/>
    <n v="747833.15"/>
    <n v="0"/>
    <n v="0"/>
    <n v="747833.15"/>
    <s v="Cancelled"/>
    <s v="Pending"/>
  </r>
  <r>
    <s v="INV-2026-01454"/>
    <x v="67"/>
    <s v="South"/>
    <s v="Chennai"/>
    <s v="Retail Store"/>
    <s v="Rahul Sharma"/>
    <s v="Omega Stores"/>
    <x v="0"/>
    <s v="File Folder"/>
    <n v="20"/>
    <n v="30477.33"/>
    <n v="609546.6"/>
    <n v="0"/>
    <n v="0"/>
    <n v="609546.6"/>
    <s v="Pending"/>
    <s v="Pending"/>
  </r>
  <r>
    <s v="INV-2026-01455"/>
    <x v="79"/>
    <s v="South"/>
    <s v="Chennai"/>
    <s v="Online"/>
    <s v="Suresh Gupta"/>
    <s v="Metro Mart"/>
    <x v="2"/>
    <s v="Bicycle"/>
    <n v="40"/>
    <n v="2581.48"/>
    <n v="103259.2"/>
    <n v="2419.94"/>
    <n v="0"/>
    <n v="100839.26"/>
    <s v="Pending"/>
    <s v="Pending"/>
  </r>
  <r>
    <s v="INV-2026-01456"/>
    <x v="84"/>
    <s v="North"/>
    <s v="Jaipur"/>
    <s v="Online"/>
    <s v="Vijay Singh"/>
    <s v="Omega Stores"/>
    <x v="5"/>
    <s v="TV"/>
    <n v="18"/>
    <n v="5815.82"/>
    <n v="104684.76"/>
    <n v="19064.78"/>
    <n v="0"/>
    <n v="85619.98"/>
    <s v="Cancelled"/>
    <s v="Pending"/>
  </r>
  <r>
    <s v="INV-2026-01457"/>
    <x v="9"/>
    <s v="North"/>
    <s v="Chandigarh"/>
    <s v="Direct Sales"/>
    <s v="Kavita Nair"/>
    <s v="Future Tech"/>
    <x v="4"/>
    <s v="Formal Shirt"/>
    <n v="32"/>
    <n v="5235.6899999999996"/>
    <n v="167542.07999999999"/>
    <n v="0"/>
    <n v="0"/>
    <n v="167542.07999999999"/>
    <s v="Processing"/>
    <s v="Pending"/>
  </r>
  <r>
    <s v="INV-2026-01458"/>
    <x v="50"/>
    <s v="Central"/>
    <s v="Bhopal"/>
    <s v="Direct Sales"/>
    <s v="Rajesh Verma"/>
    <s v="Global Traders"/>
    <x v="2"/>
    <s v="Tennis Racket"/>
    <n v="20"/>
    <n v="42668.6"/>
    <n v="853372"/>
    <n v="0"/>
    <n v="0"/>
    <n v="853372"/>
    <s v="Completed"/>
    <s v="Paid"/>
  </r>
  <r>
    <s v="INV-2026-01459"/>
    <x v="32"/>
    <s v="West"/>
    <s v="Mumbai"/>
    <s v="Direct Sales"/>
    <s v="Sneha Reddy"/>
    <s v="Alpha Trading"/>
    <x v="2"/>
    <s v="Yoga Mat"/>
    <n v="44"/>
    <n v="21621.040000000001"/>
    <n v="951325.76"/>
    <n v="0"/>
    <n v="0"/>
    <n v="951325.76"/>
    <s v="Pending"/>
    <s v="Pending"/>
  </r>
  <r>
    <s v="INV-2026-01460"/>
    <x v="21"/>
    <s v="North"/>
    <s v="Lucknow"/>
    <s v="Distributor"/>
    <s v="Anita Desai"/>
    <s v="Metro Mart"/>
    <x v="3"/>
    <s v="Tablet"/>
    <n v="15"/>
    <n v="20010.53"/>
    <n v="300157.95"/>
    <n v="0"/>
    <n v="0"/>
    <n v="300157.95"/>
    <s v="Pending"/>
    <s v="Paid"/>
  </r>
  <r>
    <s v="INV-2026-01461"/>
    <x v="83"/>
    <s v="South"/>
    <s v="Hyderabad"/>
    <s v="Direct Sales"/>
    <s v="Vijay Singh"/>
    <s v="Nexus Ltd"/>
    <x v="3"/>
    <s v="Tablet"/>
    <n v="32"/>
    <n v="34943.199999999997"/>
    <n v="1118182.3999999999"/>
    <n v="0"/>
    <n v="103074.95"/>
    <n v="1015107.45"/>
    <s v="Completed"/>
    <s v="Paid"/>
  </r>
  <r>
    <s v="INV-2026-01462"/>
    <x v="53"/>
    <s v="West"/>
    <s v="Ahmedabad"/>
    <s v="Retail Store"/>
    <s v="Vijay Singh"/>
    <s v="Digital Hub"/>
    <x v="4"/>
    <s v="Jacket"/>
    <n v="31"/>
    <n v="15125.52"/>
    <n v="468891.12"/>
    <n v="84236.57"/>
    <n v="0"/>
    <n v="384654.55"/>
    <s v="Processing"/>
    <s v="Paid"/>
  </r>
  <r>
    <s v="INV-2026-01463"/>
    <x v="43"/>
    <s v="West"/>
    <s v="Ahmedabad"/>
    <s v="Direct Sales"/>
    <s v="Anita Desai"/>
    <s v="Global Traders"/>
    <x v="2"/>
    <s v="Yoga Mat"/>
    <n v="32"/>
    <n v="44976.92"/>
    <n v="1439261.44"/>
    <n v="156295.94"/>
    <n v="395982.31"/>
    <n v="886983.19"/>
    <s v="Processing"/>
    <s v="Pending"/>
  </r>
  <r>
    <s v="INV-2026-01464"/>
    <x v="68"/>
    <s v="West"/>
    <s v="Ahmedabad"/>
    <s v="Direct Sales"/>
    <s v="Priya Patel"/>
    <s v="Prime Retail"/>
    <x v="5"/>
    <s v="Air Conditioner"/>
    <n v="34"/>
    <n v="29218.69"/>
    <n v="993435.46"/>
    <n v="119409.85"/>
    <n v="0"/>
    <n v="874025.61"/>
    <s v="Completed"/>
    <s v="Paid"/>
  </r>
  <r>
    <s v="INV-2026-01465"/>
    <x v="45"/>
    <s v="Central"/>
    <s v="Bhopal"/>
    <s v="Retail Store"/>
    <s v="Amit Kumar"/>
    <s v="Global Traders"/>
    <x v="0"/>
    <s v="File Folder"/>
    <n v="1"/>
    <n v="40908.26"/>
    <n v="40908.26"/>
    <n v="6579.66"/>
    <n v="0"/>
    <n v="34328.6"/>
    <s v="Cancelled"/>
    <s v="Pending"/>
  </r>
  <r>
    <s v="INV-2026-01466"/>
    <x v="14"/>
    <s v="North"/>
    <s v="Lucknow"/>
    <s v="Online"/>
    <s v="Rajesh Verma"/>
    <s v="Skyline Corp"/>
    <x v="1"/>
    <s v="Desk"/>
    <n v="37"/>
    <n v="21421.86"/>
    <n v="792608.82"/>
    <n v="0"/>
    <n v="0"/>
    <n v="792608.82"/>
    <s v="Pending"/>
    <s v="Pending"/>
  </r>
  <r>
    <s v="INV-2026-01467"/>
    <x v="3"/>
    <s v="West"/>
    <s v="Pune"/>
    <s v="Online"/>
    <s v="Vijay Singh"/>
    <s v="Tech Solutions"/>
    <x v="2"/>
    <s v="Cricket Bat"/>
    <n v="36"/>
    <n v="14960.47"/>
    <n v="538576.92000000004"/>
    <n v="51327.94"/>
    <n v="20706.52"/>
    <n v="466542.46"/>
    <s v="Pending"/>
    <s v="Paid"/>
  </r>
  <r>
    <s v="INV-2026-01468"/>
    <x v="34"/>
    <s v="East"/>
    <s v="Kolkata"/>
    <s v="Retail Store"/>
    <s v="Amit Kumar"/>
    <s v="Smart Systems"/>
    <x v="3"/>
    <s v="Tablet"/>
    <n v="42"/>
    <n v="38340.089999999997"/>
    <n v="1610283.78"/>
    <n v="0"/>
    <n v="427940.84"/>
    <n v="1182342.94"/>
    <s v="Pending"/>
    <s v="Pending"/>
  </r>
  <r>
    <s v="INV-2026-01469"/>
    <x v="33"/>
    <s v="North"/>
    <s v="Lucknow"/>
    <s v="Online"/>
    <s v="Priya Patel"/>
    <s v="Global Traders"/>
    <x v="4"/>
    <s v="Shoes"/>
    <n v="6"/>
    <n v="23794.09"/>
    <n v="142764.54"/>
    <n v="0"/>
    <n v="0"/>
    <n v="142764.54"/>
    <s v="Cancelled"/>
    <s v="Pending"/>
  </r>
  <r>
    <s v="INV-2026-01470"/>
    <x v="43"/>
    <s v="Central"/>
    <s v="Indore"/>
    <s v="Distributor"/>
    <s v="Anita Desai"/>
    <s v="XYZ Ltd"/>
    <x v="4"/>
    <s v="Jacket"/>
    <n v="26"/>
    <n v="47271.62"/>
    <n v="1229062.1200000001"/>
    <n v="81746.45"/>
    <n v="0"/>
    <n v="1147315.67"/>
    <s v="Cancelled"/>
    <s v="Pending"/>
  </r>
  <r>
    <s v="INV-2026-01471"/>
    <x v="0"/>
    <s v="East"/>
    <s v="Bhubaneswar"/>
    <s v="Online"/>
    <s v="Sneha Reddy"/>
    <s v="Nexus Ltd"/>
    <x v="0"/>
    <s v="File Folder"/>
    <n v="42"/>
    <n v="14850.3"/>
    <n v="623712.6"/>
    <n v="28023.42"/>
    <n v="0"/>
    <n v="595689.18000000005"/>
    <s v="Completed"/>
    <s v="Paid"/>
  </r>
  <r>
    <s v="INV-2026-01472"/>
    <x v="30"/>
    <s v="North"/>
    <s v="Lucknow"/>
    <s v="Direct Sales"/>
    <s v="Priya Patel"/>
    <s v="Tech Solutions"/>
    <x v="1"/>
    <s v="Office Chair"/>
    <n v="14"/>
    <n v="41078.94"/>
    <n v="575105.16"/>
    <n v="103461.82"/>
    <n v="0"/>
    <n v="471643.34"/>
    <s v="Processing"/>
    <s v="Pending"/>
  </r>
  <r>
    <s v="INV-2026-01473"/>
    <x v="46"/>
    <s v="South"/>
    <s v="Chennai"/>
    <s v="Distributor"/>
    <s v="Amit Kumar"/>
    <s v="Prime Retail"/>
    <x v="0"/>
    <s v="File Folder"/>
    <n v="30"/>
    <n v="45687.16"/>
    <n v="1370614.8"/>
    <n v="0"/>
    <n v="0"/>
    <n v="1370614.8"/>
    <s v="Cancelled"/>
    <s v="Pending"/>
  </r>
  <r>
    <s v="INV-2026-01474"/>
    <x v="22"/>
    <s v="North"/>
    <s v="Jaipur"/>
    <s v="Direct Sales"/>
    <s v="Suresh Gupta"/>
    <s v="ABC Corp"/>
    <x v="1"/>
    <s v="Cabinet"/>
    <n v="23"/>
    <n v="45118.62"/>
    <n v="1037728.26"/>
    <n v="103200.26"/>
    <n v="0"/>
    <n v="934528"/>
    <s v="Cancelled"/>
    <s v="Pending"/>
  </r>
  <r>
    <s v="INV-2026-01475"/>
    <x v="85"/>
    <s v="East"/>
    <s v="Guwahati"/>
    <s v="Direct Sales"/>
    <s v="Priya Patel"/>
    <s v="Alpha Trading"/>
    <x v="4"/>
    <s v="Jeans"/>
    <n v="26"/>
    <n v="4729.51"/>
    <n v="122967.26"/>
    <n v="0"/>
    <n v="0"/>
    <n v="122967.26"/>
    <s v="Processing"/>
    <s v="Pending"/>
  </r>
  <r>
    <s v="INV-2026-01476"/>
    <x v="85"/>
    <s v="North"/>
    <s v="Lucknow"/>
    <s v="Online"/>
    <s v="Amit Kumar"/>
    <s v="Global Traders"/>
    <x v="2"/>
    <s v="Tennis Racket"/>
    <n v="22"/>
    <n v="26901.88"/>
    <n v="591841.36"/>
    <n v="0"/>
    <n v="138356.20000000001"/>
    <n v="453485.16"/>
    <s v="Completed"/>
    <s v="Paid"/>
  </r>
  <r>
    <s v="INV-2026-01477"/>
    <x v="80"/>
    <s v="North"/>
    <s v="Lucknow"/>
    <s v="Online"/>
    <s v="Priya Patel"/>
    <s v="Global Traders"/>
    <x v="1"/>
    <s v="Desk"/>
    <n v="4"/>
    <n v="40631.519999999997"/>
    <n v="162526.07999999999"/>
    <n v="30738.78"/>
    <n v="0"/>
    <n v="131787.29999999999"/>
    <s v="Cancelled"/>
    <s v="Pending"/>
  </r>
  <r>
    <s v="INV-2026-01478"/>
    <x v="22"/>
    <s v="Central"/>
    <s v="Raipur"/>
    <s v="Direct Sales"/>
    <s v="Anita Desai"/>
    <s v="ABC Corp"/>
    <x v="0"/>
    <s v="File Folder"/>
    <n v="1"/>
    <n v="47618.79"/>
    <n v="47618.79"/>
    <n v="7375.62"/>
    <n v="0"/>
    <n v="40243.17"/>
    <s v="Pending"/>
    <s v="Pending"/>
  </r>
  <r>
    <s v="INV-2026-01479"/>
    <x v="31"/>
    <s v="North"/>
    <s v="Jaipur"/>
    <s v="Distributor"/>
    <s v="Vijay Singh"/>
    <s v="Skyline Corp"/>
    <x v="1"/>
    <s v="Bookshelf"/>
    <n v="8"/>
    <n v="38964.67"/>
    <n v="311717.36"/>
    <n v="41789.53"/>
    <n v="0"/>
    <n v="269927.83"/>
    <s v="Pending"/>
    <s v="Paid"/>
  </r>
  <r>
    <s v="INV-2026-01480"/>
    <x v="68"/>
    <s v="Central"/>
    <s v="Raipur"/>
    <s v="Distributor"/>
    <s v="Suresh Gupta"/>
    <s v="Elite Enterprises"/>
    <x v="2"/>
    <s v="Yoga Mat"/>
    <n v="10"/>
    <n v="17015.66"/>
    <n v="170156.6"/>
    <n v="0"/>
    <n v="0"/>
    <n v="170156.6"/>
    <s v="Pending"/>
    <s v="Pending"/>
  </r>
  <r>
    <s v="INV-2026-01481"/>
    <x v="51"/>
    <s v="East"/>
    <s v="Guwahati"/>
    <s v="Online"/>
    <s v="Suresh Gupta"/>
    <s v="Smart Systems"/>
    <x v="1"/>
    <s v="Sofa"/>
    <n v="27"/>
    <n v="15213.76"/>
    <n v="410771.52"/>
    <n v="0"/>
    <n v="0"/>
    <n v="410771.52"/>
    <s v="Pending"/>
    <s v="Pending"/>
  </r>
  <r>
    <s v="INV-2026-01482"/>
    <x v="32"/>
    <s v="South"/>
    <s v="Chennai"/>
    <s v="Retail Store"/>
    <s v="Meera Joshi"/>
    <s v="Global Traders"/>
    <x v="2"/>
    <s v="Tennis Racket"/>
    <n v="38"/>
    <n v="42216.11"/>
    <n v="1604212.18"/>
    <n v="6093.8"/>
    <n v="0"/>
    <n v="1598118.38"/>
    <s v="Processing"/>
    <s v="Paid"/>
  </r>
  <r>
    <s v="INV-2026-01483"/>
    <x v="84"/>
    <s v="West"/>
    <s v="Pune"/>
    <s v="Retail Store"/>
    <s v="Kavita Nair"/>
    <s v="Prime Retail"/>
    <x v="3"/>
    <s v="Smart Watch"/>
    <n v="4"/>
    <n v="46220.63"/>
    <n v="184882.52"/>
    <n v="0"/>
    <n v="0"/>
    <n v="184882.52"/>
    <s v="Pending"/>
    <s v="Pending"/>
  </r>
  <r>
    <s v="INV-2026-01484"/>
    <x v="7"/>
    <s v="East"/>
    <s v="Bhubaneswar"/>
    <s v="Direct Sales"/>
    <s v="Suresh Gupta"/>
    <s v="Elite Enterprises"/>
    <x v="1"/>
    <s v="Conference Table"/>
    <n v="27"/>
    <n v="14809.13"/>
    <n v="399846.51"/>
    <n v="0"/>
    <n v="0"/>
    <n v="399846.51"/>
    <s v="Completed"/>
    <s v="Pending"/>
  </r>
  <r>
    <s v="INV-2026-01485"/>
    <x v="75"/>
    <s v="South"/>
    <s v="Kochi"/>
    <s v="Online"/>
    <s v="Anita Desai"/>
    <s v="Skyline Corp"/>
    <x v="1"/>
    <s v="Desk"/>
    <n v="2"/>
    <n v="43178.01"/>
    <n v="86356.02"/>
    <n v="10476.719999999999"/>
    <n v="0"/>
    <n v="75879.3"/>
    <s v="Completed"/>
    <s v="Paid"/>
  </r>
  <r>
    <s v="INV-2026-01486"/>
    <x v="47"/>
    <s v="East"/>
    <s v="Kolkata"/>
    <s v="Retail Store"/>
    <s v="Amit Kumar"/>
    <s v="Alpha Trading"/>
    <x v="3"/>
    <s v="Smartphone"/>
    <n v="28"/>
    <n v="22319.66"/>
    <n v="624950.48"/>
    <n v="0"/>
    <n v="0"/>
    <n v="624950.48"/>
    <s v="Processing"/>
    <s v="Pending"/>
  </r>
  <r>
    <s v="INV-2026-01487"/>
    <x v="83"/>
    <s v="West"/>
    <s v="Ahmedabad"/>
    <s v="Direct Sales"/>
    <s v="Rahul Sharma"/>
    <s v="Urban Store"/>
    <x v="3"/>
    <s v="Smart Watch"/>
    <n v="48"/>
    <n v="3776.8"/>
    <n v="181286.39999999999"/>
    <n v="0"/>
    <n v="0"/>
    <n v="181286.39999999999"/>
    <s v="Processing"/>
    <s v="Paid"/>
  </r>
  <r>
    <s v="INV-2026-01488"/>
    <x v="56"/>
    <s v="Central"/>
    <s v="Bhopal"/>
    <s v="Retail Store"/>
    <s v="Rahul Sharma"/>
    <s v="Smart Systems"/>
    <x v="4"/>
    <s v="Jeans"/>
    <n v="48"/>
    <n v="18856.72"/>
    <n v="905122.56"/>
    <n v="97954.14"/>
    <n v="0"/>
    <n v="807168.42"/>
    <s v="Completed"/>
    <s v="Paid"/>
  </r>
  <r>
    <s v="INV-2026-01489"/>
    <x v="57"/>
    <s v="Central"/>
    <s v="Indore"/>
    <s v="Online"/>
    <s v="Suresh Gupta"/>
    <s v="Urban Store"/>
    <x v="2"/>
    <s v="Gym Equipment"/>
    <n v="29"/>
    <n v="26148.36"/>
    <n v="758302.44"/>
    <n v="30835.47"/>
    <n v="0"/>
    <n v="727466.97"/>
    <s v="Pending"/>
    <s v="Pending"/>
  </r>
  <r>
    <s v="INV-2026-01490"/>
    <x v="70"/>
    <s v="North"/>
    <s v="Jaipur"/>
    <s v="Online"/>
    <s v="Meera Joshi"/>
    <s v="XYZ Ltd"/>
    <x v="3"/>
    <s v="Tablet"/>
    <n v="7"/>
    <n v="36410.49"/>
    <n v="254873.43"/>
    <n v="0"/>
    <n v="0"/>
    <n v="254873.43"/>
    <s v="Cancelled"/>
    <s v="Pending"/>
  </r>
  <r>
    <s v="INV-2026-01491"/>
    <x v="67"/>
    <s v="East"/>
    <s v="Bhubaneswar"/>
    <s v="Retail Store"/>
    <s v="Priya Patel"/>
    <s v="Digital Hub"/>
    <x v="1"/>
    <s v="Cabinet"/>
    <n v="21"/>
    <n v="818.94"/>
    <n v="17197.740000000002"/>
    <n v="2846.53"/>
    <n v="0"/>
    <n v="14351.21"/>
    <s v="Processing"/>
    <s v="Pending"/>
  </r>
  <r>
    <s v="INV-2026-01492"/>
    <x v="58"/>
    <s v="West"/>
    <s v="Pune"/>
    <s v="Online"/>
    <s v="Vijay Singh"/>
    <s v="Prime Retail"/>
    <x v="0"/>
    <s v="Notebook"/>
    <n v="26"/>
    <n v="24599.32"/>
    <n v="639582.31999999995"/>
    <n v="105303.89"/>
    <n v="0"/>
    <n v="534278.43000000005"/>
    <s v="Completed"/>
    <s v="Pending"/>
  </r>
  <r>
    <s v="INV-2026-01493"/>
    <x v="49"/>
    <s v="West"/>
    <s v="Pune"/>
    <s v="Retail Store"/>
    <s v="Priya Patel"/>
    <s v="XYZ Ltd"/>
    <x v="2"/>
    <s v="Football"/>
    <n v="32"/>
    <n v="17013.8"/>
    <n v="544441.59999999998"/>
    <n v="85825.2"/>
    <n v="0"/>
    <n v="458616.4"/>
    <s v="Processing"/>
    <s v="Pending"/>
  </r>
  <r>
    <s v="INV-2026-01494"/>
    <x v="51"/>
    <s v="West"/>
    <s v="Ahmedabad"/>
    <s v="Retail Store"/>
    <s v="Rajesh Verma"/>
    <s v="Metro Mart"/>
    <x v="5"/>
    <s v="Air Conditioner"/>
    <n v="35"/>
    <n v="5865.84"/>
    <n v="205304.4"/>
    <n v="16361.87"/>
    <n v="0"/>
    <n v="188942.53"/>
    <s v="Cancelled"/>
    <s v="Pending"/>
  </r>
  <r>
    <s v="INV-2026-01495"/>
    <x v="34"/>
    <s v="Central"/>
    <s v="Bhopal"/>
    <s v="Distributor"/>
    <s v="Meera Joshi"/>
    <s v="Skyline Corp"/>
    <x v="4"/>
    <s v="Formal Shirt"/>
    <n v="5"/>
    <n v="36504.300000000003"/>
    <n v="182521.5"/>
    <n v="31460.68"/>
    <n v="0"/>
    <n v="151060.82"/>
    <s v="Pending"/>
    <s v="Pending"/>
  </r>
  <r>
    <s v="INV-2026-01496"/>
    <x v="32"/>
    <s v="East"/>
    <s v="Patna"/>
    <s v="Distributor"/>
    <s v="Rahul Sharma"/>
    <s v="Smart Systems"/>
    <x v="5"/>
    <s v="Microwave"/>
    <n v="32"/>
    <n v="5417.75"/>
    <n v="173368"/>
    <n v="21082.22"/>
    <n v="0"/>
    <n v="152285.78"/>
    <s v="Processing"/>
    <s v="Pending"/>
  </r>
  <r>
    <s v="INV-2026-01497"/>
    <x v="23"/>
    <s v="South"/>
    <s v="Chennai"/>
    <s v="Direct Sales"/>
    <s v="Suresh Gupta"/>
    <s v="Elite Enterprises"/>
    <x v="3"/>
    <s v="Laptop"/>
    <n v="41"/>
    <n v="49391.86"/>
    <n v="2025066.26"/>
    <n v="0"/>
    <n v="0"/>
    <n v="2025066.26"/>
    <s v="Completed"/>
    <s v="Paid"/>
  </r>
  <r>
    <s v="INV-2026-01498"/>
    <x v="55"/>
    <s v="North"/>
    <s v="Jaipur"/>
    <s v="Online"/>
    <s v="Anita Desai"/>
    <s v="Skyline Corp"/>
    <x v="4"/>
    <s v="Dress"/>
    <n v="45"/>
    <n v="14080.87"/>
    <n v="633639.15"/>
    <n v="122074.11"/>
    <n v="0"/>
    <n v="511565.04"/>
    <s v="Completed"/>
    <s v="Paid"/>
  </r>
  <r>
    <s v="INV-2026-01499"/>
    <x v="58"/>
    <s v="East"/>
    <s v="Kolkata"/>
    <s v="Retail Store"/>
    <s v="Anita Desai"/>
    <s v="Global Traders"/>
    <x v="1"/>
    <s v="Bookshelf"/>
    <n v="14"/>
    <n v="28399.360000000001"/>
    <n v="397591.03999999998"/>
    <n v="23315.18"/>
    <n v="71555.89"/>
    <n v="302719.96999999997"/>
    <s v="Pending"/>
    <s v="Pending"/>
  </r>
  <r>
    <s v="INV-2026-01500"/>
    <x v="3"/>
    <s v="Central"/>
    <s v="Nagpur"/>
    <s v="Retail Store"/>
    <s v="Kavita Nair"/>
    <s v="Digital Hub"/>
    <x v="1"/>
    <s v="Sofa"/>
    <n v="40"/>
    <n v="8993.36"/>
    <n v="359734.4"/>
    <n v="36494.19"/>
    <n v="0"/>
    <n v="323240.21000000002"/>
    <s v="Cancelled"/>
    <s v="Pending"/>
  </r>
  <r>
    <s v="INV-2026-01501"/>
    <x v="14"/>
    <s v="Central"/>
    <s v="Indore"/>
    <s v="Distributor"/>
    <s v="Rajesh Verma"/>
    <s v="Metro Mart"/>
    <x v="5"/>
    <s v="Washing Machine"/>
    <n v="35"/>
    <n v="43885.15"/>
    <n v="1535980.25"/>
    <n v="112590.1"/>
    <n v="0"/>
    <n v="1423390.15"/>
    <s v="Completed"/>
    <s v="Paid"/>
  </r>
  <r>
    <s v="INV-2026-01502"/>
    <x v="84"/>
    <s v="Central"/>
    <s v="Bhopal"/>
    <s v="Retail Store"/>
    <s v="Rajesh Verma"/>
    <s v="Future Tech"/>
    <x v="5"/>
    <s v="Vacuum Cleaner"/>
    <n v="45"/>
    <n v="28333.17"/>
    <n v="1274992.6499999999"/>
    <n v="0"/>
    <n v="0"/>
    <n v="1274992.6499999999"/>
    <s v="Cancelled"/>
    <s v="Pending"/>
  </r>
  <r>
    <s v="INV-2026-01503"/>
    <x v="68"/>
    <s v="North"/>
    <s v="Delhi"/>
    <s v="Retail Store"/>
    <s v="Sneha Reddy"/>
    <s v="Urban Store"/>
    <x v="0"/>
    <s v="Printer Paper"/>
    <n v="36"/>
    <n v="24165.37"/>
    <n v="869953.32"/>
    <n v="134757.51"/>
    <n v="0"/>
    <n v="735195.81"/>
    <s v="Pending"/>
    <s v="Paid"/>
  </r>
  <r>
    <s v="INV-2026-01504"/>
    <x v="73"/>
    <s v="East"/>
    <s v="Kolkata"/>
    <s v="Direct Sales"/>
    <s v="Rahul Sharma"/>
    <s v="Skyline Corp"/>
    <x v="1"/>
    <s v="Cabinet"/>
    <n v="35"/>
    <n v="2233.2600000000002"/>
    <n v="78164.100000000006"/>
    <n v="8850"/>
    <n v="0"/>
    <n v="69314.100000000006"/>
    <s v="Processing"/>
    <s v="Paid"/>
  </r>
  <r>
    <s v="INV-2026-01505"/>
    <x v="40"/>
    <s v="Central"/>
    <s v="Indore"/>
    <s v="Direct Sales"/>
    <s v="Suresh Gupta"/>
    <s v="Nexus Ltd"/>
    <x v="1"/>
    <s v="Desk"/>
    <n v="4"/>
    <n v="13932.14"/>
    <n v="55728.56"/>
    <n v="0"/>
    <n v="0"/>
    <n v="55728.56"/>
    <s v="Cancelled"/>
    <s v="Pending"/>
  </r>
  <r>
    <s v="INV-2026-01506"/>
    <x v="63"/>
    <s v="East"/>
    <s v="Guwahati"/>
    <s v="Online"/>
    <s v="Suresh Gupta"/>
    <s v="Future Tech"/>
    <x v="4"/>
    <s v="Shoes"/>
    <n v="11"/>
    <n v="6213.74"/>
    <n v="68351.14"/>
    <n v="2271.31"/>
    <n v="0"/>
    <n v="66079.83"/>
    <s v="Cancelled"/>
    <s v="Pending"/>
  </r>
  <r>
    <s v="INV-2026-01507"/>
    <x v="35"/>
    <s v="East"/>
    <s v="Bhubaneswar"/>
    <s v="Direct Sales"/>
    <s v="Kavita Nair"/>
    <s v="Skyline Corp"/>
    <x v="1"/>
    <s v="Office Chair"/>
    <n v="16"/>
    <n v="32168.61"/>
    <n v="514697.76"/>
    <n v="35281.11"/>
    <n v="0"/>
    <n v="479416.65"/>
    <s v="Processing"/>
    <s v="Pending"/>
  </r>
  <r>
    <s v="INV-2026-01508"/>
    <x v="72"/>
    <s v="West"/>
    <s v="Ahmedabad"/>
    <s v="Online"/>
    <s v="Amit Kumar"/>
    <s v="Future Tech"/>
    <x v="3"/>
    <s v="Laptop"/>
    <n v="42"/>
    <n v="45910.8"/>
    <n v="1928253.6"/>
    <n v="0"/>
    <n v="0"/>
    <n v="1928253.6"/>
    <s v="Cancelled"/>
    <s v="Pending"/>
  </r>
  <r>
    <s v="INV-2026-01509"/>
    <x v="44"/>
    <s v="East"/>
    <s v="Guwahati"/>
    <s v="Direct Sales"/>
    <s v="Anita Desai"/>
    <s v="Omega Stores"/>
    <x v="2"/>
    <s v="Football"/>
    <n v="30"/>
    <n v="7286.91"/>
    <n v="218607.3"/>
    <n v="0"/>
    <n v="0"/>
    <n v="218607.3"/>
    <s v="Processing"/>
    <s v="Pending"/>
  </r>
  <r>
    <s v="INV-2026-01510"/>
    <x v="70"/>
    <s v="South"/>
    <s v="Bangalore"/>
    <s v="Direct Sales"/>
    <s v="Priya Patel"/>
    <s v="Omega Stores"/>
    <x v="2"/>
    <s v="Tennis Racket"/>
    <n v="16"/>
    <n v="45436.42"/>
    <n v="726982.72"/>
    <n v="0"/>
    <n v="0"/>
    <n v="726982.72"/>
    <s v="Completed"/>
    <s v="Paid"/>
  </r>
  <r>
    <s v="INV-2026-01511"/>
    <x v="45"/>
    <s v="Central"/>
    <s v="Raipur"/>
    <s v="Online"/>
    <s v="Meera Joshi"/>
    <s v="Urban Store"/>
    <x v="2"/>
    <s v="Gym Equipment"/>
    <n v="41"/>
    <n v="12207.05"/>
    <n v="500489.05"/>
    <n v="42486.68"/>
    <n v="0"/>
    <n v="458002.37"/>
    <s v="Completed"/>
    <s v="Pending"/>
  </r>
  <r>
    <s v="INV-2026-01512"/>
    <x v="65"/>
    <s v="North"/>
    <s v="Chandigarh"/>
    <s v="Retail Store"/>
    <s v="Sneha Reddy"/>
    <s v="Prime Retail"/>
    <x v="3"/>
    <s v="Smartphone"/>
    <n v="4"/>
    <n v="49263.78"/>
    <n v="197055.12"/>
    <n v="3027.22"/>
    <n v="0"/>
    <n v="194027.9"/>
    <s v="Pending"/>
    <s v="Pending"/>
  </r>
  <r>
    <s v="INV-2026-01513"/>
    <x v="67"/>
    <s v="West"/>
    <s v="Pune"/>
    <s v="Online"/>
    <s v="Meera Joshi"/>
    <s v="Future Tech"/>
    <x v="1"/>
    <s v="Office Chair"/>
    <n v="38"/>
    <n v="8613.26"/>
    <n v="327303.88"/>
    <n v="0"/>
    <n v="0"/>
    <n v="327303.88"/>
    <s v="Cancelled"/>
    <s v="Pending"/>
  </r>
  <r>
    <s v="INV-2026-01514"/>
    <x v="41"/>
    <s v="East"/>
    <s v="Bhubaneswar"/>
    <s v="Retail Store"/>
    <s v="Anita Desai"/>
    <s v="Skyline Corp"/>
    <x v="5"/>
    <s v="Vacuum Cleaner"/>
    <n v="27"/>
    <n v="44872.62"/>
    <n v="1211560.74"/>
    <n v="1459.33"/>
    <n v="0"/>
    <n v="1210101.4099999999"/>
    <s v="Cancelled"/>
    <s v="Pending"/>
  </r>
  <r>
    <s v="INV-2026-01515"/>
    <x v="10"/>
    <s v="East"/>
    <s v="Kolkata"/>
    <s v="Distributor"/>
    <s v="Meera Joshi"/>
    <s v="Alpha Trading"/>
    <x v="2"/>
    <s v="Football"/>
    <n v="45"/>
    <n v="5719.27"/>
    <n v="257367.15"/>
    <n v="9999.76"/>
    <n v="0"/>
    <n v="247367.39"/>
    <s v="Processing"/>
    <s v="Pending"/>
  </r>
  <r>
    <s v="INV-2026-01516"/>
    <x v="24"/>
    <s v="Central"/>
    <s v="Nagpur"/>
    <s v="Retail Store"/>
    <s v="Meera Joshi"/>
    <s v="Metro Mart"/>
    <x v="3"/>
    <s v="Camera"/>
    <n v="17"/>
    <n v="27795.35"/>
    <n v="472520.95"/>
    <n v="90033.08"/>
    <n v="0"/>
    <n v="382487.87"/>
    <s v="Pending"/>
    <s v="Pending"/>
  </r>
  <r>
    <s v="INV-2026-01517"/>
    <x v="29"/>
    <s v="East"/>
    <s v="Kolkata"/>
    <s v="Distributor"/>
    <s v="Anita Desai"/>
    <s v="Prime Retail"/>
    <x v="2"/>
    <s v="Cricket Bat"/>
    <n v="19"/>
    <n v="46649.62"/>
    <n v="886342.78"/>
    <n v="0"/>
    <n v="0"/>
    <n v="886342.78"/>
    <s v="Processing"/>
    <s v="Pending"/>
  </r>
  <r>
    <s v="INV-2026-01518"/>
    <x v="40"/>
    <s v="North"/>
    <s v="Lucknow"/>
    <s v="Direct Sales"/>
    <s v="Rahul Sharma"/>
    <s v="Smart Systems"/>
    <x v="4"/>
    <s v="Jeans"/>
    <n v="43"/>
    <n v="15595.99"/>
    <n v="670627.56999999995"/>
    <n v="0"/>
    <n v="0"/>
    <n v="670627.56999999995"/>
    <s v="Pending"/>
    <s v="Paid"/>
  </r>
  <r>
    <s v="INV-2026-01519"/>
    <x v="11"/>
    <s v="East"/>
    <s v="Bhubaneswar"/>
    <s v="Retail Store"/>
    <s v="Rahul Sharma"/>
    <s v="Global Traders"/>
    <x v="2"/>
    <s v="Yoga Mat"/>
    <n v="16"/>
    <n v="5298.93"/>
    <n v="84782.88"/>
    <n v="15757.67"/>
    <n v="0"/>
    <n v="69025.210000000006"/>
    <s v="Completed"/>
    <s v="Paid"/>
  </r>
  <r>
    <s v="INV-2026-01520"/>
    <x v="74"/>
    <s v="West"/>
    <s v="Ahmedabad"/>
    <s v="Distributor"/>
    <s v="Rahul Sharma"/>
    <s v="Metro Mart"/>
    <x v="4"/>
    <s v="Shoes"/>
    <n v="4"/>
    <n v="42702.99"/>
    <n v="170811.96"/>
    <n v="0"/>
    <n v="0"/>
    <n v="170811.96"/>
    <s v="Completed"/>
    <s v="Paid"/>
  </r>
  <r>
    <s v="INV-2026-01521"/>
    <x v="22"/>
    <s v="North"/>
    <s v="Delhi"/>
    <s v="Online"/>
    <s v="Kavita Nair"/>
    <s v="Urban Store"/>
    <x v="0"/>
    <s v="Desk Organizer"/>
    <n v="9"/>
    <n v="25676.7"/>
    <n v="231090.3"/>
    <n v="0"/>
    <n v="0"/>
    <n v="231090.3"/>
    <s v="Pending"/>
    <s v="Paid"/>
  </r>
  <r>
    <s v="INV-2026-01522"/>
    <x v="37"/>
    <s v="South"/>
    <s v="Kochi"/>
    <s v="Online"/>
    <s v="Suresh Gupta"/>
    <s v="Alpha Trading"/>
    <x v="5"/>
    <s v="Microwave"/>
    <n v="35"/>
    <n v="11854.06"/>
    <n v="414892.1"/>
    <n v="76332.02"/>
    <n v="0"/>
    <n v="338560.08"/>
    <s v="Completed"/>
    <s v="Overdue"/>
  </r>
  <r>
    <s v="INV-2026-01523"/>
    <x v="29"/>
    <s v="East"/>
    <s v="Guwahati"/>
    <s v="Distributor"/>
    <s v="Kavita Nair"/>
    <s v="ABC Corp"/>
    <x v="1"/>
    <s v="Conference Table"/>
    <n v="18"/>
    <n v="35775.5"/>
    <n v="643959"/>
    <n v="99076.160000000003"/>
    <n v="0"/>
    <n v="544882.84"/>
    <s v="Cancelled"/>
    <s v="Pending"/>
  </r>
  <r>
    <s v="INV-2026-01524"/>
    <x v="61"/>
    <s v="West"/>
    <s v="Mumbai"/>
    <s v="Online"/>
    <s v="Kavita Nair"/>
    <s v="Digital Hub"/>
    <x v="3"/>
    <s v="Smart Watch"/>
    <n v="45"/>
    <n v="17385.61"/>
    <n v="782352.45"/>
    <n v="20305.64"/>
    <n v="0"/>
    <n v="762046.81"/>
    <s v="Completed"/>
    <s v="Paid"/>
  </r>
  <r>
    <s v="INV-2026-01525"/>
    <x v="48"/>
    <s v="South"/>
    <s v="Bangalore"/>
    <s v="Online"/>
    <s v="Sneha Reddy"/>
    <s v="Prime Retail"/>
    <x v="1"/>
    <s v="Bookshelf"/>
    <n v="29"/>
    <n v="33294.29"/>
    <n v="965534.41"/>
    <n v="116406.49"/>
    <n v="0"/>
    <n v="849127.92"/>
    <s v="Cancelled"/>
    <s v="Pending"/>
  </r>
  <r>
    <s v="INV-2026-01526"/>
    <x v="48"/>
    <s v="North"/>
    <s v="Delhi"/>
    <s v="Distributor"/>
    <s v="Vijay Singh"/>
    <s v="ABC Corp"/>
    <x v="5"/>
    <s v="Refrigerator"/>
    <n v="21"/>
    <n v="21447.61"/>
    <n v="450399.81"/>
    <n v="0"/>
    <n v="0"/>
    <n v="450399.81"/>
    <s v="Cancelled"/>
    <s v="Pending"/>
  </r>
  <r>
    <s v="INV-2026-01527"/>
    <x v="4"/>
    <s v="Central"/>
    <s v="Nagpur"/>
    <s v="Retail Store"/>
    <s v="Sneha Reddy"/>
    <s v="Global Traders"/>
    <x v="0"/>
    <s v="Pen Set"/>
    <n v="20"/>
    <n v="10969.61"/>
    <n v="219392.2"/>
    <n v="17531.18"/>
    <n v="0"/>
    <n v="201861.02"/>
    <s v="Processing"/>
    <s v="Pending"/>
  </r>
  <r>
    <s v="INV-2026-01528"/>
    <x v="48"/>
    <s v="East"/>
    <s v="Bhubaneswar"/>
    <s v="Direct Sales"/>
    <s v="Amit Kumar"/>
    <s v="Skyline Corp"/>
    <x v="4"/>
    <s v="Shoes"/>
    <n v="50"/>
    <n v="8607.17"/>
    <n v="430358.5"/>
    <n v="0"/>
    <n v="0"/>
    <n v="430358.5"/>
    <s v="Processing"/>
    <s v="Pending"/>
  </r>
  <r>
    <s v="INV-2026-01529"/>
    <x v="45"/>
    <s v="Central"/>
    <s v="Raipur"/>
    <s v="Online"/>
    <s v="Priya Patel"/>
    <s v="Elite Enterprises"/>
    <x v="4"/>
    <s v="Shoes"/>
    <n v="15"/>
    <n v="16034.56"/>
    <n v="240518.39999999999"/>
    <n v="0"/>
    <n v="0"/>
    <n v="240518.39999999999"/>
    <s v="Processing"/>
    <s v="Pending"/>
  </r>
  <r>
    <s v="INV-2026-01530"/>
    <x v="49"/>
    <s v="Central"/>
    <s v="Indore"/>
    <s v="Distributor"/>
    <s v="Amit Kumar"/>
    <s v="XYZ Ltd"/>
    <x v="3"/>
    <s v="Tablet"/>
    <n v="31"/>
    <n v="46055.24"/>
    <n v="1427712.44"/>
    <n v="0"/>
    <n v="0"/>
    <n v="1427712.44"/>
    <s v="Cancelled"/>
    <s v="Pending"/>
  </r>
  <r>
    <s v="INV-2026-01531"/>
    <x v="82"/>
    <s v="West"/>
    <s v="Ahmedabad"/>
    <s v="Distributor"/>
    <s v="Rahul Sharma"/>
    <s v="Metro Mart"/>
    <x v="1"/>
    <s v="Desk"/>
    <n v="31"/>
    <n v="48400.73"/>
    <n v="1500422.63"/>
    <n v="47588.71"/>
    <n v="0"/>
    <n v="1452833.92"/>
    <s v="Completed"/>
    <s v="Paid"/>
  </r>
  <r>
    <s v="INV-2026-01532"/>
    <x v="38"/>
    <s v="North"/>
    <s v="Lucknow"/>
    <s v="Distributor"/>
    <s v="Vijay Singh"/>
    <s v="Prime Retail"/>
    <x v="3"/>
    <s v="Camera"/>
    <n v="9"/>
    <n v="44156.34"/>
    <n v="397407.06"/>
    <n v="32840.44"/>
    <n v="0"/>
    <n v="364566.62"/>
    <s v="Pending"/>
    <s v="Pending"/>
  </r>
  <r>
    <s v="INV-2026-01533"/>
    <x v="74"/>
    <s v="South"/>
    <s v="Chennai"/>
    <s v="Online"/>
    <s v="Anita Desai"/>
    <s v="Nexus Ltd"/>
    <x v="4"/>
    <s v="Dress"/>
    <n v="12"/>
    <n v="19000.759999999998"/>
    <n v="228009.12"/>
    <n v="45389.3"/>
    <n v="0"/>
    <n v="182619.82"/>
    <s v="Cancelled"/>
    <s v="Pending"/>
  </r>
  <r>
    <s v="INV-2026-01534"/>
    <x v="36"/>
    <s v="West"/>
    <s v="Surat"/>
    <s v="Online"/>
    <s v="Vijay Singh"/>
    <s v="Future Tech"/>
    <x v="3"/>
    <s v="Smart Watch"/>
    <n v="7"/>
    <n v="26496.560000000001"/>
    <n v="185475.92"/>
    <n v="30548.84"/>
    <n v="0"/>
    <n v="154927.07999999999"/>
    <s v="Pending"/>
    <s v="Pending"/>
  </r>
  <r>
    <s v="INV-2026-01535"/>
    <x v="88"/>
    <s v="North"/>
    <s v="Chandigarh"/>
    <s v="Online"/>
    <s v="Vijay Singh"/>
    <s v="Skyline Corp"/>
    <x v="2"/>
    <s v="Bicycle"/>
    <n v="5"/>
    <n v="5516.96"/>
    <n v="27584.799999999999"/>
    <n v="0"/>
    <n v="0"/>
    <n v="27584.799999999999"/>
    <s v="Pending"/>
    <s v="Paid"/>
  </r>
  <r>
    <s v="INV-2026-01536"/>
    <x v="73"/>
    <s v="Central"/>
    <s v="Bhopal"/>
    <s v="Online"/>
    <s v="Suresh Gupta"/>
    <s v="Metro Mart"/>
    <x v="2"/>
    <s v="Bicycle"/>
    <n v="29"/>
    <n v="44676.75"/>
    <n v="1295625.75"/>
    <n v="0"/>
    <n v="0"/>
    <n v="1295625.75"/>
    <s v="Processing"/>
    <s v="Pending"/>
  </r>
  <r>
    <s v="INV-2026-01537"/>
    <x v="5"/>
    <s v="West"/>
    <s v="Ahmedabad"/>
    <s v="Online"/>
    <s v="Sneha Reddy"/>
    <s v="XYZ Ltd"/>
    <x v="2"/>
    <s v="Gym Equipment"/>
    <n v="10"/>
    <n v="30261.360000000001"/>
    <n v="302613.59999999998"/>
    <n v="0"/>
    <n v="0"/>
    <n v="302613.59999999998"/>
    <s v="Completed"/>
    <s v="Overdue"/>
  </r>
  <r>
    <s v="INV-2026-01538"/>
    <x v="5"/>
    <s v="South"/>
    <s v="Chennai"/>
    <s v="Online"/>
    <s v="Suresh Gupta"/>
    <s v="Elite Enterprises"/>
    <x v="2"/>
    <s v="Yoga Mat"/>
    <n v="12"/>
    <n v="49030.11"/>
    <n v="588361.31999999995"/>
    <n v="27752.65"/>
    <n v="0"/>
    <n v="560608.67000000004"/>
    <s v="Processing"/>
    <s v="Pending"/>
  </r>
  <r>
    <s v="INV-2026-01539"/>
    <x v="49"/>
    <s v="North"/>
    <s v="Chandigarh"/>
    <s v="Distributor"/>
    <s v="Kavita Nair"/>
    <s v="Global Traders"/>
    <x v="3"/>
    <s v="Tablet"/>
    <n v="13"/>
    <n v="32013.33"/>
    <n v="416173.29"/>
    <n v="0"/>
    <n v="0"/>
    <n v="416173.29"/>
    <s v="Cancelled"/>
    <s v="Pending"/>
  </r>
  <r>
    <s v="INV-2026-01540"/>
    <x v="72"/>
    <s v="Central"/>
    <s v="Indore"/>
    <s v="Online"/>
    <s v="Meera Joshi"/>
    <s v="Skyline Corp"/>
    <x v="2"/>
    <s v="Tennis Racket"/>
    <n v="6"/>
    <n v="6656.76"/>
    <n v="39940.559999999998"/>
    <n v="0"/>
    <n v="0"/>
    <n v="39940.559999999998"/>
    <s v="Cancelled"/>
    <s v="Pending"/>
  </r>
  <r>
    <s v="INV-2026-01541"/>
    <x v="1"/>
    <s v="South"/>
    <s v="Bangalore"/>
    <s v="Direct Sales"/>
    <s v="Rajesh Verma"/>
    <s v="ABC Corp"/>
    <x v="0"/>
    <s v="Desk Organizer"/>
    <n v="22"/>
    <n v="28463.97"/>
    <n v="626207.34"/>
    <n v="0"/>
    <n v="158068.21"/>
    <n v="468139.13"/>
    <s v="Processing"/>
    <s v="Pending"/>
  </r>
  <r>
    <s v="INV-2026-01542"/>
    <x v="35"/>
    <s v="West"/>
    <s v="Mumbai"/>
    <s v="Direct Sales"/>
    <s v="Priya Patel"/>
    <s v="Smart Systems"/>
    <x v="2"/>
    <s v="Tennis Racket"/>
    <n v="36"/>
    <n v="20119.830000000002"/>
    <n v="724313.88"/>
    <n v="115.24"/>
    <n v="0"/>
    <n v="724198.64"/>
    <s v="Cancelled"/>
    <s v="Pending"/>
  </r>
  <r>
    <s v="INV-2026-01543"/>
    <x v="58"/>
    <s v="South"/>
    <s v="Hyderabad"/>
    <s v="Online"/>
    <s v="Anita Desai"/>
    <s v="Urban Store"/>
    <x v="2"/>
    <s v="Yoga Mat"/>
    <n v="6"/>
    <n v="15162.23"/>
    <n v="90973.38"/>
    <n v="5781.6"/>
    <n v="0"/>
    <n v="85191.78"/>
    <s v="Cancelled"/>
    <s v="Pending"/>
  </r>
  <r>
    <s v="INV-2026-01544"/>
    <x v="80"/>
    <s v="West"/>
    <s v="Surat"/>
    <s v="Retail Store"/>
    <s v="Sneha Reddy"/>
    <s v="Prime Retail"/>
    <x v="3"/>
    <s v="Tablet"/>
    <n v="22"/>
    <n v="35408.51"/>
    <n v="778987.22"/>
    <n v="55304.26"/>
    <n v="60551.15"/>
    <n v="663131.81000000006"/>
    <s v="Completed"/>
    <s v="Paid"/>
  </r>
  <r>
    <s v="INV-2026-01545"/>
    <x v="60"/>
    <s v="South"/>
    <s v="Chennai"/>
    <s v="Direct Sales"/>
    <s v="Amit Kumar"/>
    <s v="XYZ Ltd"/>
    <x v="3"/>
    <s v="Laptop"/>
    <n v="9"/>
    <n v="10402.77"/>
    <n v="93624.93"/>
    <n v="10793.16"/>
    <n v="0"/>
    <n v="82831.77"/>
    <s v="Processing"/>
    <s v="Pending"/>
  </r>
  <r>
    <s v="INV-2026-01546"/>
    <x v="81"/>
    <s v="West"/>
    <s v="Mumbai"/>
    <s v="Distributor"/>
    <s v="Sneha Reddy"/>
    <s v="Urban Store"/>
    <x v="4"/>
    <s v="Shoes"/>
    <n v="45"/>
    <n v="9474.15"/>
    <n v="426336.75"/>
    <n v="22810.79"/>
    <n v="0"/>
    <n v="403525.96"/>
    <s v="Pending"/>
    <s v="Paid"/>
  </r>
  <r>
    <s v="INV-2026-01547"/>
    <x v="79"/>
    <s v="West"/>
    <s v="Surat"/>
    <s v="Retail Store"/>
    <s v="Kavita Nair"/>
    <s v="ABC Corp"/>
    <x v="0"/>
    <s v="Whiteboard"/>
    <n v="21"/>
    <n v="3490.26"/>
    <n v="73295.460000000006"/>
    <n v="4177.66"/>
    <n v="0"/>
    <n v="69117.8"/>
    <s v="Pending"/>
    <s v="Pending"/>
  </r>
  <r>
    <s v="INV-2026-01548"/>
    <x v="70"/>
    <s v="South"/>
    <s v="Bangalore"/>
    <s v="Distributor"/>
    <s v="Amit Kumar"/>
    <s v="ABC Corp"/>
    <x v="2"/>
    <s v="Gym Equipment"/>
    <n v="2"/>
    <n v="19969.61"/>
    <n v="39939.22"/>
    <n v="4569.29"/>
    <n v="0"/>
    <n v="35369.93"/>
    <s v="Processing"/>
    <s v="Paid"/>
  </r>
  <r>
    <s v="INV-2026-01549"/>
    <x v="46"/>
    <s v="West"/>
    <s v="Surat"/>
    <s v="Distributor"/>
    <s v="Amit Kumar"/>
    <s v="Omega Stores"/>
    <x v="2"/>
    <s v="Cricket Bat"/>
    <n v="23"/>
    <n v="11849.71"/>
    <n v="272543.33"/>
    <n v="52589.760000000002"/>
    <n v="0"/>
    <n v="219953.57"/>
    <s v="Completed"/>
    <s v="Paid"/>
  </r>
  <r>
    <s v="INV-2026-01550"/>
    <x v="5"/>
    <s v="East"/>
    <s v="Bhubaneswar"/>
    <s v="Retail Store"/>
    <s v="Amit Kumar"/>
    <s v="Elite Enterprises"/>
    <x v="2"/>
    <s v="Gym Equipment"/>
    <n v="6"/>
    <n v="49525.89"/>
    <n v="297155.34000000003"/>
    <n v="0"/>
    <n v="0"/>
    <n v="297155.34000000003"/>
    <s v="Completed"/>
    <s v="Paid"/>
  </r>
  <r>
    <s v="INV-2026-01551"/>
    <x v="51"/>
    <s v="South"/>
    <s v="Hyderabad"/>
    <s v="Online"/>
    <s v="Priya Patel"/>
    <s v="XYZ Ltd"/>
    <x v="5"/>
    <s v="TV"/>
    <n v="31"/>
    <n v="22521.040000000001"/>
    <n v="698152.24"/>
    <n v="25296.61"/>
    <n v="0"/>
    <n v="672855.63"/>
    <s v="Pending"/>
    <s v="Pending"/>
  </r>
  <r>
    <s v="INV-2026-01552"/>
    <x v="18"/>
    <s v="East"/>
    <s v="Guwahati"/>
    <s v="Retail Store"/>
    <s v="Vijay Singh"/>
    <s v="Global Traders"/>
    <x v="2"/>
    <s v="Cricket Bat"/>
    <n v="14"/>
    <n v="571.66"/>
    <n v="8003.24"/>
    <n v="556.66999999999996"/>
    <n v="1690.21"/>
    <n v="5756.36"/>
    <s v="Processing"/>
    <s v="Pending"/>
  </r>
  <r>
    <s v="INV-2026-01553"/>
    <x v="47"/>
    <s v="Central"/>
    <s v="Raipur"/>
    <s v="Direct Sales"/>
    <s v="Rajesh Verma"/>
    <s v="Alpha Trading"/>
    <x v="3"/>
    <s v="Laptop"/>
    <n v="9"/>
    <n v="6459.8"/>
    <n v="58138.2"/>
    <n v="9778.67"/>
    <n v="0"/>
    <n v="48359.53"/>
    <s v="Pending"/>
    <s v="Pending"/>
  </r>
  <r>
    <s v="INV-2026-01554"/>
    <x v="83"/>
    <s v="South"/>
    <s v="Bangalore"/>
    <s v="Online"/>
    <s v="Suresh Gupta"/>
    <s v="ABC Corp"/>
    <x v="2"/>
    <s v="Tennis Racket"/>
    <n v="3"/>
    <n v="11858.28"/>
    <n v="35574.839999999997"/>
    <n v="4251.16"/>
    <n v="5588.15"/>
    <n v="25735.53"/>
    <s v="Cancelled"/>
    <s v="Pending"/>
  </r>
  <r>
    <s v="INV-2026-01555"/>
    <x v="72"/>
    <s v="West"/>
    <s v="Mumbai"/>
    <s v="Direct Sales"/>
    <s v="Meera Joshi"/>
    <s v="Future Tech"/>
    <x v="0"/>
    <s v="Desk Organizer"/>
    <n v="33"/>
    <n v="38588.400000000001"/>
    <n v="1273417.2"/>
    <n v="207010.71"/>
    <n v="0"/>
    <n v="1066406.49"/>
    <s v="Completed"/>
    <s v="Paid"/>
  </r>
  <r>
    <s v="INV-2026-01556"/>
    <x v="45"/>
    <s v="Central"/>
    <s v="Raipur"/>
    <s v="Retail Store"/>
    <s v="Rajesh Verma"/>
    <s v="Tech Solutions"/>
    <x v="3"/>
    <s v="Camera"/>
    <n v="30"/>
    <n v="9186.16"/>
    <n v="275584.8"/>
    <n v="53469.59"/>
    <n v="0"/>
    <n v="222115.21"/>
    <s v="Processing"/>
    <s v="Pending"/>
  </r>
  <r>
    <s v="INV-2026-01557"/>
    <x v="69"/>
    <s v="South"/>
    <s v="Kochi"/>
    <s v="Retail Store"/>
    <s v="Sneha Reddy"/>
    <s v="Nexus Ltd"/>
    <x v="5"/>
    <s v="TV"/>
    <n v="27"/>
    <n v="4681.08"/>
    <n v="126389.16"/>
    <n v="16329.92"/>
    <n v="0"/>
    <n v="110059.24"/>
    <s v="Cancelled"/>
    <s v="Pending"/>
  </r>
  <r>
    <s v="INV-2026-01558"/>
    <x v="41"/>
    <s v="South"/>
    <s v="Bangalore"/>
    <s v="Retail Store"/>
    <s v="Rajesh Verma"/>
    <s v="Alpha Trading"/>
    <x v="1"/>
    <s v="Office Chair"/>
    <n v="48"/>
    <n v="8810.66"/>
    <n v="422911.68"/>
    <n v="0"/>
    <n v="0"/>
    <n v="422911.68"/>
    <s v="Pending"/>
    <s v="Pending"/>
  </r>
  <r>
    <s v="INV-2026-01559"/>
    <x v="17"/>
    <s v="North"/>
    <s v="Chandigarh"/>
    <s v="Retail Store"/>
    <s v="Vijay Singh"/>
    <s v="Smart Systems"/>
    <x v="1"/>
    <s v="Conference Table"/>
    <n v="11"/>
    <n v="19532.82"/>
    <n v="214861.02"/>
    <n v="25501.47"/>
    <n v="0"/>
    <n v="189359.55"/>
    <s v="Completed"/>
    <s v="Paid"/>
  </r>
  <r>
    <s v="INV-2026-01560"/>
    <x v="27"/>
    <s v="South"/>
    <s v="Bangalore"/>
    <s v="Distributor"/>
    <s v="Meera Joshi"/>
    <s v="Global Traders"/>
    <x v="4"/>
    <s v="Jacket"/>
    <n v="39"/>
    <n v="30864.41"/>
    <n v="1203711.99"/>
    <n v="0"/>
    <n v="0"/>
    <n v="1203711.99"/>
    <s v="Processing"/>
    <s v="Paid"/>
  </r>
  <r>
    <s v="INV-2026-01561"/>
    <x v="60"/>
    <s v="South"/>
    <s v="Hyderabad"/>
    <s v="Online"/>
    <s v="Vijay Singh"/>
    <s v="Digital Hub"/>
    <x v="3"/>
    <s v="Smartphone"/>
    <n v="7"/>
    <n v="17111.75"/>
    <n v="119782.25"/>
    <n v="9520.4599999999991"/>
    <n v="0"/>
    <n v="110261.79"/>
    <s v="Completed"/>
    <s v="Paid"/>
  </r>
  <r>
    <s v="INV-2026-01562"/>
    <x v="87"/>
    <s v="North"/>
    <s v="Chandigarh"/>
    <s v="Distributor"/>
    <s v="Rajesh Verma"/>
    <s v="Nexus Ltd"/>
    <x v="0"/>
    <s v="Whiteboard"/>
    <n v="9"/>
    <n v="44632.27"/>
    <n v="401690.43"/>
    <n v="0"/>
    <n v="0"/>
    <n v="401690.43"/>
    <s v="Cancelled"/>
    <s v="Pending"/>
  </r>
  <r>
    <s v="INV-2026-01563"/>
    <x v="1"/>
    <s v="South"/>
    <s v="Kochi"/>
    <s v="Online"/>
    <s v="Suresh Gupta"/>
    <s v="Metro Mart"/>
    <x v="4"/>
    <s v="T-Shirt"/>
    <n v="6"/>
    <n v="21390.04"/>
    <n v="128340.24"/>
    <n v="0"/>
    <n v="0"/>
    <n v="128340.24"/>
    <s v="Pending"/>
    <s v="Pending"/>
  </r>
  <r>
    <s v="INV-2026-01564"/>
    <x v="47"/>
    <s v="Central"/>
    <s v="Bhopal"/>
    <s v="Online"/>
    <s v="Priya Patel"/>
    <s v="Global Traders"/>
    <x v="0"/>
    <s v="File Folder"/>
    <n v="29"/>
    <n v="39941.910000000003"/>
    <n v="1158315.3899999999"/>
    <n v="0"/>
    <n v="0"/>
    <n v="1158315.3899999999"/>
    <s v="Processing"/>
    <s v="Paid"/>
  </r>
  <r>
    <s v="INV-2026-01565"/>
    <x v="72"/>
    <s v="West"/>
    <s v="Ahmedabad"/>
    <s v="Direct Sales"/>
    <s v="Meera Joshi"/>
    <s v="Global Traders"/>
    <x v="3"/>
    <s v="Laptop"/>
    <n v="19"/>
    <n v="36624.35"/>
    <n v="695862.65"/>
    <n v="70023.350000000006"/>
    <n v="0"/>
    <n v="625839.30000000005"/>
    <s v="Pending"/>
    <s v="Paid"/>
  </r>
  <r>
    <s v="INV-2026-01566"/>
    <x v="74"/>
    <s v="Central"/>
    <s v="Bhopal"/>
    <s v="Distributor"/>
    <s v="Kavita Nair"/>
    <s v="Smart Systems"/>
    <x v="0"/>
    <s v="Whiteboard"/>
    <n v="23"/>
    <n v="13817.9"/>
    <n v="317811.7"/>
    <n v="0"/>
    <n v="0"/>
    <n v="317811.7"/>
    <s v="Processing"/>
    <s v="Paid"/>
  </r>
  <r>
    <s v="INV-2026-01567"/>
    <x v="67"/>
    <s v="Central"/>
    <s v="Indore"/>
    <s v="Online"/>
    <s v="Meera Joshi"/>
    <s v="Urban Store"/>
    <x v="2"/>
    <s v="Bicycle"/>
    <n v="14"/>
    <n v="9308.43"/>
    <n v="130318.02"/>
    <n v="2869.47"/>
    <n v="13275.11"/>
    <n v="114173.44"/>
    <s v="Completed"/>
    <s v="Paid"/>
  </r>
  <r>
    <s v="INV-2026-01568"/>
    <x v="6"/>
    <s v="West"/>
    <s v="Mumbai"/>
    <s v="Direct Sales"/>
    <s v="Suresh Gupta"/>
    <s v="XYZ Ltd"/>
    <x v="2"/>
    <s v="Gym Equipment"/>
    <n v="42"/>
    <n v="41469.47"/>
    <n v="1741717.74"/>
    <n v="0"/>
    <n v="0"/>
    <n v="1741717.74"/>
    <s v="Pending"/>
    <s v="Pending"/>
  </r>
  <r>
    <s v="INV-2026-01569"/>
    <x v="49"/>
    <s v="East"/>
    <s v="Guwahati"/>
    <s v="Online"/>
    <s v="Rahul Sharma"/>
    <s v="Metro Mart"/>
    <x v="4"/>
    <s v="Formal Shirt"/>
    <n v="8"/>
    <n v="32101.35"/>
    <n v="256810.8"/>
    <n v="46943.55"/>
    <n v="0"/>
    <n v="209867.25"/>
    <s v="Pending"/>
    <s v="Paid"/>
  </r>
  <r>
    <s v="INV-2026-01570"/>
    <x v="29"/>
    <s v="North"/>
    <s v="Chandigarh"/>
    <s v="Direct Sales"/>
    <s v="Priya Patel"/>
    <s v="Skyline Corp"/>
    <x v="5"/>
    <s v="Air Conditioner"/>
    <n v="27"/>
    <n v="620.76"/>
    <n v="16760.52"/>
    <n v="0"/>
    <n v="0"/>
    <n v="16760.52"/>
    <s v="Pending"/>
    <s v="Pending"/>
  </r>
  <r>
    <s v="INV-2026-01571"/>
    <x v="73"/>
    <s v="East"/>
    <s v="Kolkata"/>
    <s v="Distributor"/>
    <s v="Priya Patel"/>
    <s v="Digital Hub"/>
    <x v="5"/>
    <s v="Refrigerator"/>
    <n v="49"/>
    <n v="4540.7"/>
    <n v="222494.3"/>
    <n v="0"/>
    <n v="0"/>
    <n v="222494.3"/>
    <s v="Processing"/>
    <s v="Paid"/>
  </r>
  <r>
    <s v="INV-2026-01572"/>
    <x v="71"/>
    <s v="North"/>
    <s v="Delhi"/>
    <s v="Direct Sales"/>
    <s v="Priya Patel"/>
    <s v="Alpha Trading"/>
    <x v="1"/>
    <s v="Desk"/>
    <n v="46"/>
    <n v="7029.3"/>
    <n v="323347.8"/>
    <n v="37109.9"/>
    <n v="31543.69"/>
    <n v="254694.21"/>
    <s v="Completed"/>
    <s v="Paid"/>
  </r>
  <r>
    <s v="INV-2026-01573"/>
    <x v="79"/>
    <s v="Central"/>
    <s v="Nagpur"/>
    <s v="Retail Store"/>
    <s v="Amit Kumar"/>
    <s v="Metro Mart"/>
    <x v="4"/>
    <s v="T-Shirt"/>
    <n v="44"/>
    <n v="835.96"/>
    <n v="36782.239999999998"/>
    <n v="7176.96"/>
    <n v="0"/>
    <n v="29605.279999999999"/>
    <s v="Cancelled"/>
    <s v="Pending"/>
  </r>
  <r>
    <s v="INV-2026-01574"/>
    <x v="65"/>
    <s v="South"/>
    <s v="Chennai"/>
    <s v="Distributor"/>
    <s v="Kavita Nair"/>
    <s v="Urban Store"/>
    <x v="5"/>
    <s v="Microwave"/>
    <n v="16"/>
    <n v="11664.64"/>
    <n v="186634.23999999999"/>
    <n v="22975.91"/>
    <n v="0"/>
    <n v="163658.32999999999"/>
    <s v="Pending"/>
    <s v="Paid"/>
  </r>
  <r>
    <s v="INV-2026-01575"/>
    <x v="77"/>
    <s v="West"/>
    <s v="Ahmedabad"/>
    <s v="Distributor"/>
    <s v="Vijay Singh"/>
    <s v="Elite Enterprises"/>
    <x v="3"/>
    <s v="Camera"/>
    <n v="13"/>
    <n v="41171.39"/>
    <n v="535228.06999999995"/>
    <n v="19654.830000000002"/>
    <n v="0"/>
    <n v="515573.24"/>
    <s v="Cancelled"/>
    <s v="Pending"/>
  </r>
  <r>
    <s v="INV-2026-01576"/>
    <x v="5"/>
    <s v="South"/>
    <s v="Bangalore"/>
    <s v="Retail Store"/>
    <s v="Sneha Reddy"/>
    <s v="Prime Retail"/>
    <x v="3"/>
    <s v="Tablet"/>
    <n v="24"/>
    <n v="41566.61"/>
    <n v="997598.64"/>
    <n v="90785.22"/>
    <n v="0"/>
    <n v="906813.42"/>
    <s v="Completed"/>
    <s v="Paid"/>
  </r>
  <r>
    <s v="INV-2026-01577"/>
    <x v="41"/>
    <s v="West"/>
    <s v="Mumbai"/>
    <s v="Online"/>
    <s v="Sneha Reddy"/>
    <s v="Future Tech"/>
    <x v="1"/>
    <s v="Conference Table"/>
    <n v="40"/>
    <n v="32384.17"/>
    <n v="1295366.8"/>
    <n v="45086.07"/>
    <n v="0"/>
    <n v="1250280.73"/>
    <s v="Pending"/>
    <s v="Paid"/>
  </r>
  <r>
    <s v="INV-2026-01578"/>
    <x v="74"/>
    <s v="East"/>
    <s v="Bhubaneswar"/>
    <s v="Direct Sales"/>
    <s v="Anita Desai"/>
    <s v="ABC Corp"/>
    <x v="1"/>
    <s v="Bookshelf"/>
    <n v="49"/>
    <n v="39804.01"/>
    <n v="1950396.49"/>
    <n v="0"/>
    <n v="0"/>
    <n v="1950396.49"/>
    <s v="Completed"/>
    <s v="Paid"/>
  </r>
  <r>
    <s v="INV-2026-01579"/>
    <x v="3"/>
    <s v="Central"/>
    <s v="Raipur"/>
    <s v="Retail Store"/>
    <s v="Rajesh Verma"/>
    <s v="XYZ Ltd"/>
    <x v="1"/>
    <s v="Office Chair"/>
    <n v="36"/>
    <n v="24228.71"/>
    <n v="872233.56"/>
    <n v="75010.509999999995"/>
    <n v="0"/>
    <n v="797223.05"/>
    <s v="Completed"/>
    <s v="Paid"/>
  </r>
  <r>
    <s v="INV-2026-01580"/>
    <x v="49"/>
    <s v="West"/>
    <s v="Mumbai"/>
    <s v="Retail Store"/>
    <s v="Rahul Sharma"/>
    <s v="Metro Mart"/>
    <x v="3"/>
    <s v="Laptop"/>
    <n v="28"/>
    <n v="27692.560000000001"/>
    <n v="775391.68"/>
    <n v="67828.28"/>
    <n v="0"/>
    <n v="707563.4"/>
    <s v="Cancelled"/>
    <s v="Pending"/>
  </r>
  <r>
    <s v="INV-2026-01581"/>
    <x v="29"/>
    <s v="North"/>
    <s v="Jaipur"/>
    <s v="Online"/>
    <s v="Priya Patel"/>
    <s v="Global Traders"/>
    <x v="5"/>
    <s v="Air Conditioner"/>
    <n v="35"/>
    <n v="25336.34"/>
    <n v="886771.9"/>
    <n v="74028.3"/>
    <n v="0"/>
    <n v="812743.6"/>
    <s v="Completed"/>
    <s v="Paid"/>
  </r>
  <r>
    <s v="INV-2026-01582"/>
    <x v="33"/>
    <s v="South"/>
    <s v="Kochi"/>
    <s v="Retail Store"/>
    <s v="Anita Desai"/>
    <s v="Nexus Ltd"/>
    <x v="0"/>
    <s v="File Folder"/>
    <n v="37"/>
    <n v="915.08"/>
    <n v="33857.96"/>
    <n v="24.48"/>
    <n v="0"/>
    <n v="33833.480000000003"/>
    <s v="Pending"/>
    <s v="Paid"/>
  </r>
  <r>
    <s v="INV-2026-01583"/>
    <x v="25"/>
    <s v="Central"/>
    <s v="Bhopal"/>
    <s v="Retail Store"/>
    <s v="Priya Patel"/>
    <s v="XYZ Ltd"/>
    <x v="2"/>
    <s v="Gym Equipment"/>
    <n v="23"/>
    <n v="23599.47"/>
    <n v="542787.81000000006"/>
    <n v="33623.879999999997"/>
    <n v="0"/>
    <n v="509163.93"/>
    <s v="Pending"/>
    <s v="Paid"/>
  </r>
  <r>
    <s v="INV-2026-01584"/>
    <x v="86"/>
    <s v="South"/>
    <s v="Bangalore"/>
    <s v="Direct Sales"/>
    <s v="Meera Joshi"/>
    <s v="Global Traders"/>
    <x v="1"/>
    <s v="Conference Table"/>
    <n v="44"/>
    <n v="20898.66"/>
    <n v="919541.04"/>
    <n v="0"/>
    <n v="0"/>
    <n v="919541.04"/>
    <s v="Processing"/>
    <s v="Pending"/>
  </r>
  <r>
    <s v="INV-2026-01585"/>
    <x v="90"/>
    <s v="Central"/>
    <s v="Bhopal"/>
    <s v="Distributor"/>
    <s v="Meera Joshi"/>
    <s v="Omega Stores"/>
    <x v="3"/>
    <s v="Tablet"/>
    <n v="25"/>
    <n v="48147.44"/>
    <n v="1203686"/>
    <n v="0"/>
    <n v="0"/>
    <n v="1203686"/>
    <s v="Pending"/>
    <s v="Pending"/>
  </r>
  <r>
    <s v="INV-2026-01586"/>
    <x v="89"/>
    <s v="North"/>
    <s v="Jaipur"/>
    <s v="Retail Store"/>
    <s v="Anita Desai"/>
    <s v="Global Traders"/>
    <x v="3"/>
    <s v="Headphones"/>
    <n v="16"/>
    <n v="18855.37"/>
    <n v="301685.92"/>
    <n v="0"/>
    <n v="0"/>
    <n v="301685.92"/>
    <s v="Pending"/>
    <s v="Paid"/>
  </r>
  <r>
    <s v="INV-2026-01587"/>
    <x v="23"/>
    <s v="South"/>
    <s v="Bangalore"/>
    <s v="Online"/>
    <s v="Anita Desai"/>
    <s v="Digital Hub"/>
    <x v="2"/>
    <s v="Bicycle"/>
    <n v="47"/>
    <n v="26110.77"/>
    <n v="1227206.19"/>
    <n v="47478.39"/>
    <n v="0"/>
    <n v="1179727.8"/>
    <s v="Processing"/>
    <s v="Pending"/>
  </r>
  <r>
    <s v="INV-2026-01588"/>
    <x v="45"/>
    <s v="East"/>
    <s v="Guwahati"/>
    <s v="Online"/>
    <s v="Amit Kumar"/>
    <s v="Omega Stores"/>
    <x v="2"/>
    <s v="Football"/>
    <n v="48"/>
    <n v="26121.29"/>
    <n v="1253821.92"/>
    <n v="41215.1"/>
    <n v="0"/>
    <n v="1212606.82"/>
    <s v="Completed"/>
    <s v="Paid"/>
  </r>
  <r>
    <s v="INV-2026-01589"/>
    <x v="46"/>
    <s v="East"/>
    <s v="Bhubaneswar"/>
    <s v="Direct Sales"/>
    <s v="Suresh Gupta"/>
    <s v="Alpha Trading"/>
    <x v="4"/>
    <s v="Dress"/>
    <n v="1"/>
    <n v="26211.87"/>
    <n v="26211.87"/>
    <n v="0"/>
    <n v="0"/>
    <n v="26211.87"/>
    <s v="Pending"/>
    <s v="Pending"/>
  </r>
  <r>
    <s v="INV-2026-01590"/>
    <x v="3"/>
    <s v="Central"/>
    <s v="Raipur"/>
    <s v="Direct Sales"/>
    <s v="Priya Patel"/>
    <s v="ABC Corp"/>
    <x v="4"/>
    <s v="Jeans"/>
    <n v="46"/>
    <n v="2899.31"/>
    <n v="133368.26"/>
    <n v="20009.580000000002"/>
    <n v="0"/>
    <n v="113358.68"/>
    <s v="Cancelled"/>
    <s v="Pending"/>
  </r>
  <r>
    <s v="INV-2026-01591"/>
    <x v="6"/>
    <s v="West"/>
    <s v="Surat"/>
    <s v="Retail Store"/>
    <s v="Rajesh Verma"/>
    <s v="Nexus Ltd"/>
    <x v="5"/>
    <s v="Washing Machine"/>
    <n v="11"/>
    <n v="30989.61"/>
    <n v="340885.71"/>
    <n v="5503.69"/>
    <n v="0"/>
    <n v="335382.02"/>
    <s v="Pending"/>
    <s v="Paid"/>
  </r>
  <r>
    <s v="INV-2026-01592"/>
    <x v="35"/>
    <s v="Central"/>
    <s v="Nagpur"/>
    <s v="Retail Store"/>
    <s v="Kavita Nair"/>
    <s v="Prime Retail"/>
    <x v="1"/>
    <s v="Bookshelf"/>
    <n v="50"/>
    <n v="21856.51"/>
    <n v="1092825.5"/>
    <n v="0"/>
    <n v="0"/>
    <n v="1092825.5"/>
    <s v="Processing"/>
    <s v="Pending"/>
  </r>
  <r>
    <s v="INV-2026-01593"/>
    <x v="23"/>
    <s v="South"/>
    <s v="Chennai"/>
    <s v="Retail Store"/>
    <s v="Rajesh Verma"/>
    <s v="Global Traders"/>
    <x v="1"/>
    <s v="Office Chair"/>
    <n v="26"/>
    <n v="5647.38"/>
    <n v="146831.88"/>
    <n v="14897.12"/>
    <n v="0"/>
    <n v="131934.76"/>
    <s v="Cancelled"/>
    <s v="Pending"/>
  </r>
  <r>
    <s v="INV-2026-01594"/>
    <x v="57"/>
    <s v="South"/>
    <s v="Chennai"/>
    <s v="Direct Sales"/>
    <s v="Vijay Singh"/>
    <s v="Digital Hub"/>
    <x v="0"/>
    <s v="Desk Organizer"/>
    <n v="38"/>
    <n v="40101.78"/>
    <n v="1523867.64"/>
    <n v="0"/>
    <n v="0"/>
    <n v="1523867.64"/>
    <s v="Cancelled"/>
    <s v="Pending"/>
  </r>
  <r>
    <s v="INV-2026-01595"/>
    <x v="85"/>
    <s v="North"/>
    <s v="Jaipur"/>
    <s v="Retail Store"/>
    <s v="Amit Kumar"/>
    <s v="XYZ Ltd"/>
    <x v="1"/>
    <s v="Conference Table"/>
    <n v="49"/>
    <n v="27651.37"/>
    <n v="1354917.13"/>
    <n v="0"/>
    <n v="328465.81"/>
    <n v="1026451.32"/>
    <s v="Completed"/>
    <s v="Paid"/>
  </r>
  <r>
    <s v="INV-2026-01596"/>
    <x v="47"/>
    <s v="North"/>
    <s v="Jaipur"/>
    <s v="Distributor"/>
    <s v="Suresh Gupta"/>
    <s v="Alpha Trading"/>
    <x v="5"/>
    <s v="Washing Machine"/>
    <n v="20"/>
    <n v="40540.769999999997"/>
    <n v="810815.4"/>
    <n v="0"/>
    <n v="0"/>
    <n v="810815.4"/>
    <s v="Processing"/>
    <s v="Pending"/>
  </r>
  <r>
    <s v="INV-2026-01597"/>
    <x v="31"/>
    <s v="South"/>
    <s v="Chennai"/>
    <s v="Distributor"/>
    <s v="Suresh Gupta"/>
    <s v="Urban Store"/>
    <x v="2"/>
    <s v="Cricket Bat"/>
    <n v="40"/>
    <n v="32359.73"/>
    <n v="1294389.2"/>
    <n v="0"/>
    <n v="0"/>
    <n v="1294389.2"/>
    <s v="Processing"/>
    <s v="Paid"/>
  </r>
  <r>
    <s v="INV-2026-01598"/>
    <x v="36"/>
    <s v="North"/>
    <s v="Lucknow"/>
    <s v="Distributor"/>
    <s v="Sneha Reddy"/>
    <s v="Metro Mart"/>
    <x v="0"/>
    <s v="Pen Set"/>
    <n v="15"/>
    <n v="47081.2"/>
    <n v="706218"/>
    <n v="30032.67"/>
    <n v="0"/>
    <n v="676185.33"/>
    <s v="Pending"/>
    <s v="Pending"/>
  </r>
  <r>
    <s v="INV-2026-01599"/>
    <x v="91"/>
    <s v="North"/>
    <s v="Jaipur"/>
    <s v="Online"/>
    <s v="Vijay Singh"/>
    <s v="Smart Systems"/>
    <x v="1"/>
    <s v="Desk"/>
    <n v="49"/>
    <n v="21921.33"/>
    <n v="1074145.17"/>
    <n v="69301.13"/>
    <n v="0"/>
    <n v="1004844.04"/>
    <s v="Completed"/>
    <s v="Pending"/>
  </r>
  <r>
    <s v="INV-2026-01600"/>
    <x v="88"/>
    <s v="Central"/>
    <s v="Nagpur"/>
    <s v="Retail Store"/>
    <s v="Priya Patel"/>
    <s v="Urban Store"/>
    <x v="1"/>
    <s v="Sofa"/>
    <n v="37"/>
    <n v="5562.35"/>
    <n v="205806.95"/>
    <n v="31486.99"/>
    <n v="0"/>
    <n v="174319.96"/>
    <s v="Pending"/>
    <s v="Pending"/>
  </r>
  <r>
    <s v="INV-2026-01601"/>
    <x v="35"/>
    <s v="East"/>
    <s v="Guwahati"/>
    <s v="Retail Store"/>
    <s v="Rahul Sharma"/>
    <s v="Future Tech"/>
    <x v="0"/>
    <s v="Desk Organizer"/>
    <n v="40"/>
    <n v="22020.39"/>
    <n v="880815.6"/>
    <n v="144836.62"/>
    <n v="0"/>
    <n v="735978.98"/>
    <s v="Cancelled"/>
    <s v="Pending"/>
  </r>
  <r>
    <s v="INV-2026-01602"/>
    <x v="35"/>
    <s v="West"/>
    <s v="Pune"/>
    <s v="Online"/>
    <s v="Priya Patel"/>
    <s v="Prime Retail"/>
    <x v="3"/>
    <s v="Smart Watch"/>
    <n v="22"/>
    <n v="24654.13"/>
    <n v="542390.86"/>
    <n v="49949.55"/>
    <n v="0"/>
    <n v="492441.31"/>
    <s v="Completed"/>
    <s v="Paid"/>
  </r>
  <r>
    <s v="INV-2026-01603"/>
    <x v="25"/>
    <s v="North"/>
    <s v="Jaipur"/>
    <s v="Direct Sales"/>
    <s v="Rahul Sharma"/>
    <s v="Tech Solutions"/>
    <x v="3"/>
    <s v="Smartphone"/>
    <n v="22"/>
    <n v="40599.74"/>
    <n v="893194.28"/>
    <n v="30390.73"/>
    <n v="0"/>
    <n v="862803.55"/>
    <s v="Cancelled"/>
    <s v="Pending"/>
  </r>
  <r>
    <s v="INV-2026-01604"/>
    <x v="59"/>
    <s v="South"/>
    <s v="Chennai"/>
    <s v="Distributor"/>
    <s v="Kavita Nair"/>
    <s v="ABC Corp"/>
    <x v="0"/>
    <s v="Printer Paper"/>
    <n v="43"/>
    <n v="37358.99"/>
    <n v="1606436.57"/>
    <n v="0"/>
    <n v="0"/>
    <n v="1606436.57"/>
    <s v="Cancelled"/>
    <s v="Pending"/>
  </r>
  <r>
    <s v="INV-2026-01605"/>
    <x v="57"/>
    <s v="West"/>
    <s v="Mumbai"/>
    <s v="Online"/>
    <s v="Sneha Reddy"/>
    <s v="Smart Systems"/>
    <x v="5"/>
    <s v="Vacuum Cleaner"/>
    <n v="46"/>
    <n v="22418.07"/>
    <n v="1031231.22"/>
    <n v="0"/>
    <n v="0"/>
    <n v="1031231.22"/>
    <s v="Cancelled"/>
    <s v="Pending"/>
  </r>
  <r>
    <s v="INV-2026-01606"/>
    <x v="51"/>
    <s v="South"/>
    <s v="Bangalore"/>
    <s v="Online"/>
    <s v="Rahul Sharma"/>
    <s v="Omega Stores"/>
    <x v="5"/>
    <s v="Vacuum Cleaner"/>
    <n v="10"/>
    <n v="31858.13"/>
    <n v="318581.3"/>
    <n v="35294.199999999997"/>
    <n v="0"/>
    <n v="283287.09999999998"/>
    <s v="Pending"/>
    <s v="Pending"/>
  </r>
  <r>
    <s v="INV-2026-01607"/>
    <x v="83"/>
    <s v="South"/>
    <s v="Chennai"/>
    <s v="Online"/>
    <s v="Meera Joshi"/>
    <s v="XYZ Ltd"/>
    <x v="4"/>
    <s v="Dress"/>
    <n v="18"/>
    <n v="38691.769999999997"/>
    <n v="696451.86"/>
    <n v="5042.2700000000004"/>
    <n v="0"/>
    <n v="691409.59"/>
    <s v="Pending"/>
    <s v="Pending"/>
  </r>
  <r>
    <s v="INV-2026-01608"/>
    <x v="44"/>
    <s v="South"/>
    <s v="Kochi"/>
    <s v="Retail Store"/>
    <s v="Suresh Gupta"/>
    <s v="Alpha Trading"/>
    <x v="3"/>
    <s v="Smartphone"/>
    <n v="36"/>
    <n v="13012.64"/>
    <n v="468455.04"/>
    <n v="0"/>
    <n v="0"/>
    <n v="468455.04"/>
    <s v="Processing"/>
    <s v="Paid"/>
  </r>
  <r>
    <s v="INV-2026-01609"/>
    <x v="59"/>
    <s v="West"/>
    <s v="Mumbai"/>
    <s v="Online"/>
    <s v="Meera Joshi"/>
    <s v="Tech Solutions"/>
    <x v="0"/>
    <s v="Pen Set"/>
    <n v="8"/>
    <n v="29666.400000000001"/>
    <n v="237331.20000000001"/>
    <n v="0"/>
    <n v="0"/>
    <n v="237331.20000000001"/>
    <s v="Processing"/>
    <s v="Paid"/>
  </r>
  <r>
    <s v="INV-2026-01610"/>
    <x v="3"/>
    <s v="West"/>
    <s v="Pune"/>
    <s v="Retail Store"/>
    <s v="Priya Patel"/>
    <s v="Nexus Ltd"/>
    <x v="5"/>
    <s v="Microwave"/>
    <n v="27"/>
    <n v="47339.67"/>
    <n v="1278171.0900000001"/>
    <n v="0"/>
    <n v="0"/>
    <n v="1278171.0900000001"/>
    <s v="Processing"/>
    <s v="Pending"/>
  </r>
  <r>
    <s v="INV-2026-01611"/>
    <x v="45"/>
    <s v="North"/>
    <s v="Delhi"/>
    <s v="Distributor"/>
    <s v="Priya Patel"/>
    <s v="ABC Corp"/>
    <x v="0"/>
    <s v="Pen Set"/>
    <n v="5"/>
    <n v="8942.7099999999991"/>
    <n v="44713.55"/>
    <n v="0"/>
    <n v="0"/>
    <n v="44713.55"/>
    <s v="Completed"/>
    <s v="Paid"/>
  </r>
  <r>
    <s v="INV-2026-01612"/>
    <x v="55"/>
    <s v="South"/>
    <s v="Hyderabad"/>
    <s v="Online"/>
    <s v="Rajesh Verma"/>
    <s v="Global Traders"/>
    <x v="2"/>
    <s v="Cricket Bat"/>
    <n v="16"/>
    <n v="39986.33"/>
    <n v="639781.28"/>
    <n v="105566.58"/>
    <n v="0"/>
    <n v="534214.69999999995"/>
    <s v="Cancelled"/>
    <s v="Pending"/>
  </r>
  <r>
    <s v="INV-2026-01613"/>
    <x v="90"/>
    <s v="Central"/>
    <s v="Bhopal"/>
    <s v="Online"/>
    <s v="Meera Joshi"/>
    <s v="Metro Mart"/>
    <x v="0"/>
    <s v="File Folder"/>
    <n v="29"/>
    <n v="37466.15"/>
    <n v="1086518.3500000001"/>
    <n v="60348.22"/>
    <n v="0"/>
    <n v="1026170.13"/>
    <s v="Cancelled"/>
    <s v="Pending"/>
  </r>
  <r>
    <s v="INV-2026-01614"/>
    <x v="22"/>
    <s v="North"/>
    <s v="Jaipur"/>
    <s v="Online"/>
    <s v="Vijay Singh"/>
    <s v="Prime Retail"/>
    <x v="4"/>
    <s v="Formal Shirt"/>
    <n v="50"/>
    <n v="43293.75"/>
    <n v="2164687.5"/>
    <n v="279979.94"/>
    <n v="0"/>
    <n v="1884707.56"/>
    <s v="Processing"/>
    <s v="Pending"/>
  </r>
  <r>
    <s v="INV-2026-01615"/>
    <x v="81"/>
    <s v="North"/>
    <s v="Chandigarh"/>
    <s v="Retail Store"/>
    <s v="Rajesh Verma"/>
    <s v="Prime Retail"/>
    <x v="2"/>
    <s v="Gym Equipment"/>
    <n v="23"/>
    <n v="10691.65"/>
    <n v="245907.95"/>
    <n v="0"/>
    <n v="0"/>
    <n v="245907.95"/>
    <s v="Pending"/>
    <s v="Paid"/>
  </r>
  <r>
    <s v="INV-2026-01616"/>
    <x v="25"/>
    <s v="East"/>
    <s v="Patna"/>
    <s v="Distributor"/>
    <s v="Amit Kumar"/>
    <s v="Smart Systems"/>
    <x v="5"/>
    <s v="Vacuum Cleaner"/>
    <n v="19"/>
    <n v="24702"/>
    <n v="469338"/>
    <n v="59109.08"/>
    <n v="312.43"/>
    <n v="409916.49"/>
    <s v="Cancelled"/>
    <s v="Pending"/>
  </r>
  <r>
    <s v="INV-2026-01617"/>
    <x v="63"/>
    <s v="South"/>
    <s v="Chennai"/>
    <s v="Direct Sales"/>
    <s v="Amit Kumar"/>
    <s v="Metro Mart"/>
    <x v="5"/>
    <s v="Microwave"/>
    <n v="41"/>
    <n v="25101.85"/>
    <n v="1029175.85"/>
    <n v="103883.58"/>
    <n v="0"/>
    <n v="925292.27"/>
    <s v="Pending"/>
    <s v="Pending"/>
  </r>
  <r>
    <s v="INV-2026-01618"/>
    <x v="18"/>
    <s v="North"/>
    <s v="Lucknow"/>
    <s v="Retail Store"/>
    <s v="Priya Patel"/>
    <s v="Prime Retail"/>
    <x v="2"/>
    <s v="Football"/>
    <n v="19"/>
    <n v="37962.79"/>
    <n v="721293.01"/>
    <n v="0"/>
    <n v="0"/>
    <n v="721293.01"/>
    <s v="Processing"/>
    <s v="Pending"/>
  </r>
  <r>
    <s v="INV-2026-01619"/>
    <x v="50"/>
    <s v="East"/>
    <s v="Patna"/>
    <s v="Direct Sales"/>
    <s v="Sneha Reddy"/>
    <s v="Global Traders"/>
    <x v="2"/>
    <s v="Gym Equipment"/>
    <n v="47"/>
    <n v="48401.57"/>
    <n v="2274873.79"/>
    <n v="0"/>
    <n v="0"/>
    <n v="2274873.79"/>
    <s v="Completed"/>
    <s v="Paid"/>
  </r>
  <r>
    <s v="INV-2026-01620"/>
    <x v="78"/>
    <s v="Central"/>
    <s v="Indore"/>
    <s v="Online"/>
    <s v="Meera Joshi"/>
    <s v="Urban Store"/>
    <x v="1"/>
    <s v="Cabinet"/>
    <n v="43"/>
    <n v="23428.57"/>
    <n v="1007428.51"/>
    <n v="0"/>
    <n v="0"/>
    <n v="1007428.51"/>
    <s v="Completed"/>
    <s v="Pending"/>
  </r>
  <r>
    <s v="INV-2026-01621"/>
    <x v="35"/>
    <s v="West"/>
    <s v="Pune"/>
    <s v="Distributor"/>
    <s v="Suresh Gupta"/>
    <s v="Global Traders"/>
    <x v="0"/>
    <s v="File Folder"/>
    <n v="4"/>
    <n v="20968.150000000001"/>
    <n v="83872.600000000006"/>
    <n v="0"/>
    <n v="0"/>
    <n v="83872.600000000006"/>
    <s v="Processing"/>
    <s v="Pending"/>
  </r>
  <r>
    <s v="INV-2026-01622"/>
    <x v="8"/>
    <s v="Central"/>
    <s v="Bhopal"/>
    <s v="Direct Sales"/>
    <s v="Kavita Nair"/>
    <s v="Future Tech"/>
    <x v="4"/>
    <s v="Formal Shirt"/>
    <n v="33"/>
    <n v="27583.91"/>
    <n v="910269.03"/>
    <n v="111135.33"/>
    <n v="0"/>
    <n v="799133.7"/>
    <s v="Completed"/>
    <s v="Paid"/>
  </r>
  <r>
    <s v="INV-2026-01623"/>
    <x v="82"/>
    <s v="East"/>
    <s v="Patna"/>
    <s v="Online"/>
    <s v="Kavita Nair"/>
    <s v="Skyline Corp"/>
    <x v="2"/>
    <s v="Gym Equipment"/>
    <n v="4"/>
    <n v="24842.79"/>
    <n v="99371.16"/>
    <n v="0"/>
    <n v="0"/>
    <n v="99371.16"/>
    <s v="Completed"/>
    <s v="Paid"/>
  </r>
  <r>
    <s v="INV-2026-01624"/>
    <x v="24"/>
    <s v="Central"/>
    <s v="Bhopal"/>
    <s v="Direct Sales"/>
    <s v="Sneha Reddy"/>
    <s v="Urban Store"/>
    <x v="4"/>
    <s v="Dress"/>
    <n v="8"/>
    <n v="11875.93"/>
    <n v="95007.44"/>
    <n v="1384.81"/>
    <n v="0"/>
    <n v="93622.63"/>
    <s v="Processing"/>
    <s v="Pending"/>
  </r>
  <r>
    <s v="INV-2026-01625"/>
    <x v="80"/>
    <s v="West"/>
    <s v="Surat"/>
    <s v="Retail Store"/>
    <s v="Priya Patel"/>
    <s v="Urban Store"/>
    <x v="2"/>
    <s v="Tennis Racket"/>
    <n v="22"/>
    <n v="45028.73"/>
    <n v="990632.06"/>
    <n v="160694.79"/>
    <n v="0"/>
    <n v="829937.27"/>
    <s v="Cancelled"/>
    <s v="Pending"/>
  </r>
  <r>
    <s v="INV-2026-01626"/>
    <x v="7"/>
    <s v="South"/>
    <s v="Kochi"/>
    <s v="Online"/>
    <s v="Anita Desai"/>
    <s v="Alpha Trading"/>
    <x v="4"/>
    <s v="T-Shirt"/>
    <n v="39"/>
    <n v="25625.34"/>
    <n v="999388.26"/>
    <n v="138917.85"/>
    <n v="41356.26"/>
    <n v="819114.15"/>
    <s v="Cancelled"/>
    <s v="Pending"/>
  </r>
  <r>
    <s v="INV-2026-01627"/>
    <x v="81"/>
    <s v="South"/>
    <s v="Chennai"/>
    <s v="Retail Store"/>
    <s v="Rahul Sharma"/>
    <s v="ABC Corp"/>
    <x v="3"/>
    <s v="Smartphone"/>
    <n v="13"/>
    <n v="14207.27"/>
    <n v="184694.51"/>
    <n v="0"/>
    <n v="53804.74"/>
    <n v="130889.77"/>
    <s v="Processing"/>
    <s v="Paid"/>
  </r>
  <r>
    <s v="INV-2026-01628"/>
    <x v="70"/>
    <s v="North"/>
    <s v="Delhi"/>
    <s v="Retail Store"/>
    <s v="Suresh Gupta"/>
    <s v="Digital Hub"/>
    <x v="2"/>
    <s v="Football"/>
    <n v="22"/>
    <n v="30128.15"/>
    <n v="662819.30000000005"/>
    <n v="75239.8"/>
    <n v="0"/>
    <n v="587579.5"/>
    <s v="Processing"/>
    <s v="Paid"/>
  </r>
  <r>
    <s v="INV-2026-01629"/>
    <x v="59"/>
    <s v="North"/>
    <s v="Lucknow"/>
    <s v="Distributor"/>
    <s v="Suresh Gupta"/>
    <s v="Digital Hub"/>
    <x v="4"/>
    <s v="T-Shirt"/>
    <n v="16"/>
    <n v="13098.82"/>
    <n v="209581.12"/>
    <n v="509.37"/>
    <n v="0"/>
    <n v="209071.75"/>
    <s v="Completed"/>
    <s v="Paid"/>
  </r>
  <r>
    <s v="INV-2026-01630"/>
    <x v="24"/>
    <s v="South"/>
    <s v="Hyderabad"/>
    <s v="Online"/>
    <s v="Suresh Gupta"/>
    <s v="Nexus Ltd"/>
    <x v="4"/>
    <s v="Formal Shirt"/>
    <n v="37"/>
    <n v="5397.41"/>
    <n v="199704.17"/>
    <n v="0"/>
    <n v="0"/>
    <n v="199704.17"/>
    <s v="Pending"/>
    <s v="Pending"/>
  </r>
  <r>
    <s v="INV-2026-01631"/>
    <x v="54"/>
    <s v="South"/>
    <s v="Bangalore"/>
    <s v="Distributor"/>
    <s v="Rajesh Verma"/>
    <s v="Elite Enterprises"/>
    <x v="5"/>
    <s v="Microwave"/>
    <n v="36"/>
    <n v="18669.22"/>
    <n v="672091.92"/>
    <n v="89137.94"/>
    <n v="0"/>
    <n v="582953.98"/>
    <s v="Processing"/>
    <s v="Pending"/>
  </r>
  <r>
    <s v="INV-2026-01632"/>
    <x v="66"/>
    <s v="West"/>
    <s v="Surat"/>
    <s v="Distributor"/>
    <s v="Priya Patel"/>
    <s v="Global Traders"/>
    <x v="2"/>
    <s v="Gym Equipment"/>
    <n v="50"/>
    <n v="33718.1"/>
    <n v="1685905"/>
    <n v="224532.04"/>
    <n v="0"/>
    <n v="1461372.96"/>
    <s v="Pending"/>
    <s v="Paid"/>
  </r>
  <r>
    <s v="INV-2026-01633"/>
    <x v="6"/>
    <s v="East"/>
    <s v="Kolkata"/>
    <s v="Retail Store"/>
    <s v="Anita Desai"/>
    <s v="Alpha Trading"/>
    <x v="0"/>
    <s v="Desk Organizer"/>
    <n v="16"/>
    <n v="10844.14"/>
    <n v="173506.24"/>
    <n v="0"/>
    <n v="0"/>
    <n v="173506.24"/>
    <s v="Cancelled"/>
    <s v="Pending"/>
  </r>
  <r>
    <s v="INV-2026-01634"/>
    <x v="18"/>
    <s v="West"/>
    <s v="Pune"/>
    <s v="Distributor"/>
    <s v="Rajesh Verma"/>
    <s v="Alpha Trading"/>
    <x v="5"/>
    <s v="Vacuum Cleaner"/>
    <n v="44"/>
    <n v="42397.56"/>
    <n v="1865492.64"/>
    <n v="95250.98"/>
    <n v="0"/>
    <n v="1770241.66"/>
    <s v="Cancelled"/>
    <s v="Pending"/>
  </r>
  <r>
    <s v="INV-2026-01635"/>
    <x v="46"/>
    <s v="South"/>
    <s v="Kochi"/>
    <s v="Retail Store"/>
    <s v="Rajesh Verma"/>
    <s v="Alpha Trading"/>
    <x v="4"/>
    <s v="T-Shirt"/>
    <n v="9"/>
    <n v="12140.18"/>
    <n v="109261.62"/>
    <n v="12546.71"/>
    <n v="0"/>
    <n v="96714.91"/>
    <s v="Pending"/>
    <s v="Pending"/>
  </r>
  <r>
    <s v="INV-2026-01636"/>
    <x v="87"/>
    <s v="West"/>
    <s v="Pune"/>
    <s v="Distributor"/>
    <s v="Kavita Nair"/>
    <s v="Metro Mart"/>
    <x v="4"/>
    <s v="Jacket"/>
    <n v="5"/>
    <n v="48780.08"/>
    <n v="243900.4"/>
    <n v="42279.1"/>
    <n v="0"/>
    <n v="201621.3"/>
    <s v="Completed"/>
    <s v="Paid"/>
  </r>
  <r>
    <s v="INV-2026-01637"/>
    <x v="47"/>
    <s v="East"/>
    <s v="Guwahati"/>
    <s v="Distributor"/>
    <s v="Amit Kumar"/>
    <s v="Future Tech"/>
    <x v="5"/>
    <s v="Microwave"/>
    <n v="29"/>
    <n v="15818.75"/>
    <n v="458743.75"/>
    <n v="2644.28"/>
    <n v="0"/>
    <n v="456099.47"/>
    <s v="Pending"/>
    <s v="Pending"/>
  </r>
  <r>
    <s v="INV-2026-01638"/>
    <x v="40"/>
    <s v="West"/>
    <s v="Ahmedabad"/>
    <s v="Distributor"/>
    <s v="Kavita Nair"/>
    <s v="Future Tech"/>
    <x v="0"/>
    <s v="File Folder"/>
    <n v="48"/>
    <n v="18118.8"/>
    <n v="869702.4"/>
    <n v="0"/>
    <n v="0"/>
    <n v="869702.4"/>
    <s v="Completed"/>
    <s v="Overdue"/>
  </r>
  <r>
    <s v="INV-2026-01639"/>
    <x v="33"/>
    <s v="South"/>
    <s v="Hyderabad"/>
    <s v="Direct Sales"/>
    <s v="Rahul Sharma"/>
    <s v="Digital Hub"/>
    <x v="4"/>
    <s v="Formal Shirt"/>
    <n v="41"/>
    <n v="46654.96"/>
    <n v="1912853.36"/>
    <n v="229329.49"/>
    <n v="0"/>
    <n v="1683523.87"/>
    <s v="Completed"/>
    <s v="Paid"/>
  </r>
  <r>
    <s v="INV-2026-01640"/>
    <x v="43"/>
    <s v="East"/>
    <s v="Guwahati"/>
    <s v="Retail Store"/>
    <s v="Rajesh Verma"/>
    <s v="Prime Retail"/>
    <x v="1"/>
    <s v="Desk"/>
    <n v="10"/>
    <n v="10494.56"/>
    <n v="104945.60000000001"/>
    <n v="5420.83"/>
    <n v="6279.64"/>
    <n v="93245.13"/>
    <s v="Pending"/>
    <s v="Paid"/>
  </r>
  <r>
    <s v="INV-2026-01641"/>
    <x v="80"/>
    <s v="West"/>
    <s v="Ahmedabad"/>
    <s v="Online"/>
    <s v="Sneha Reddy"/>
    <s v="Tech Solutions"/>
    <x v="0"/>
    <s v="Printer Paper"/>
    <n v="10"/>
    <n v="24569.37"/>
    <n v="245693.7"/>
    <n v="38607.14"/>
    <n v="0"/>
    <n v="207086.56"/>
    <s v="Processing"/>
    <s v="Paid"/>
  </r>
  <r>
    <s v="INV-2026-01642"/>
    <x v="52"/>
    <s v="North"/>
    <s v="Jaipur"/>
    <s v="Online"/>
    <s v="Anita Desai"/>
    <s v="Tech Solutions"/>
    <x v="0"/>
    <s v="File Folder"/>
    <n v="9"/>
    <n v="38495.11"/>
    <n v="346455.99"/>
    <n v="24779.99"/>
    <n v="0"/>
    <n v="321676"/>
    <s v="Processing"/>
    <s v="Paid"/>
  </r>
  <r>
    <s v="INV-2026-01643"/>
    <x v="91"/>
    <s v="North"/>
    <s v="Jaipur"/>
    <s v="Online"/>
    <s v="Amit Kumar"/>
    <s v="Alpha Trading"/>
    <x v="3"/>
    <s v="Tablet"/>
    <n v="3"/>
    <n v="43877.46"/>
    <n v="131632.38"/>
    <n v="81.5"/>
    <n v="28865.74"/>
    <n v="102685.14"/>
    <s v="Cancelled"/>
    <s v="Pending"/>
  </r>
  <r>
    <s v="INV-2026-01644"/>
    <x v="77"/>
    <s v="East"/>
    <s v="Bhubaneswar"/>
    <s v="Direct Sales"/>
    <s v="Rajesh Verma"/>
    <s v="XYZ Ltd"/>
    <x v="3"/>
    <s v="Smartphone"/>
    <n v="33"/>
    <n v="34213.1"/>
    <n v="1129032.3"/>
    <n v="0"/>
    <n v="0"/>
    <n v="1129032.3"/>
    <s v="Pending"/>
    <s v="Pending"/>
  </r>
  <r>
    <s v="INV-2026-01645"/>
    <x v="51"/>
    <s v="South"/>
    <s v="Hyderabad"/>
    <s v="Retail Store"/>
    <s v="Amit Kumar"/>
    <s v="Urban Store"/>
    <x v="3"/>
    <s v="Headphones"/>
    <n v="50"/>
    <n v="32245.99"/>
    <n v="1612299.5"/>
    <n v="0"/>
    <n v="0"/>
    <n v="1612299.5"/>
    <s v="Completed"/>
    <s v="Paid"/>
  </r>
  <r>
    <s v="INV-2026-01646"/>
    <x v="59"/>
    <s v="East"/>
    <s v="Guwahati"/>
    <s v="Online"/>
    <s v="Rajesh Verma"/>
    <s v="Nexus Ltd"/>
    <x v="0"/>
    <s v="Desk Organizer"/>
    <n v="19"/>
    <n v="16204.82"/>
    <n v="307891.58"/>
    <n v="0"/>
    <n v="0"/>
    <n v="307891.58"/>
    <s v="Cancelled"/>
    <s v="Pending"/>
  </r>
  <r>
    <s v="INV-2026-01647"/>
    <x v="20"/>
    <s v="East"/>
    <s v="Bhubaneswar"/>
    <s v="Distributor"/>
    <s v="Amit Kumar"/>
    <s v="Urban Store"/>
    <x v="5"/>
    <s v="TV"/>
    <n v="50"/>
    <n v="36571.519999999997"/>
    <n v="1828576"/>
    <n v="0"/>
    <n v="0"/>
    <n v="1828576"/>
    <s v="Pending"/>
    <s v="Pending"/>
  </r>
  <r>
    <s v="INV-2026-01648"/>
    <x v="28"/>
    <s v="Central"/>
    <s v="Bhopal"/>
    <s v="Retail Store"/>
    <s v="Meera Joshi"/>
    <s v="Urban Store"/>
    <x v="1"/>
    <s v="Desk"/>
    <n v="2"/>
    <n v="41133.82"/>
    <n v="82267.64"/>
    <n v="0"/>
    <n v="0"/>
    <n v="82267.64"/>
    <s v="Completed"/>
    <s v="Overdue"/>
  </r>
  <r>
    <s v="INV-2026-01649"/>
    <x v="19"/>
    <s v="West"/>
    <s v="Pune"/>
    <s v="Distributor"/>
    <s v="Rajesh Verma"/>
    <s v="Metro Mart"/>
    <x v="4"/>
    <s v="Dress"/>
    <n v="1"/>
    <n v="18794.97"/>
    <n v="18794.97"/>
    <n v="3031.99"/>
    <n v="0"/>
    <n v="15762.98"/>
    <s v="Cancelled"/>
    <s v="Pending"/>
  </r>
  <r>
    <s v="INV-2026-01650"/>
    <x v="59"/>
    <s v="North"/>
    <s v="Delhi"/>
    <s v="Direct Sales"/>
    <s v="Suresh Gupta"/>
    <s v="Skyline Corp"/>
    <x v="0"/>
    <s v="Printer Paper"/>
    <n v="36"/>
    <n v="33659.22"/>
    <n v="1211731.92"/>
    <n v="134430.15"/>
    <n v="0"/>
    <n v="1077301.77"/>
    <s v="Completed"/>
    <s v="Overdue"/>
  </r>
  <r>
    <s v="INV-2026-01651"/>
    <x v="24"/>
    <s v="East"/>
    <s v="Bhubaneswar"/>
    <s v="Retail Store"/>
    <s v="Vijay Singh"/>
    <s v="Omega Stores"/>
    <x v="5"/>
    <s v="Air Conditioner"/>
    <n v="22"/>
    <n v="9116.48"/>
    <n v="200562.56"/>
    <n v="36220.61"/>
    <n v="0"/>
    <n v="164341.95000000001"/>
    <s v="Cancelled"/>
    <s v="Pending"/>
  </r>
  <r>
    <s v="INV-2026-01652"/>
    <x v="31"/>
    <s v="East"/>
    <s v="Bhubaneswar"/>
    <s v="Direct Sales"/>
    <s v="Vijay Singh"/>
    <s v="XYZ Ltd"/>
    <x v="3"/>
    <s v="Camera"/>
    <n v="40"/>
    <n v="42970.15"/>
    <n v="1718806"/>
    <n v="19213.169999999998"/>
    <n v="256336.57"/>
    <n v="1443256.26"/>
    <s v="Pending"/>
    <s v="Pending"/>
  </r>
  <r>
    <s v="INV-2026-01653"/>
    <x v="68"/>
    <s v="West"/>
    <s v="Pune"/>
    <s v="Direct Sales"/>
    <s v="Anita Desai"/>
    <s v="Prime Retail"/>
    <x v="5"/>
    <s v="Vacuum Cleaner"/>
    <n v="27"/>
    <n v="12185.76"/>
    <n v="329015.52"/>
    <n v="21335.439999999999"/>
    <n v="0"/>
    <n v="307680.08"/>
    <s v="Cancelled"/>
    <s v="Pending"/>
  </r>
  <r>
    <s v="INV-2026-01654"/>
    <x v="34"/>
    <s v="Central"/>
    <s v="Bhopal"/>
    <s v="Distributor"/>
    <s v="Anita Desai"/>
    <s v="Tech Solutions"/>
    <x v="0"/>
    <s v="Desk Organizer"/>
    <n v="48"/>
    <n v="25778.799999999999"/>
    <n v="1237382.3999999999"/>
    <n v="98602.43"/>
    <n v="305922.82"/>
    <n v="832857.15"/>
    <s v="Cancelled"/>
    <s v="Pending"/>
  </r>
  <r>
    <s v="INV-2026-01655"/>
    <x v="71"/>
    <s v="North"/>
    <s v="Chandigarh"/>
    <s v="Distributor"/>
    <s v="Sneha Reddy"/>
    <s v="Future Tech"/>
    <x v="4"/>
    <s v="Shoes"/>
    <n v="8"/>
    <n v="46543.59"/>
    <n v="372348.72"/>
    <n v="57272.46"/>
    <n v="0"/>
    <n v="315076.26"/>
    <s v="Cancelled"/>
    <s v="Pending"/>
  </r>
  <r>
    <s v="INV-2026-01656"/>
    <x v="56"/>
    <s v="South"/>
    <s v="Kochi"/>
    <s v="Distributor"/>
    <s v="Meera Joshi"/>
    <s v="Alpha Trading"/>
    <x v="3"/>
    <s v="Smartphone"/>
    <n v="47"/>
    <n v="26535.33"/>
    <n v="1247160.51"/>
    <n v="109696.15"/>
    <n v="0"/>
    <n v="1137464.3600000001"/>
    <s v="Pending"/>
    <s v="Paid"/>
  </r>
  <r>
    <s v="INV-2026-01657"/>
    <x v="57"/>
    <s v="North"/>
    <s v="Lucknow"/>
    <s v="Distributor"/>
    <s v="Rajesh Verma"/>
    <s v="Future Tech"/>
    <x v="5"/>
    <s v="Air Conditioner"/>
    <n v="18"/>
    <n v="1038.8900000000001"/>
    <n v="18700.02"/>
    <n v="0"/>
    <n v="590.51"/>
    <n v="18109.509999999998"/>
    <s v="Cancelled"/>
    <s v="Pending"/>
  </r>
  <r>
    <s v="INV-2026-01658"/>
    <x v="4"/>
    <s v="East"/>
    <s v="Patna"/>
    <s v="Retail Store"/>
    <s v="Amit Kumar"/>
    <s v="Elite Enterprises"/>
    <x v="4"/>
    <s v="T-Shirt"/>
    <n v="13"/>
    <n v="24686.97"/>
    <n v="320930.61"/>
    <n v="16417.03"/>
    <n v="0"/>
    <n v="304513.58"/>
    <s v="Processing"/>
    <s v="Pending"/>
  </r>
  <r>
    <s v="INV-2026-01659"/>
    <x v="27"/>
    <s v="South"/>
    <s v="Chennai"/>
    <s v="Direct Sales"/>
    <s v="Sneha Reddy"/>
    <s v="Omega Stores"/>
    <x v="3"/>
    <s v="Camera"/>
    <n v="21"/>
    <n v="10818.41"/>
    <n v="227186.61"/>
    <n v="0"/>
    <n v="0"/>
    <n v="227186.61"/>
    <s v="Pending"/>
    <s v="Paid"/>
  </r>
  <r>
    <s v="INV-2026-01660"/>
    <x v="67"/>
    <s v="West"/>
    <s v="Pune"/>
    <s v="Distributor"/>
    <s v="Amit Kumar"/>
    <s v="Omega Stores"/>
    <x v="2"/>
    <s v="Gym Equipment"/>
    <n v="21"/>
    <n v="40959.26"/>
    <n v="860144.46"/>
    <n v="0"/>
    <n v="0"/>
    <n v="860144.46"/>
    <s v="Processing"/>
    <s v="Pending"/>
  </r>
  <r>
    <s v="INV-2026-01661"/>
    <x v="35"/>
    <s v="Central"/>
    <s v="Nagpur"/>
    <s v="Direct Sales"/>
    <s v="Kavita Nair"/>
    <s v="ABC Corp"/>
    <x v="0"/>
    <s v="File Folder"/>
    <n v="25"/>
    <n v="40899.11"/>
    <n v="1022477.75"/>
    <n v="0"/>
    <n v="0"/>
    <n v="1022477.75"/>
    <s v="Cancelled"/>
    <s v="Pending"/>
  </r>
  <r>
    <s v="INV-2026-01662"/>
    <x v="49"/>
    <s v="Central"/>
    <s v="Nagpur"/>
    <s v="Retail Store"/>
    <s v="Meera Joshi"/>
    <s v="Future Tech"/>
    <x v="4"/>
    <s v="Shoes"/>
    <n v="11"/>
    <n v="44498.34"/>
    <n v="489481.74"/>
    <n v="0"/>
    <n v="74572.94"/>
    <n v="414908.8"/>
    <s v="Cancelled"/>
    <s v="Pending"/>
  </r>
  <r>
    <s v="INV-2026-01663"/>
    <x v="31"/>
    <s v="South"/>
    <s v="Hyderabad"/>
    <s v="Online"/>
    <s v="Rahul Sharma"/>
    <s v="Prime Retail"/>
    <x v="5"/>
    <s v="Washing Machine"/>
    <n v="44"/>
    <n v="21801.23"/>
    <n v="959254.12"/>
    <n v="0"/>
    <n v="0"/>
    <n v="959254.12"/>
    <s v="Pending"/>
    <s v="Paid"/>
  </r>
  <r>
    <s v="INV-2026-01664"/>
    <x v="20"/>
    <s v="Central"/>
    <s v="Bhopal"/>
    <s v="Online"/>
    <s v="Sneha Reddy"/>
    <s v="Tech Solutions"/>
    <x v="0"/>
    <s v="Desk Organizer"/>
    <n v="26"/>
    <n v="9682.7999999999993"/>
    <n v="251752.8"/>
    <n v="14580.73"/>
    <n v="0"/>
    <n v="237172.07"/>
    <s v="Completed"/>
    <s v="Paid"/>
  </r>
  <r>
    <s v="INV-2026-01665"/>
    <x v="60"/>
    <s v="Central"/>
    <s v="Nagpur"/>
    <s v="Direct Sales"/>
    <s v="Sneha Reddy"/>
    <s v="Omega Stores"/>
    <x v="2"/>
    <s v="Football"/>
    <n v="40"/>
    <n v="20007.849999999999"/>
    <n v="800314"/>
    <n v="0"/>
    <n v="0"/>
    <n v="800314"/>
    <s v="Pending"/>
    <s v="Paid"/>
  </r>
  <r>
    <s v="INV-2026-01666"/>
    <x v="17"/>
    <s v="Central"/>
    <s v="Raipur"/>
    <s v="Retail Store"/>
    <s v="Rajesh Verma"/>
    <s v="Digital Hub"/>
    <x v="0"/>
    <s v="Notebook"/>
    <n v="8"/>
    <n v="7565.9"/>
    <n v="60527.199999999997"/>
    <n v="4521.57"/>
    <n v="0"/>
    <n v="56005.63"/>
    <s v="Cancelled"/>
    <s v="Pending"/>
  </r>
  <r>
    <s v="INV-2026-01667"/>
    <x v="90"/>
    <s v="South"/>
    <s v="Kochi"/>
    <s v="Direct Sales"/>
    <s v="Vijay Singh"/>
    <s v="Future Tech"/>
    <x v="2"/>
    <s v="Bicycle"/>
    <n v="6"/>
    <n v="48924.06"/>
    <n v="293544.36"/>
    <n v="531.75"/>
    <n v="0"/>
    <n v="293012.61"/>
    <s v="Cancelled"/>
    <s v="Pending"/>
  </r>
  <r>
    <s v="INV-2026-01668"/>
    <x v="69"/>
    <s v="West"/>
    <s v="Mumbai"/>
    <s v="Distributor"/>
    <s v="Anita Desai"/>
    <s v="Nexus Ltd"/>
    <x v="0"/>
    <s v="Desk Organizer"/>
    <n v="16"/>
    <n v="21018.720000000001"/>
    <n v="336299.52000000002"/>
    <n v="19701.78"/>
    <n v="32269.08"/>
    <n v="284328.65999999997"/>
    <s v="Completed"/>
    <s v="Paid"/>
  </r>
  <r>
    <s v="INV-2026-01669"/>
    <x v="83"/>
    <s v="Central"/>
    <s v="Nagpur"/>
    <s v="Online"/>
    <s v="Rajesh Verma"/>
    <s v="Digital Hub"/>
    <x v="1"/>
    <s v="Desk"/>
    <n v="44"/>
    <n v="44915.81"/>
    <n v="1976295.64"/>
    <n v="109228.27"/>
    <n v="0"/>
    <n v="1867067.37"/>
    <s v="Processing"/>
    <s v="Pending"/>
  </r>
  <r>
    <s v="INV-2026-01670"/>
    <x v="30"/>
    <s v="East"/>
    <s v="Kolkata"/>
    <s v="Retail Store"/>
    <s v="Amit Kumar"/>
    <s v="Skyline Corp"/>
    <x v="4"/>
    <s v="Jacket"/>
    <n v="37"/>
    <n v="15887.35"/>
    <n v="587831.94999999995"/>
    <n v="0"/>
    <n v="0"/>
    <n v="587831.94999999995"/>
    <s v="Cancelled"/>
    <s v="Pending"/>
  </r>
  <r>
    <s v="INV-2026-01671"/>
    <x v="13"/>
    <s v="North"/>
    <s v="Delhi"/>
    <s v="Online"/>
    <s v="Suresh Gupta"/>
    <s v="Future Tech"/>
    <x v="0"/>
    <s v="Printer Paper"/>
    <n v="4"/>
    <n v="9033.2800000000007"/>
    <n v="36133.120000000003"/>
    <n v="0"/>
    <n v="0"/>
    <n v="36133.120000000003"/>
    <s v="Cancelled"/>
    <s v="Pending"/>
  </r>
  <r>
    <s v="INV-2026-01672"/>
    <x v="26"/>
    <s v="South"/>
    <s v="Kochi"/>
    <s v="Distributor"/>
    <s v="Anita Desai"/>
    <s v="Tech Solutions"/>
    <x v="5"/>
    <s v="TV"/>
    <n v="24"/>
    <n v="26123.05"/>
    <n v="626953.19999999995"/>
    <n v="101513.45"/>
    <n v="122206.64"/>
    <n v="403233.11"/>
    <s v="Pending"/>
    <s v="Pending"/>
  </r>
  <r>
    <s v="INV-2026-01673"/>
    <x v="9"/>
    <s v="South"/>
    <s v="Bangalore"/>
    <s v="Online"/>
    <s v="Rajesh Verma"/>
    <s v="XYZ Ltd"/>
    <x v="1"/>
    <s v="Office Chair"/>
    <n v="38"/>
    <n v="44822.73"/>
    <n v="1703263.74"/>
    <n v="280659.09000000003"/>
    <n v="0"/>
    <n v="1422604.65"/>
    <s v="Completed"/>
    <s v="Pending"/>
  </r>
  <r>
    <s v="INV-2026-01674"/>
    <x v="76"/>
    <s v="Central"/>
    <s v="Indore"/>
    <s v="Direct Sales"/>
    <s v="Anita Desai"/>
    <s v="XYZ Ltd"/>
    <x v="0"/>
    <s v="File Folder"/>
    <n v="20"/>
    <n v="9717.41"/>
    <n v="194348.2"/>
    <n v="0"/>
    <n v="0"/>
    <n v="194348.2"/>
    <s v="Cancelled"/>
    <s v="Pending"/>
  </r>
  <r>
    <s v="INV-2026-01675"/>
    <x v="68"/>
    <s v="North"/>
    <s v="Jaipur"/>
    <s v="Retail Store"/>
    <s v="Meera Joshi"/>
    <s v="Smart Systems"/>
    <x v="5"/>
    <s v="Washing Machine"/>
    <n v="6"/>
    <n v="9800.3799999999992"/>
    <n v="58802.28"/>
    <n v="3449.09"/>
    <n v="0"/>
    <n v="55353.19"/>
    <s v="Processing"/>
    <s v="Pending"/>
  </r>
  <r>
    <s v="INV-2026-01676"/>
    <x v="26"/>
    <s v="West"/>
    <s v="Ahmedabad"/>
    <s v="Distributor"/>
    <s v="Anita Desai"/>
    <s v="XYZ Ltd"/>
    <x v="0"/>
    <s v="Notebook"/>
    <n v="41"/>
    <n v="12161.86"/>
    <n v="498636.26"/>
    <n v="0"/>
    <n v="115232.16"/>
    <n v="383404.1"/>
    <s v="Pending"/>
    <s v="Paid"/>
  </r>
  <r>
    <s v="INV-2026-01677"/>
    <x v="89"/>
    <s v="East"/>
    <s v="Bhubaneswar"/>
    <s v="Retail Store"/>
    <s v="Anita Desai"/>
    <s v="Smart Systems"/>
    <x v="3"/>
    <s v="Tablet"/>
    <n v="1"/>
    <n v="5795.04"/>
    <n v="5795.04"/>
    <n v="265.2"/>
    <n v="1001.1"/>
    <n v="4528.74"/>
    <s v="Cancelled"/>
    <s v="Pending"/>
  </r>
  <r>
    <s v="INV-2026-01678"/>
    <x v="37"/>
    <s v="East"/>
    <s v="Bhubaneswar"/>
    <s v="Direct Sales"/>
    <s v="Sneha Reddy"/>
    <s v="Prime Retail"/>
    <x v="5"/>
    <s v="TV"/>
    <n v="5"/>
    <n v="46598.93"/>
    <n v="232994.65"/>
    <n v="0"/>
    <n v="0"/>
    <n v="232994.65"/>
    <s v="Processing"/>
    <s v="Pending"/>
  </r>
  <r>
    <s v="INV-2026-01679"/>
    <x v="73"/>
    <s v="East"/>
    <s v="Kolkata"/>
    <s v="Online"/>
    <s v="Vijay Singh"/>
    <s v="XYZ Ltd"/>
    <x v="2"/>
    <s v="Football"/>
    <n v="28"/>
    <n v="49784.3"/>
    <n v="1393960.4"/>
    <n v="0"/>
    <n v="0"/>
    <n v="1393960.4"/>
    <s v="Cancelled"/>
    <s v="Pending"/>
  </r>
  <r>
    <s v="INV-2026-01680"/>
    <x v="79"/>
    <s v="North"/>
    <s v="Delhi"/>
    <s v="Retail Store"/>
    <s v="Priya Patel"/>
    <s v="Digital Hub"/>
    <x v="1"/>
    <s v="Bookshelf"/>
    <n v="50"/>
    <n v="24440.639999999999"/>
    <n v="1222032"/>
    <n v="227276.97"/>
    <n v="0"/>
    <n v="994755.03"/>
    <s v="Completed"/>
    <s v="Paid"/>
  </r>
  <r>
    <s v="INV-2026-01681"/>
    <x v="3"/>
    <s v="South"/>
    <s v="Kochi"/>
    <s v="Distributor"/>
    <s v="Sneha Reddy"/>
    <s v="Urban Store"/>
    <x v="1"/>
    <s v="Bookshelf"/>
    <n v="40"/>
    <n v="27233"/>
    <n v="1089320"/>
    <n v="149973.63"/>
    <n v="0"/>
    <n v="939346.37"/>
    <s v="Completed"/>
    <s v="Overdue"/>
  </r>
  <r>
    <s v="INV-2026-01682"/>
    <x v="31"/>
    <s v="East"/>
    <s v="Guwahati"/>
    <s v="Retail Store"/>
    <s v="Suresh Gupta"/>
    <s v="Metro Mart"/>
    <x v="3"/>
    <s v="Smartphone"/>
    <n v="21"/>
    <n v="36958.69"/>
    <n v="776132.49"/>
    <n v="122884.5"/>
    <n v="0"/>
    <n v="653247.99"/>
    <s v="Pending"/>
    <s v="Paid"/>
  </r>
  <r>
    <s v="INV-2026-01683"/>
    <x v="61"/>
    <s v="Central"/>
    <s v="Nagpur"/>
    <s v="Direct Sales"/>
    <s v="Sneha Reddy"/>
    <s v="Future Tech"/>
    <x v="5"/>
    <s v="Air Conditioner"/>
    <n v="37"/>
    <n v="13651.34"/>
    <n v="505099.58"/>
    <n v="21821.69"/>
    <n v="0"/>
    <n v="483277.89"/>
    <s v="Processing"/>
    <s v="Pending"/>
  </r>
  <r>
    <s v="INV-2026-01684"/>
    <x v="66"/>
    <s v="East"/>
    <s v="Patna"/>
    <s v="Distributor"/>
    <s v="Suresh Gupta"/>
    <s v="Nexus Ltd"/>
    <x v="5"/>
    <s v="TV"/>
    <n v="17"/>
    <n v="30104.97"/>
    <n v="511784.49"/>
    <n v="0"/>
    <n v="64177.65"/>
    <n v="447606.84"/>
    <s v="Processing"/>
    <s v="Pending"/>
  </r>
  <r>
    <s v="INV-2026-01685"/>
    <x v="31"/>
    <s v="South"/>
    <s v="Hyderabad"/>
    <s v="Online"/>
    <s v="Anita Desai"/>
    <s v="Global Traders"/>
    <x v="4"/>
    <s v="T-Shirt"/>
    <n v="42"/>
    <n v="16392.330000000002"/>
    <n v="688477.86"/>
    <n v="88791.25"/>
    <n v="0"/>
    <n v="599686.61"/>
    <s v="Pending"/>
    <s v="Paid"/>
  </r>
  <r>
    <s v="INV-2026-01686"/>
    <x v="45"/>
    <s v="North"/>
    <s v="Chandigarh"/>
    <s v="Direct Sales"/>
    <s v="Vijay Singh"/>
    <s v="Skyline Corp"/>
    <x v="2"/>
    <s v="Yoga Mat"/>
    <n v="35"/>
    <n v="36166.58"/>
    <n v="1265830.3"/>
    <n v="0"/>
    <n v="0"/>
    <n v="1265830.3"/>
    <s v="Pending"/>
    <s v="Pending"/>
  </r>
  <r>
    <s v="INV-2026-01687"/>
    <x v="28"/>
    <s v="East"/>
    <s v="Bhubaneswar"/>
    <s v="Direct Sales"/>
    <s v="Vijay Singh"/>
    <s v="Digital Hub"/>
    <x v="5"/>
    <s v="TV"/>
    <n v="22"/>
    <n v="22594.84"/>
    <n v="497086.48"/>
    <n v="23849.279999999999"/>
    <n v="0"/>
    <n v="473237.2"/>
    <s v="Pending"/>
    <s v="Pending"/>
  </r>
  <r>
    <s v="INV-2026-01688"/>
    <x v="34"/>
    <s v="South"/>
    <s v="Kochi"/>
    <s v="Distributor"/>
    <s v="Rajesh Verma"/>
    <s v="Future Tech"/>
    <x v="4"/>
    <s v="T-Shirt"/>
    <n v="4"/>
    <n v="48813.42"/>
    <n v="195253.68"/>
    <n v="18648.23"/>
    <n v="0"/>
    <n v="176605.45"/>
    <s v="Cancelled"/>
    <s v="Pending"/>
  </r>
  <r>
    <s v="INV-2026-01689"/>
    <x v="80"/>
    <s v="Central"/>
    <s v="Nagpur"/>
    <s v="Distributor"/>
    <s v="Rajesh Verma"/>
    <s v="Digital Hub"/>
    <x v="1"/>
    <s v="Conference Table"/>
    <n v="18"/>
    <n v="1910.84"/>
    <n v="34395.120000000003"/>
    <n v="0"/>
    <n v="0"/>
    <n v="34395.120000000003"/>
    <s v="Pending"/>
    <s v="Pending"/>
  </r>
  <r>
    <s v="INV-2026-01690"/>
    <x v="30"/>
    <s v="East"/>
    <s v="Bhubaneswar"/>
    <s v="Direct Sales"/>
    <s v="Vijay Singh"/>
    <s v="Smart Systems"/>
    <x v="2"/>
    <s v="Football"/>
    <n v="31"/>
    <n v="23339.37"/>
    <n v="723520.47"/>
    <n v="23501.119999999999"/>
    <n v="0"/>
    <n v="700019.35"/>
    <s v="Cancelled"/>
    <s v="Pending"/>
  </r>
  <r>
    <s v="INV-2026-01691"/>
    <x v="30"/>
    <s v="Central"/>
    <s v="Bhopal"/>
    <s v="Online"/>
    <s v="Anita Desai"/>
    <s v="Global Traders"/>
    <x v="5"/>
    <s v="Vacuum Cleaner"/>
    <n v="38"/>
    <n v="45360.37"/>
    <n v="1723694.06"/>
    <n v="342635.26"/>
    <n v="0"/>
    <n v="1381058.8"/>
    <s v="Cancelled"/>
    <s v="Pending"/>
  </r>
  <r>
    <s v="INV-2026-01692"/>
    <x v="79"/>
    <s v="West"/>
    <s v="Pune"/>
    <s v="Direct Sales"/>
    <s v="Priya Patel"/>
    <s v="Prime Retail"/>
    <x v="5"/>
    <s v="TV"/>
    <n v="43"/>
    <n v="35928.44"/>
    <n v="1544922.92"/>
    <n v="249874.53"/>
    <n v="0"/>
    <n v="1295048.3899999999"/>
    <s v="Completed"/>
    <s v="Paid"/>
  </r>
  <r>
    <s v="INV-2026-01693"/>
    <x v="67"/>
    <s v="West"/>
    <s v="Mumbai"/>
    <s v="Online"/>
    <s v="Sneha Reddy"/>
    <s v="Skyline Corp"/>
    <x v="5"/>
    <s v="Refrigerator"/>
    <n v="19"/>
    <n v="43716.19"/>
    <n v="830607.61"/>
    <n v="0"/>
    <n v="0"/>
    <n v="830607.61"/>
    <s v="Cancelled"/>
    <s v="Pending"/>
  </r>
  <r>
    <s v="INV-2026-01694"/>
    <x v="76"/>
    <s v="West"/>
    <s v="Pune"/>
    <s v="Direct Sales"/>
    <s v="Amit Kumar"/>
    <s v="Smart Systems"/>
    <x v="3"/>
    <s v="Headphones"/>
    <n v="33"/>
    <n v="28229.119999999999"/>
    <n v="931560.95999999996"/>
    <n v="0"/>
    <n v="0"/>
    <n v="931560.95999999996"/>
    <s v="Pending"/>
    <s v="Pending"/>
  </r>
  <r>
    <s v="INV-2026-01695"/>
    <x v="21"/>
    <s v="Central"/>
    <s v="Raipur"/>
    <s v="Online"/>
    <s v="Suresh Gupta"/>
    <s v="Smart Systems"/>
    <x v="4"/>
    <s v="Jacket"/>
    <n v="25"/>
    <n v="36366.94"/>
    <n v="909173.5"/>
    <n v="0"/>
    <n v="0"/>
    <n v="909173.5"/>
    <s v="Processing"/>
    <s v="Pending"/>
  </r>
  <r>
    <s v="INV-2026-01696"/>
    <x v="86"/>
    <s v="West"/>
    <s v="Surat"/>
    <s v="Distributor"/>
    <s v="Suresh Gupta"/>
    <s v="Omega Stores"/>
    <x v="3"/>
    <s v="Headphones"/>
    <n v="44"/>
    <n v="24805.82"/>
    <n v="1091456.08"/>
    <n v="0"/>
    <n v="0"/>
    <n v="1091456.08"/>
    <s v="Pending"/>
    <s v="Paid"/>
  </r>
  <r>
    <s v="INV-2026-01697"/>
    <x v="77"/>
    <s v="North"/>
    <s v="Delhi"/>
    <s v="Direct Sales"/>
    <s v="Anita Desai"/>
    <s v="Prime Retail"/>
    <x v="5"/>
    <s v="Washing Machine"/>
    <n v="3"/>
    <n v="36020.99"/>
    <n v="108062.97"/>
    <n v="3636.95"/>
    <n v="26028.53"/>
    <n v="78397.490000000005"/>
    <s v="Pending"/>
    <s v="Pending"/>
  </r>
  <r>
    <s v="INV-2026-01698"/>
    <x v="70"/>
    <s v="North"/>
    <s v="Lucknow"/>
    <s v="Online"/>
    <s v="Meera Joshi"/>
    <s v="Skyline Corp"/>
    <x v="1"/>
    <s v="Bookshelf"/>
    <n v="21"/>
    <n v="3502.7"/>
    <n v="73556.7"/>
    <n v="6961.53"/>
    <n v="0"/>
    <n v="66595.17"/>
    <s v="Pending"/>
    <s v="Pending"/>
  </r>
  <r>
    <s v="INV-2026-01699"/>
    <x v="30"/>
    <s v="North"/>
    <s v="Lucknow"/>
    <s v="Online"/>
    <s v="Rahul Sharma"/>
    <s v="Metro Mart"/>
    <x v="3"/>
    <s v="Smartphone"/>
    <n v="44"/>
    <n v="40014.019999999997"/>
    <n v="1760616.88"/>
    <n v="0"/>
    <n v="0"/>
    <n v="1760616.88"/>
    <s v="Processing"/>
    <s v="Pending"/>
  </r>
  <r>
    <s v="INV-2026-01700"/>
    <x v="83"/>
    <s v="West"/>
    <s v="Surat"/>
    <s v="Online"/>
    <s v="Rahul Sharma"/>
    <s v="Digital Hub"/>
    <x v="0"/>
    <s v="Printer Paper"/>
    <n v="2"/>
    <n v="32010.51"/>
    <n v="64021.02"/>
    <n v="0"/>
    <n v="14975.76"/>
    <n v="49045.26"/>
    <s v="Cancelled"/>
    <s v="Pending"/>
  </r>
  <r>
    <s v="INV-2026-01701"/>
    <x v="5"/>
    <s v="North"/>
    <s v="Jaipur"/>
    <s v="Online"/>
    <s v="Vijay Singh"/>
    <s v="Digital Hub"/>
    <x v="4"/>
    <s v="Dress"/>
    <n v="23"/>
    <n v="14470.82"/>
    <n v="332828.86"/>
    <n v="50758.3"/>
    <n v="0"/>
    <n v="282070.56"/>
    <s v="Pending"/>
    <s v="Paid"/>
  </r>
  <r>
    <s v="INV-2026-01702"/>
    <x v="48"/>
    <s v="West"/>
    <s v="Ahmedabad"/>
    <s v="Retail Store"/>
    <s v="Amit Kumar"/>
    <s v="Digital Hub"/>
    <x v="3"/>
    <s v="Tablet"/>
    <n v="21"/>
    <n v="14274.33"/>
    <n v="299760.93"/>
    <n v="3115.06"/>
    <n v="0"/>
    <n v="296645.87"/>
    <s v="Processing"/>
    <s v="Pending"/>
  </r>
  <r>
    <s v="INV-2026-01703"/>
    <x v="83"/>
    <s v="Central"/>
    <s v="Bhopal"/>
    <s v="Retail Store"/>
    <s v="Anita Desai"/>
    <s v="Prime Retail"/>
    <x v="1"/>
    <s v="Cabinet"/>
    <n v="17"/>
    <n v="47166.43"/>
    <n v="801829.31"/>
    <n v="0"/>
    <n v="0"/>
    <n v="801829.31"/>
    <s v="Completed"/>
    <s v="Paid"/>
  </r>
  <r>
    <s v="INV-2026-01704"/>
    <x v="67"/>
    <s v="North"/>
    <s v="Delhi"/>
    <s v="Distributor"/>
    <s v="Meera Joshi"/>
    <s v="Future Tech"/>
    <x v="5"/>
    <s v="Microwave"/>
    <n v="33"/>
    <n v="36665.51"/>
    <n v="1209961.83"/>
    <n v="0"/>
    <n v="0"/>
    <n v="1209961.83"/>
    <s v="Processing"/>
    <s v="Paid"/>
  </r>
  <r>
    <s v="INV-2026-01705"/>
    <x v="79"/>
    <s v="East"/>
    <s v="Bhubaneswar"/>
    <s v="Retail Store"/>
    <s v="Rajesh Verma"/>
    <s v="Future Tech"/>
    <x v="2"/>
    <s v="Gym Equipment"/>
    <n v="8"/>
    <n v="21919.040000000001"/>
    <n v="175352.32000000001"/>
    <n v="24730.22"/>
    <n v="0"/>
    <n v="150622.1"/>
    <s v="Processing"/>
    <s v="Pending"/>
  </r>
  <r>
    <s v="INV-2026-01706"/>
    <x v="53"/>
    <s v="South"/>
    <s v="Kochi"/>
    <s v="Distributor"/>
    <s v="Anita Desai"/>
    <s v="Global Traders"/>
    <x v="4"/>
    <s v="Jeans"/>
    <n v="6"/>
    <n v="28575"/>
    <n v="171450"/>
    <n v="0"/>
    <n v="26685.3"/>
    <n v="144764.70000000001"/>
    <s v="Completed"/>
    <s v="Overdue"/>
  </r>
  <r>
    <s v="INV-2026-01707"/>
    <x v="37"/>
    <s v="South"/>
    <s v="Bangalore"/>
    <s v="Retail Store"/>
    <s v="Priya Patel"/>
    <s v="ABC Corp"/>
    <x v="4"/>
    <s v="T-Shirt"/>
    <n v="15"/>
    <n v="42393.65"/>
    <n v="635904.75"/>
    <n v="92350.07"/>
    <n v="0"/>
    <n v="543554.68000000005"/>
    <s v="Cancelled"/>
    <s v="Pending"/>
  </r>
  <r>
    <s v="INV-2026-01708"/>
    <x v="38"/>
    <s v="South"/>
    <s v="Chennai"/>
    <s v="Distributor"/>
    <s v="Meera Joshi"/>
    <s v="Metro Mart"/>
    <x v="5"/>
    <s v="TV"/>
    <n v="48"/>
    <n v="1011.94"/>
    <n v="48573.120000000003"/>
    <n v="396.09"/>
    <n v="0"/>
    <n v="48177.03"/>
    <s v="Cancelled"/>
    <s v="Pending"/>
  </r>
  <r>
    <s v="INV-2026-01709"/>
    <x v="53"/>
    <s v="East"/>
    <s v="Guwahati"/>
    <s v="Distributor"/>
    <s v="Anita Desai"/>
    <s v="Global Traders"/>
    <x v="4"/>
    <s v="Shoes"/>
    <n v="8"/>
    <n v="24091.41"/>
    <n v="192731.28"/>
    <n v="6300.83"/>
    <n v="51781.05"/>
    <n v="134649.4"/>
    <s v="Pending"/>
    <s v="Pending"/>
  </r>
  <r>
    <s v="INV-2026-01710"/>
    <x v="41"/>
    <s v="Central"/>
    <s v="Raipur"/>
    <s v="Direct Sales"/>
    <s v="Rahul Sharma"/>
    <s v="Omega Stores"/>
    <x v="0"/>
    <s v="Whiteboard"/>
    <n v="5"/>
    <n v="19720.07"/>
    <n v="98600.35"/>
    <n v="18918.38"/>
    <n v="0"/>
    <n v="79681.97"/>
    <s v="Pending"/>
    <s v="Pending"/>
  </r>
  <r>
    <s v="INV-2026-01711"/>
    <x v="52"/>
    <s v="South"/>
    <s v="Chennai"/>
    <s v="Retail Store"/>
    <s v="Vijay Singh"/>
    <s v="Future Tech"/>
    <x v="0"/>
    <s v="Whiteboard"/>
    <n v="15"/>
    <n v="8226.7199999999993"/>
    <n v="123400.8"/>
    <n v="4990.47"/>
    <n v="0"/>
    <n v="118410.33"/>
    <s v="Pending"/>
    <s v="Paid"/>
  </r>
  <r>
    <s v="INV-2026-01712"/>
    <x v="29"/>
    <s v="East"/>
    <s v="Guwahati"/>
    <s v="Online"/>
    <s v="Meera Joshi"/>
    <s v="Smart Systems"/>
    <x v="1"/>
    <s v="Cabinet"/>
    <n v="16"/>
    <n v="1448.57"/>
    <n v="23177.119999999999"/>
    <n v="2496.04"/>
    <n v="0"/>
    <n v="20681.080000000002"/>
    <s v="Pending"/>
    <s v="Pending"/>
  </r>
  <r>
    <s v="INV-2026-01713"/>
    <x v="21"/>
    <s v="Central"/>
    <s v="Nagpur"/>
    <s v="Distributor"/>
    <s v="Sneha Reddy"/>
    <s v="Prime Retail"/>
    <x v="2"/>
    <s v="Football"/>
    <n v="10"/>
    <n v="14588.64"/>
    <n v="145886.39999999999"/>
    <n v="0"/>
    <n v="0"/>
    <n v="145886.39999999999"/>
    <s v="Completed"/>
    <s v="Paid"/>
  </r>
  <r>
    <s v="INV-2026-01714"/>
    <x v="28"/>
    <s v="Central"/>
    <s v="Indore"/>
    <s v="Retail Store"/>
    <s v="Meera Joshi"/>
    <s v="Prime Retail"/>
    <x v="3"/>
    <s v="Laptop"/>
    <n v="9"/>
    <n v="41623.57"/>
    <n v="374612.13"/>
    <n v="74646.7"/>
    <n v="0"/>
    <n v="299965.43"/>
    <s v="Pending"/>
    <s v="Pending"/>
  </r>
  <r>
    <s v="INV-2026-01715"/>
    <x v="77"/>
    <s v="East"/>
    <s v="Bhubaneswar"/>
    <s v="Distributor"/>
    <s v="Rajesh Verma"/>
    <s v="XYZ Ltd"/>
    <x v="4"/>
    <s v="Jacket"/>
    <n v="40"/>
    <n v="19344.93"/>
    <n v="773797.2"/>
    <n v="31878.7"/>
    <n v="16489.34"/>
    <n v="725429.16"/>
    <s v="Cancelled"/>
    <s v="Pending"/>
  </r>
  <r>
    <s v="INV-2026-01716"/>
    <x v="51"/>
    <s v="Central"/>
    <s v="Bhopal"/>
    <s v="Online"/>
    <s v="Kavita Nair"/>
    <s v="Urban Store"/>
    <x v="2"/>
    <s v="Gym Equipment"/>
    <n v="39"/>
    <n v="48264.02"/>
    <n v="1882296.78"/>
    <n v="32251.14"/>
    <n v="0"/>
    <n v="1850045.64"/>
    <s v="Processing"/>
    <s v="Pending"/>
  </r>
  <r>
    <s v="INV-2026-01717"/>
    <x v="48"/>
    <s v="Central"/>
    <s v="Indore"/>
    <s v="Online"/>
    <s v="Amit Kumar"/>
    <s v="Alpha Trading"/>
    <x v="2"/>
    <s v="Gym Equipment"/>
    <n v="48"/>
    <n v="22475.06"/>
    <n v="1078802.8799999999"/>
    <n v="0"/>
    <n v="0"/>
    <n v="1078802.8799999999"/>
    <s v="Pending"/>
    <s v="Paid"/>
  </r>
  <r>
    <s v="INV-2026-01718"/>
    <x v="0"/>
    <s v="Central"/>
    <s v="Bhopal"/>
    <s v="Retail Store"/>
    <s v="Rajesh Verma"/>
    <s v="Omega Stores"/>
    <x v="2"/>
    <s v="Bicycle"/>
    <n v="17"/>
    <n v="17555.8"/>
    <n v="298448.59999999998"/>
    <n v="40203.65"/>
    <n v="0"/>
    <n v="258244.95"/>
    <s v="Cancelled"/>
    <s v="Pending"/>
  </r>
  <r>
    <s v="INV-2026-01719"/>
    <x v="65"/>
    <s v="Central"/>
    <s v="Indore"/>
    <s v="Retail Store"/>
    <s v="Vijay Singh"/>
    <s v="Smart Systems"/>
    <x v="4"/>
    <s v="T-Shirt"/>
    <n v="20"/>
    <n v="27777.7"/>
    <n v="555554"/>
    <n v="74276.28"/>
    <n v="20746.099999999999"/>
    <n v="460531.62"/>
    <s v="Processing"/>
    <s v="Pending"/>
  </r>
  <r>
    <s v="INV-2026-01720"/>
    <x v="1"/>
    <s v="Central"/>
    <s v="Nagpur"/>
    <s v="Distributor"/>
    <s v="Suresh Gupta"/>
    <s v="Prime Retail"/>
    <x v="4"/>
    <s v="Jacket"/>
    <n v="9"/>
    <n v="26854.799999999999"/>
    <n v="241693.2"/>
    <n v="0"/>
    <n v="0"/>
    <n v="241693.2"/>
    <s v="Processing"/>
    <s v="Pending"/>
  </r>
  <r>
    <s v="INV-2026-01721"/>
    <x v="66"/>
    <s v="Central"/>
    <s v="Bhopal"/>
    <s v="Direct Sales"/>
    <s v="Kavita Nair"/>
    <s v="Skyline Corp"/>
    <x v="3"/>
    <s v="Camera"/>
    <n v="1"/>
    <n v="40493.199999999997"/>
    <n v="40493.199999999997"/>
    <n v="7691.48"/>
    <n v="0"/>
    <n v="32801.72"/>
    <s v="Cancelled"/>
    <s v="Pending"/>
  </r>
  <r>
    <s v="INV-2026-01722"/>
    <x v="21"/>
    <s v="West"/>
    <s v="Surat"/>
    <s v="Retail Store"/>
    <s v="Vijay Singh"/>
    <s v="Nexus Ltd"/>
    <x v="1"/>
    <s v="Conference Table"/>
    <n v="23"/>
    <n v="10646.41"/>
    <n v="244867.43"/>
    <n v="11094.2"/>
    <n v="0"/>
    <n v="233773.23"/>
    <s v="Pending"/>
    <s v="Paid"/>
  </r>
  <r>
    <s v="INV-2026-01723"/>
    <x v="51"/>
    <s v="North"/>
    <s v="Lucknow"/>
    <s v="Retail Store"/>
    <s v="Rahul Sharma"/>
    <s v="Prime Retail"/>
    <x v="2"/>
    <s v="Gym Equipment"/>
    <n v="37"/>
    <n v="34244.1"/>
    <n v="1267031.7"/>
    <n v="69442.86"/>
    <n v="0"/>
    <n v="1197588.8400000001"/>
    <s v="Processing"/>
    <s v="Pending"/>
  </r>
  <r>
    <s v="INV-2026-01724"/>
    <x v="60"/>
    <s v="West"/>
    <s v="Pune"/>
    <s v="Retail Store"/>
    <s v="Anita Desai"/>
    <s v="Metro Mart"/>
    <x v="0"/>
    <s v="Whiteboard"/>
    <n v="42"/>
    <n v="6518.23"/>
    <n v="273765.65999999997"/>
    <n v="0"/>
    <n v="0"/>
    <n v="273765.65999999997"/>
    <s v="Pending"/>
    <s v="Paid"/>
  </r>
  <r>
    <s v="INV-2026-01725"/>
    <x v="86"/>
    <s v="Central"/>
    <s v="Raipur"/>
    <s v="Retail Store"/>
    <s v="Vijay Singh"/>
    <s v="Skyline Corp"/>
    <x v="5"/>
    <s v="Microwave"/>
    <n v="47"/>
    <n v="50051.75"/>
    <n v="2352432.25"/>
    <n v="0"/>
    <n v="0"/>
    <n v="2352432.25"/>
    <s v="Completed"/>
    <s v="Paid"/>
  </r>
  <r>
    <s v="INV-2026-01726"/>
    <x v="85"/>
    <s v="East"/>
    <s v="Patna"/>
    <s v="Direct Sales"/>
    <s v="Anita Desai"/>
    <s v="Prime Retail"/>
    <x v="1"/>
    <s v="Bookshelf"/>
    <n v="1"/>
    <n v="44788.39"/>
    <n v="44788.39"/>
    <n v="0"/>
    <n v="0"/>
    <n v="44788.39"/>
    <s v="Completed"/>
    <s v="Paid"/>
  </r>
  <r>
    <s v="INV-2026-01727"/>
    <x v="40"/>
    <s v="West"/>
    <s v="Ahmedabad"/>
    <s v="Retail Store"/>
    <s v="Rajesh Verma"/>
    <s v="Skyline Corp"/>
    <x v="4"/>
    <s v="Jeans"/>
    <n v="14"/>
    <n v="35451.19"/>
    <n v="496316.66"/>
    <n v="26717.17"/>
    <n v="0"/>
    <n v="469599.49"/>
    <s v="Completed"/>
    <s v="Paid"/>
  </r>
  <r>
    <s v="INV-2026-01728"/>
    <x v="3"/>
    <s v="East"/>
    <s v="Bhubaneswar"/>
    <s v="Distributor"/>
    <s v="Meera Joshi"/>
    <s v="Skyline Corp"/>
    <x v="1"/>
    <s v="Cabinet"/>
    <n v="28"/>
    <n v="8499.3700000000008"/>
    <n v="237982.36"/>
    <n v="18648.78"/>
    <n v="0"/>
    <n v="219333.58"/>
    <s v="Cancelled"/>
    <s v="Pending"/>
  </r>
  <r>
    <s v="INV-2026-01729"/>
    <x v="41"/>
    <s v="North"/>
    <s v="Chandigarh"/>
    <s v="Distributor"/>
    <s v="Rajesh Verma"/>
    <s v="XYZ Ltd"/>
    <x v="2"/>
    <s v="Cricket Bat"/>
    <n v="26"/>
    <n v="32967.53"/>
    <n v="857155.78"/>
    <n v="0"/>
    <n v="0"/>
    <n v="857155.78"/>
    <s v="Processing"/>
    <s v="Paid"/>
  </r>
  <r>
    <s v="INV-2026-01730"/>
    <x v="14"/>
    <s v="West"/>
    <s v="Ahmedabad"/>
    <s v="Online"/>
    <s v="Amit Kumar"/>
    <s v="Elite Enterprises"/>
    <x v="2"/>
    <s v="Bicycle"/>
    <n v="19"/>
    <n v="44552.42"/>
    <n v="846495.98"/>
    <n v="163741.04"/>
    <n v="167899.12"/>
    <n v="514855.82"/>
    <s v="Cancelled"/>
    <s v="Pending"/>
  </r>
  <r>
    <s v="INV-2026-01731"/>
    <x v="81"/>
    <s v="South"/>
    <s v="Kochi"/>
    <s v="Distributor"/>
    <s v="Sneha Reddy"/>
    <s v="Elite Enterprises"/>
    <x v="3"/>
    <s v="Tablet"/>
    <n v="3"/>
    <n v="48202.28"/>
    <n v="144606.84"/>
    <n v="15025"/>
    <n v="0"/>
    <n v="129581.84"/>
    <s v="Pending"/>
    <s v="Pending"/>
  </r>
  <r>
    <s v="INV-2026-01732"/>
    <x v="9"/>
    <s v="West"/>
    <s v="Pune"/>
    <s v="Direct Sales"/>
    <s v="Rajesh Verma"/>
    <s v="Urban Store"/>
    <x v="1"/>
    <s v="Bookshelf"/>
    <n v="14"/>
    <n v="21242.28"/>
    <n v="297391.92"/>
    <n v="15805.17"/>
    <n v="0"/>
    <n v="281586.75"/>
    <s v="Processing"/>
    <s v="Pending"/>
  </r>
  <r>
    <s v="INV-2026-01733"/>
    <x v="44"/>
    <s v="West"/>
    <s v="Ahmedabad"/>
    <s v="Direct Sales"/>
    <s v="Priya Patel"/>
    <s v="Global Traders"/>
    <x v="0"/>
    <s v="Pen Set"/>
    <n v="39"/>
    <n v="36297.440000000002"/>
    <n v="1415600.16"/>
    <n v="0"/>
    <n v="171505.2"/>
    <n v="1244094.96"/>
    <s v="Cancelled"/>
    <s v="Pending"/>
  </r>
  <r>
    <s v="INV-2026-01734"/>
    <x v="36"/>
    <s v="South"/>
    <s v="Chennai"/>
    <s v="Direct Sales"/>
    <s v="Meera Joshi"/>
    <s v="XYZ Ltd"/>
    <x v="1"/>
    <s v="Bookshelf"/>
    <n v="43"/>
    <n v="30561.48"/>
    <n v="1314143.6399999999"/>
    <n v="100240.21"/>
    <n v="0"/>
    <n v="1213903.43"/>
    <s v="Processing"/>
    <s v="Pending"/>
  </r>
  <r>
    <s v="INV-2026-01735"/>
    <x v="35"/>
    <s v="Central"/>
    <s v="Raipur"/>
    <s v="Retail Store"/>
    <s v="Kavita Nair"/>
    <s v="XYZ Ltd"/>
    <x v="2"/>
    <s v="Bicycle"/>
    <n v="25"/>
    <n v="37319.93"/>
    <n v="932998.25"/>
    <n v="48578.559999999998"/>
    <n v="38231.49"/>
    <n v="846188.2"/>
    <s v="Pending"/>
    <s v="Pending"/>
  </r>
  <r>
    <s v="INV-2026-01736"/>
    <x v="84"/>
    <s v="North"/>
    <s v="Chandigarh"/>
    <s v="Distributor"/>
    <s v="Suresh Gupta"/>
    <s v="Metro Mart"/>
    <x v="5"/>
    <s v="Refrigerator"/>
    <n v="10"/>
    <n v="24728.37"/>
    <n v="247283.7"/>
    <n v="42348.19"/>
    <n v="0"/>
    <n v="204935.51"/>
    <s v="Cancelled"/>
    <s v="Pending"/>
  </r>
  <r>
    <s v="INV-2026-01737"/>
    <x v="31"/>
    <s v="South"/>
    <s v="Bangalore"/>
    <s v="Distributor"/>
    <s v="Suresh Gupta"/>
    <s v="Omega Stores"/>
    <x v="1"/>
    <s v="Sofa"/>
    <n v="21"/>
    <n v="14924.88"/>
    <n v="313422.48"/>
    <n v="0"/>
    <n v="41362.49"/>
    <n v="272059.99"/>
    <s v="Completed"/>
    <s v="Paid"/>
  </r>
  <r>
    <s v="INV-2026-01738"/>
    <x v="63"/>
    <s v="North"/>
    <s v="Delhi"/>
    <s v="Retail Store"/>
    <s v="Kavita Nair"/>
    <s v="Digital Hub"/>
    <x v="5"/>
    <s v="Air Conditioner"/>
    <n v="49"/>
    <n v="15784.85"/>
    <n v="773457.65"/>
    <n v="72823.97"/>
    <n v="0"/>
    <n v="700633.68"/>
    <s v="Processing"/>
    <s v="Pending"/>
  </r>
  <r>
    <s v="INV-2026-01739"/>
    <x v="68"/>
    <s v="South"/>
    <s v="Chennai"/>
    <s v="Distributor"/>
    <s v="Suresh Gupta"/>
    <s v="XYZ Ltd"/>
    <x v="3"/>
    <s v="Laptop"/>
    <n v="5"/>
    <n v="20498.03"/>
    <n v="102490.15"/>
    <n v="0"/>
    <n v="0"/>
    <n v="102490.15"/>
    <s v="Processing"/>
    <s v="Pending"/>
  </r>
  <r>
    <s v="INV-2026-01740"/>
    <x v="67"/>
    <s v="West"/>
    <s v="Pune"/>
    <s v="Distributor"/>
    <s v="Kavita Nair"/>
    <s v="XYZ Ltd"/>
    <x v="2"/>
    <s v="Bicycle"/>
    <n v="2"/>
    <n v="43399.360000000001"/>
    <n v="86798.720000000001"/>
    <n v="12138.29"/>
    <n v="0"/>
    <n v="74660.429999999993"/>
    <s v="Cancelled"/>
    <s v="Pending"/>
  </r>
  <r>
    <s v="INV-2026-01741"/>
    <x v="7"/>
    <s v="West"/>
    <s v="Ahmedabad"/>
    <s v="Direct Sales"/>
    <s v="Rahul Sharma"/>
    <s v="Alpha Trading"/>
    <x v="5"/>
    <s v="Washing Machine"/>
    <n v="40"/>
    <n v="4813.3599999999997"/>
    <n v="192534.39999999999"/>
    <n v="12526.11"/>
    <n v="0"/>
    <n v="180008.29"/>
    <s v="Completed"/>
    <s v="Paid"/>
  </r>
  <r>
    <s v="INV-2026-01742"/>
    <x v="60"/>
    <s v="Central"/>
    <s v="Nagpur"/>
    <s v="Distributor"/>
    <s v="Priya Patel"/>
    <s v="Digital Hub"/>
    <x v="4"/>
    <s v="Jacket"/>
    <n v="18"/>
    <n v="45818.46"/>
    <n v="824732.28"/>
    <n v="40896.589999999997"/>
    <n v="0"/>
    <n v="783835.69"/>
    <s v="Pending"/>
    <s v="Pending"/>
  </r>
  <r>
    <s v="INV-2026-01743"/>
    <x v="65"/>
    <s v="Central"/>
    <s v="Raipur"/>
    <s v="Direct Sales"/>
    <s v="Rajesh Verma"/>
    <s v="Nexus Ltd"/>
    <x v="3"/>
    <s v="Smart Watch"/>
    <n v="2"/>
    <n v="5491.52"/>
    <n v="10983.04"/>
    <n v="736.61"/>
    <n v="0"/>
    <n v="10246.43"/>
    <s v="Cancelled"/>
    <s v="Pending"/>
  </r>
  <r>
    <s v="INV-2026-01744"/>
    <x v="37"/>
    <s v="North"/>
    <s v="Lucknow"/>
    <s v="Distributor"/>
    <s v="Meera Joshi"/>
    <s v="ABC Corp"/>
    <x v="4"/>
    <s v="Jeans"/>
    <n v="14"/>
    <n v="3920.84"/>
    <n v="54891.76"/>
    <n v="9910.73"/>
    <n v="0"/>
    <n v="44981.03"/>
    <s v="Completed"/>
    <s v="Paid"/>
  </r>
  <r>
    <s v="INV-2026-01745"/>
    <x v="48"/>
    <s v="West"/>
    <s v="Pune"/>
    <s v="Retail Store"/>
    <s v="Kavita Nair"/>
    <s v="Omega Stores"/>
    <x v="3"/>
    <s v="Laptop"/>
    <n v="1"/>
    <n v="3956.87"/>
    <n v="3956.87"/>
    <n v="546.4"/>
    <n v="0"/>
    <n v="3410.47"/>
    <s v="Completed"/>
    <s v="Paid"/>
  </r>
  <r>
    <s v="INV-2026-01746"/>
    <x v="51"/>
    <s v="North"/>
    <s v="Lucknow"/>
    <s v="Retail Store"/>
    <s v="Kavita Nair"/>
    <s v="Elite Enterprises"/>
    <x v="4"/>
    <s v="Jacket"/>
    <n v="8"/>
    <n v="2510.91"/>
    <n v="20087.28"/>
    <n v="0"/>
    <n v="0"/>
    <n v="20087.28"/>
    <s v="Cancelled"/>
    <s v="Pending"/>
  </r>
  <r>
    <s v="INV-2026-01747"/>
    <x v="72"/>
    <s v="North"/>
    <s v="Jaipur"/>
    <s v="Online"/>
    <s v="Priya Patel"/>
    <s v="Urban Store"/>
    <x v="4"/>
    <s v="Dress"/>
    <n v="23"/>
    <n v="9551"/>
    <n v="219673"/>
    <n v="5071.0600000000004"/>
    <n v="63640.18"/>
    <n v="150961.76"/>
    <s v="Cancelled"/>
    <s v="Pending"/>
  </r>
  <r>
    <s v="INV-2026-01748"/>
    <x v="53"/>
    <s v="West"/>
    <s v="Surat"/>
    <s v="Distributor"/>
    <s v="Meera Joshi"/>
    <s v="Future Tech"/>
    <x v="4"/>
    <s v="T-Shirt"/>
    <n v="21"/>
    <n v="17134.689999999999"/>
    <n v="359828.49"/>
    <n v="43911.77"/>
    <n v="0"/>
    <n v="315916.71999999997"/>
    <s v="Completed"/>
    <s v="Paid"/>
  </r>
  <r>
    <s v="INV-2026-01749"/>
    <x v="82"/>
    <s v="Central"/>
    <s v="Nagpur"/>
    <s v="Online"/>
    <s v="Meera Joshi"/>
    <s v="Urban Store"/>
    <x v="1"/>
    <s v="Cabinet"/>
    <n v="21"/>
    <n v="3333.01"/>
    <n v="69993.210000000006"/>
    <n v="10091.33"/>
    <n v="0"/>
    <n v="59901.88"/>
    <s v="Cancelled"/>
    <s v="Pending"/>
  </r>
  <r>
    <s v="INV-2026-01750"/>
    <x v="88"/>
    <s v="West"/>
    <s v="Pune"/>
    <s v="Distributor"/>
    <s v="Anita Desai"/>
    <s v="Urban Store"/>
    <x v="2"/>
    <s v="Yoga Mat"/>
    <n v="33"/>
    <n v="38420.730000000003"/>
    <n v="1267884.0900000001"/>
    <n v="11860.8"/>
    <n v="0"/>
    <n v="1256023.29"/>
    <s v="Processing"/>
    <s v="Pending"/>
  </r>
  <r>
    <s v="INV-2026-01751"/>
    <x v="77"/>
    <s v="East"/>
    <s v="Kolkata"/>
    <s v="Direct Sales"/>
    <s v="Sneha Reddy"/>
    <s v="Urban Store"/>
    <x v="1"/>
    <s v="Office Chair"/>
    <n v="29"/>
    <n v="35188.769999999997"/>
    <n v="1020474.33"/>
    <n v="0"/>
    <n v="0"/>
    <n v="1020474.33"/>
    <s v="Pending"/>
    <s v="Paid"/>
  </r>
  <r>
    <s v="INV-2026-01752"/>
    <x v="44"/>
    <s v="Central"/>
    <s v="Indore"/>
    <s v="Online"/>
    <s v="Rahul Sharma"/>
    <s v="Skyline Corp"/>
    <x v="4"/>
    <s v="Dress"/>
    <n v="28"/>
    <n v="18657.23"/>
    <n v="522402.44"/>
    <n v="39676.19"/>
    <n v="0"/>
    <n v="482726.25"/>
    <s v="Completed"/>
    <s v="Paid"/>
  </r>
  <r>
    <s v="INV-2026-01753"/>
    <x v="40"/>
    <s v="Central"/>
    <s v="Raipur"/>
    <s v="Online"/>
    <s v="Sneha Reddy"/>
    <s v="Metro Mart"/>
    <x v="0"/>
    <s v="Pen Set"/>
    <n v="3"/>
    <n v="15666.63"/>
    <n v="46999.89"/>
    <n v="4472.2"/>
    <n v="0"/>
    <n v="42527.69"/>
    <s v="Processing"/>
    <s v="Paid"/>
  </r>
  <r>
    <s v="INV-2026-01754"/>
    <x v="76"/>
    <s v="North"/>
    <s v="Chandigarh"/>
    <s v="Direct Sales"/>
    <s v="Anita Desai"/>
    <s v="Smart Systems"/>
    <x v="2"/>
    <s v="Football"/>
    <n v="5"/>
    <n v="2623.86"/>
    <n v="13119.3"/>
    <n v="2595.7600000000002"/>
    <n v="0"/>
    <n v="10523.54"/>
    <s v="Processing"/>
    <s v="Pending"/>
  </r>
  <r>
    <s v="INV-2026-01755"/>
    <x v="75"/>
    <s v="South"/>
    <s v="Chennai"/>
    <s v="Online"/>
    <s v="Rajesh Verma"/>
    <s v="Nexus Ltd"/>
    <x v="5"/>
    <s v="Air Conditioner"/>
    <n v="22"/>
    <n v="28602.06"/>
    <n v="629245.31999999995"/>
    <n v="43461.57"/>
    <n v="0"/>
    <n v="585783.75"/>
    <s v="Cancelled"/>
    <s v="Pending"/>
  </r>
  <r>
    <s v="INV-2026-01756"/>
    <x v="8"/>
    <s v="East"/>
    <s v="Patna"/>
    <s v="Distributor"/>
    <s v="Priya Patel"/>
    <s v="Nexus Ltd"/>
    <x v="3"/>
    <s v="Laptop"/>
    <n v="9"/>
    <n v="11130.03"/>
    <n v="100170.27"/>
    <n v="0"/>
    <n v="0"/>
    <n v="100170.27"/>
    <s v="Cancelled"/>
    <s v="Pending"/>
  </r>
  <r>
    <s v="INV-2026-01757"/>
    <x v="91"/>
    <s v="North"/>
    <s v="Jaipur"/>
    <s v="Online"/>
    <s v="Anita Desai"/>
    <s v="Future Tech"/>
    <x v="2"/>
    <s v="Tennis Racket"/>
    <n v="32"/>
    <n v="49572.85"/>
    <n v="1586331.2"/>
    <n v="246172.54"/>
    <n v="0"/>
    <n v="1340158.6599999999"/>
    <s v="Processing"/>
    <s v="Paid"/>
  </r>
  <r>
    <s v="INV-2026-01758"/>
    <x v="27"/>
    <s v="West"/>
    <s v="Ahmedabad"/>
    <s v="Online"/>
    <s v="Vijay Singh"/>
    <s v="Global Traders"/>
    <x v="1"/>
    <s v="Cabinet"/>
    <n v="50"/>
    <n v="18664.52"/>
    <n v="933226"/>
    <n v="0"/>
    <n v="0"/>
    <n v="933226"/>
    <s v="Completed"/>
    <s v="Paid"/>
  </r>
  <r>
    <s v="INV-2026-01759"/>
    <x v="52"/>
    <s v="East"/>
    <s v="Guwahati"/>
    <s v="Distributor"/>
    <s v="Vijay Singh"/>
    <s v="Metro Mart"/>
    <x v="0"/>
    <s v="Pen Set"/>
    <n v="37"/>
    <n v="50233.279999999999"/>
    <n v="1858631.36"/>
    <n v="190495.81"/>
    <n v="0"/>
    <n v="1668135.55"/>
    <s v="Pending"/>
    <s v="Paid"/>
  </r>
  <r>
    <s v="INV-2026-01760"/>
    <x v="5"/>
    <s v="North"/>
    <s v="Chandigarh"/>
    <s v="Direct Sales"/>
    <s v="Priya Patel"/>
    <s v="Alpha Trading"/>
    <x v="1"/>
    <s v="Desk"/>
    <n v="18"/>
    <n v="26051.29"/>
    <n v="468923.22"/>
    <n v="50089.74"/>
    <n v="86201.08"/>
    <n v="332632.40000000002"/>
    <s v="Pending"/>
    <s v="Paid"/>
  </r>
  <r>
    <s v="INV-2026-01761"/>
    <x v="70"/>
    <s v="South"/>
    <s v="Bangalore"/>
    <s v="Distributor"/>
    <s v="Priya Patel"/>
    <s v="Skyline Corp"/>
    <x v="5"/>
    <s v="Washing Machine"/>
    <n v="19"/>
    <n v="29786.77"/>
    <n v="565948.63"/>
    <n v="81685.899999999994"/>
    <n v="0"/>
    <n v="484262.73"/>
    <s v="Processing"/>
    <s v="Paid"/>
  </r>
  <r>
    <s v="INV-2026-01762"/>
    <x v="8"/>
    <s v="South"/>
    <s v="Kochi"/>
    <s v="Retail Store"/>
    <s v="Rajesh Verma"/>
    <s v="Global Traders"/>
    <x v="4"/>
    <s v="Jeans"/>
    <n v="46"/>
    <n v="45662.19"/>
    <n v="2100460.7400000002"/>
    <n v="63918.64"/>
    <n v="228440.73"/>
    <n v="1808101.37"/>
    <s v="Pending"/>
    <s v="Paid"/>
  </r>
  <r>
    <s v="INV-2026-01763"/>
    <x v="79"/>
    <s v="South"/>
    <s v="Kochi"/>
    <s v="Retail Store"/>
    <s v="Amit Kumar"/>
    <s v="Omega Stores"/>
    <x v="1"/>
    <s v="Bookshelf"/>
    <n v="3"/>
    <n v="3705.73"/>
    <n v="11117.19"/>
    <n v="1754.66"/>
    <n v="0"/>
    <n v="9362.5300000000007"/>
    <s v="Pending"/>
    <s v="Paid"/>
  </r>
  <r>
    <s v="INV-2026-01764"/>
    <x v="39"/>
    <s v="West"/>
    <s v="Ahmedabad"/>
    <s v="Distributor"/>
    <s v="Kavita Nair"/>
    <s v="Prime Retail"/>
    <x v="3"/>
    <s v="Tablet"/>
    <n v="39"/>
    <n v="26665.89"/>
    <n v="1039969.71"/>
    <n v="87535.76"/>
    <n v="192479.35999999999"/>
    <n v="759954.59"/>
    <s v="Pending"/>
    <s v="Paid"/>
  </r>
  <r>
    <s v="INV-2026-01765"/>
    <x v="12"/>
    <s v="Central"/>
    <s v="Bhopal"/>
    <s v="Retail Store"/>
    <s v="Suresh Gupta"/>
    <s v="Nexus Ltd"/>
    <x v="3"/>
    <s v="Smart Watch"/>
    <n v="11"/>
    <n v="4044.41"/>
    <n v="44488.51"/>
    <n v="8807.86"/>
    <n v="0"/>
    <n v="35680.65"/>
    <s v="Cancelled"/>
    <s v="Pending"/>
  </r>
  <r>
    <s v="INV-2026-01766"/>
    <x v="25"/>
    <s v="East"/>
    <s v="Bhubaneswar"/>
    <s v="Retail Store"/>
    <s v="Amit Kumar"/>
    <s v="Omega Stores"/>
    <x v="3"/>
    <s v="Smartphone"/>
    <n v="12"/>
    <n v="20355.830000000002"/>
    <n v="244269.96"/>
    <n v="0"/>
    <n v="0"/>
    <n v="244269.96"/>
    <s v="Pending"/>
    <s v="Pending"/>
  </r>
  <r>
    <s v="INV-2026-01767"/>
    <x v="63"/>
    <s v="East"/>
    <s v="Patna"/>
    <s v="Distributor"/>
    <s v="Suresh Gupta"/>
    <s v="Nexus Ltd"/>
    <x v="3"/>
    <s v="Headphones"/>
    <n v="29"/>
    <n v="42344.35"/>
    <n v="1227986.1499999999"/>
    <n v="0"/>
    <n v="124276.8"/>
    <n v="1103709.3500000001"/>
    <s v="Cancelled"/>
    <s v="Pending"/>
  </r>
  <r>
    <s v="INV-2026-01768"/>
    <x v="85"/>
    <s v="West"/>
    <s v="Pune"/>
    <s v="Direct Sales"/>
    <s v="Meera Joshi"/>
    <s v="Global Traders"/>
    <x v="2"/>
    <s v="Gym Equipment"/>
    <n v="49"/>
    <n v="10925.74"/>
    <n v="535361.26"/>
    <n v="47786.77"/>
    <n v="0"/>
    <n v="487574.49"/>
    <s v="Completed"/>
    <s v="Paid"/>
  </r>
  <r>
    <s v="INV-2026-01769"/>
    <x v="73"/>
    <s v="Central"/>
    <s v="Bhopal"/>
    <s v="Distributor"/>
    <s v="Amit Kumar"/>
    <s v="Omega Stores"/>
    <x v="4"/>
    <s v="Formal Shirt"/>
    <n v="28"/>
    <n v="29071.03"/>
    <n v="813988.84"/>
    <n v="0"/>
    <n v="0"/>
    <n v="813988.84"/>
    <s v="Cancelled"/>
    <s v="Pending"/>
  </r>
  <r>
    <s v="INV-2026-01770"/>
    <x v="65"/>
    <s v="Central"/>
    <s v="Raipur"/>
    <s v="Direct Sales"/>
    <s v="Rahul Sharma"/>
    <s v="ABC Corp"/>
    <x v="2"/>
    <s v="Yoga Mat"/>
    <n v="3"/>
    <n v="24207.91"/>
    <n v="72623.73"/>
    <n v="13501.56"/>
    <n v="3082.6"/>
    <n v="56039.57"/>
    <s v="Pending"/>
    <s v="Paid"/>
  </r>
  <r>
    <s v="INV-2026-01771"/>
    <x v="16"/>
    <s v="Central"/>
    <s v="Indore"/>
    <s v="Distributor"/>
    <s v="Anita Desai"/>
    <s v="Digital Hub"/>
    <x v="1"/>
    <s v="Office Chair"/>
    <n v="25"/>
    <n v="39272.300000000003"/>
    <n v="981807.5"/>
    <n v="92439.74"/>
    <n v="0"/>
    <n v="889367.76"/>
    <s v="Pending"/>
    <s v="Paid"/>
  </r>
  <r>
    <s v="INV-2026-01772"/>
    <x v="25"/>
    <s v="Central"/>
    <s v="Indore"/>
    <s v="Direct Sales"/>
    <s v="Meera Joshi"/>
    <s v="Metro Mart"/>
    <x v="3"/>
    <s v="Laptop"/>
    <n v="23"/>
    <n v="2440.08"/>
    <n v="56121.84"/>
    <n v="643.21"/>
    <n v="0"/>
    <n v="55478.63"/>
    <s v="Cancelled"/>
    <s v="Pending"/>
  </r>
  <r>
    <s v="INV-2026-01773"/>
    <x v="81"/>
    <s v="South"/>
    <s v="Chennai"/>
    <s v="Distributor"/>
    <s v="Vijay Singh"/>
    <s v="Nexus Ltd"/>
    <x v="2"/>
    <s v="Yoga Mat"/>
    <n v="41"/>
    <n v="19885.05"/>
    <n v="815287.05"/>
    <n v="0"/>
    <n v="0"/>
    <n v="815287.05"/>
    <s v="Completed"/>
    <s v="Overdue"/>
  </r>
  <r>
    <s v="INV-2026-01774"/>
    <x v="79"/>
    <s v="East"/>
    <s v="Guwahati"/>
    <s v="Distributor"/>
    <s v="Suresh Gupta"/>
    <s v="Nexus Ltd"/>
    <x v="3"/>
    <s v="Tablet"/>
    <n v="24"/>
    <n v="3314.01"/>
    <n v="79536.240000000005"/>
    <n v="2659.64"/>
    <n v="0"/>
    <n v="76876.600000000006"/>
    <s v="Cancelled"/>
    <s v="Pending"/>
  </r>
  <r>
    <s v="INV-2026-01775"/>
    <x v="33"/>
    <s v="West"/>
    <s v="Pune"/>
    <s v="Online"/>
    <s v="Rahul Sharma"/>
    <s v="Elite Enterprises"/>
    <x v="5"/>
    <s v="Refrigerator"/>
    <n v="12"/>
    <n v="44133.4"/>
    <n v="529600.80000000005"/>
    <n v="20561.330000000002"/>
    <n v="0"/>
    <n v="509039.47"/>
    <s v="Completed"/>
    <s v="Paid"/>
  </r>
  <r>
    <s v="INV-2026-01776"/>
    <x v="73"/>
    <s v="Central"/>
    <s v="Nagpur"/>
    <s v="Direct Sales"/>
    <s v="Kavita Nair"/>
    <s v="ABC Corp"/>
    <x v="4"/>
    <s v="Shoes"/>
    <n v="30"/>
    <n v="2028.01"/>
    <n v="60840.3"/>
    <n v="10048.540000000001"/>
    <n v="0"/>
    <n v="50791.76"/>
    <s v="Completed"/>
    <s v="Paid"/>
  </r>
  <r>
    <s v="INV-2026-01777"/>
    <x v="15"/>
    <s v="East"/>
    <s v="Guwahati"/>
    <s v="Distributor"/>
    <s v="Rajesh Verma"/>
    <s v="Metro Mart"/>
    <x v="3"/>
    <s v="Smartphone"/>
    <n v="18"/>
    <n v="20700.32"/>
    <n v="372605.76"/>
    <n v="12484.42"/>
    <n v="0"/>
    <n v="360121.34"/>
    <s v="Completed"/>
    <s v="Pending"/>
  </r>
  <r>
    <s v="INV-2026-01778"/>
    <x v="53"/>
    <s v="Central"/>
    <s v="Nagpur"/>
    <s v="Retail Store"/>
    <s v="Meera Joshi"/>
    <s v="Omega Stores"/>
    <x v="5"/>
    <s v="Washing Machine"/>
    <n v="24"/>
    <n v="4582.53"/>
    <n v="109980.72"/>
    <n v="13360.21"/>
    <n v="0"/>
    <n v="96620.51"/>
    <s v="Completed"/>
    <s v="Paid"/>
  </r>
  <r>
    <s v="INV-2026-01779"/>
    <x v="44"/>
    <s v="West"/>
    <s v="Pune"/>
    <s v="Direct Sales"/>
    <s v="Vijay Singh"/>
    <s v="Omega Stores"/>
    <x v="3"/>
    <s v="Tablet"/>
    <n v="12"/>
    <n v="40209.019999999997"/>
    <n v="482508.24"/>
    <n v="0"/>
    <n v="32629.200000000001"/>
    <n v="449879.03999999998"/>
    <s v="Processing"/>
    <s v="Pending"/>
  </r>
  <r>
    <s v="INV-2026-01780"/>
    <x v="54"/>
    <s v="Central"/>
    <s v="Bhopal"/>
    <s v="Online"/>
    <s v="Amit Kumar"/>
    <s v="Digital Hub"/>
    <x v="0"/>
    <s v="Printer Paper"/>
    <n v="18"/>
    <n v="8859.0300000000007"/>
    <n v="159462.54"/>
    <n v="0"/>
    <n v="0"/>
    <n v="159462.54"/>
    <s v="Processing"/>
    <s v="Pending"/>
  </r>
  <r>
    <s v="INV-2026-01781"/>
    <x v="24"/>
    <s v="Central"/>
    <s v="Indore"/>
    <s v="Distributor"/>
    <s v="Suresh Gupta"/>
    <s v="Elite Enterprises"/>
    <x v="1"/>
    <s v="Office Chair"/>
    <n v="19"/>
    <n v="32508.959999999999"/>
    <n v="617670.24"/>
    <n v="12906.44"/>
    <n v="0"/>
    <n v="604763.80000000005"/>
    <s v="Cancelled"/>
    <s v="Pending"/>
  </r>
  <r>
    <s v="INV-2026-01782"/>
    <x v="28"/>
    <s v="North"/>
    <s v="Chandigarh"/>
    <s v="Retail Store"/>
    <s v="Rajesh Verma"/>
    <s v="ABC Corp"/>
    <x v="3"/>
    <s v="Camera"/>
    <n v="38"/>
    <n v="42385.84"/>
    <n v="1610661.92"/>
    <n v="155773.32"/>
    <n v="0"/>
    <n v="1454888.6"/>
    <s v="Processing"/>
    <s v="Pending"/>
  </r>
  <r>
    <s v="INV-2026-01783"/>
    <x v="72"/>
    <s v="West"/>
    <s v="Mumbai"/>
    <s v="Retail Store"/>
    <s v="Anita Desai"/>
    <s v="Skyline Corp"/>
    <x v="2"/>
    <s v="Tennis Racket"/>
    <n v="26"/>
    <n v="3129.4"/>
    <n v="81364.399999999994"/>
    <n v="14335.8"/>
    <n v="0"/>
    <n v="67028.600000000006"/>
    <s v="Cancelled"/>
    <s v="Pending"/>
  </r>
  <r>
    <s v="INV-2026-01784"/>
    <x v="35"/>
    <s v="East"/>
    <s v="Kolkata"/>
    <s v="Online"/>
    <s v="Sneha Reddy"/>
    <s v="Skyline Corp"/>
    <x v="0"/>
    <s v="Desk Organizer"/>
    <n v="26"/>
    <n v="35472.949999999997"/>
    <n v="922296.7"/>
    <n v="168643.48"/>
    <n v="0"/>
    <n v="753653.22"/>
    <s v="Pending"/>
    <s v="Pending"/>
  </r>
  <r>
    <s v="INV-2026-01785"/>
    <x v="79"/>
    <s v="North"/>
    <s v="Lucknow"/>
    <s v="Distributor"/>
    <s v="Meera Joshi"/>
    <s v="Nexus Ltd"/>
    <x v="4"/>
    <s v="Jacket"/>
    <n v="21"/>
    <n v="37635.58"/>
    <n v="790347.18"/>
    <n v="0"/>
    <n v="0"/>
    <n v="790347.18"/>
    <s v="Pending"/>
    <s v="Pending"/>
  </r>
  <r>
    <s v="INV-2026-01786"/>
    <x v="22"/>
    <s v="North"/>
    <s v="Jaipur"/>
    <s v="Online"/>
    <s v="Rahul Sharma"/>
    <s v="Nexus Ltd"/>
    <x v="5"/>
    <s v="Washing Machine"/>
    <n v="21"/>
    <n v="1155.74"/>
    <n v="24270.54"/>
    <n v="608.22"/>
    <n v="0"/>
    <n v="23662.32"/>
    <s v="Pending"/>
    <s v="Pending"/>
  </r>
  <r>
    <s v="INV-2026-01787"/>
    <x v="71"/>
    <s v="South"/>
    <s v="Bangalore"/>
    <s v="Direct Sales"/>
    <s v="Amit Kumar"/>
    <s v="Smart Systems"/>
    <x v="3"/>
    <s v="Tablet"/>
    <n v="34"/>
    <n v="42316.01"/>
    <n v="1438744.34"/>
    <n v="81531.06"/>
    <n v="217522.11"/>
    <n v="1139691.17"/>
    <s v="Pending"/>
    <s v="Pending"/>
  </r>
  <r>
    <s v="INV-2026-01788"/>
    <x v="53"/>
    <s v="Central"/>
    <s v="Nagpur"/>
    <s v="Retail Store"/>
    <s v="Rajesh Verma"/>
    <s v="Skyline Corp"/>
    <x v="2"/>
    <s v="Gym Equipment"/>
    <n v="31"/>
    <n v="37767.9"/>
    <n v="1170804.8999999999"/>
    <n v="128099.29"/>
    <n v="0"/>
    <n v="1042705.61"/>
    <s v="Completed"/>
    <s v="Paid"/>
  </r>
  <r>
    <s v="INV-2026-01789"/>
    <x v="79"/>
    <s v="West"/>
    <s v="Ahmedabad"/>
    <s v="Retail Store"/>
    <s v="Amit Kumar"/>
    <s v="Smart Systems"/>
    <x v="1"/>
    <s v="Bookshelf"/>
    <n v="8"/>
    <n v="6042.41"/>
    <n v="48339.28"/>
    <n v="0"/>
    <n v="0"/>
    <n v="48339.28"/>
    <s v="Cancelled"/>
    <s v="Pending"/>
  </r>
  <r>
    <s v="INV-2026-01790"/>
    <x v="63"/>
    <s v="Central"/>
    <s v="Raipur"/>
    <s v="Distributor"/>
    <s v="Amit Kumar"/>
    <s v="Alpha Trading"/>
    <x v="3"/>
    <s v="Tablet"/>
    <n v="21"/>
    <n v="49944.09"/>
    <n v="1048825.8899999999"/>
    <n v="0"/>
    <n v="0"/>
    <n v="1048825.8899999999"/>
    <s v="Cancelled"/>
    <s v="Pending"/>
  </r>
  <r>
    <s v="INV-2026-01791"/>
    <x v="61"/>
    <s v="West"/>
    <s v="Surat"/>
    <s v="Online"/>
    <s v="Rahul Sharma"/>
    <s v="Nexus Ltd"/>
    <x v="4"/>
    <s v="T-Shirt"/>
    <n v="30"/>
    <n v="16680.55"/>
    <n v="500416.5"/>
    <n v="63963.91"/>
    <n v="114201.74"/>
    <n v="322250.84999999998"/>
    <s v="Completed"/>
    <s v="Paid"/>
  </r>
  <r>
    <s v="INV-2026-01792"/>
    <x v="23"/>
    <s v="Central"/>
    <s v="Nagpur"/>
    <s v="Online"/>
    <s v="Meera Joshi"/>
    <s v="ABC Corp"/>
    <x v="1"/>
    <s v="Desk"/>
    <n v="16"/>
    <n v="44998.86"/>
    <n v="719981.76"/>
    <n v="54807.94"/>
    <n v="0"/>
    <n v="665173.81999999995"/>
    <s v="Cancelled"/>
    <s v="Pending"/>
  </r>
  <r>
    <s v="INV-2026-01793"/>
    <x v="17"/>
    <s v="East"/>
    <s v="Guwahati"/>
    <s v="Direct Sales"/>
    <s v="Kavita Nair"/>
    <s v="Urban Store"/>
    <x v="5"/>
    <s v="Refrigerator"/>
    <n v="18"/>
    <n v="42876.85"/>
    <n v="771783.3"/>
    <n v="0"/>
    <n v="0"/>
    <n v="771783.3"/>
    <s v="Processing"/>
    <s v="Pending"/>
  </r>
  <r>
    <s v="INV-2026-01794"/>
    <x v="0"/>
    <s v="North"/>
    <s v="Jaipur"/>
    <s v="Direct Sales"/>
    <s v="Kavita Nair"/>
    <s v="Elite Enterprises"/>
    <x v="1"/>
    <s v="Cabinet"/>
    <n v="44"/>
    <n v="25378.89"/>
    <n v="1116671.1599999999"/>
    <n v="125929.94"/>
    <n v="0"/>
    <n v="990741.22"/>
    <s v="Completed"/>
    <s v="Overdue"/>
  </r>
  <r>
    <s v="INV-2026-01795"/>
    <x v="1"/>
    <s v="West"/>
    <s v="Ahmedabad"/>
    <s v="Direct Sales"/>
    <s v="Suresh Gupta"/>
    <s v="Nexus Ltd"/>
    <x v="2"/>
    <s v="Gym Equipment"/>
    <n v="47"/>
    <n v="49930.2"/>
    <n v="2346719.4"/>
    <n v="259678.88"/>
    <n v="664536.52"/>
    <n v="1422504"/>
    <s v="Processing"/>
    <s v="Pending"/>
  </r>
  <r>
    <s v="INV-2026-01796"/>
    <x v="25"/>
    <s v="West"/>
    <s v="Surat"/>
    <s v="Retail Store"/>
    <s v="Meera Joshi"/>
    <s v="Metro Mart"/>
    <x v="2"/>
    <s v="Gym Equipment"/>
    <n v="5"/>
    <n v="37973.33"/>
    <n v="189866.65"/>
    <n v="1944.3"/>
    <n v="0"/>
    <n v="187922.35"/>
    <s v="Processing"/>
    <s v="Paid"/>
  </r>
  <r>
    <s v="INV-2026-01797"/>
    <x v="30"/>
    <s v="Central"/>
    <s v="Raipur"/>
    <s v="Direct Sales"/>
    <s v="Amit Kumar"/>
    <s v="Elite Enterprises"/>
    <x v="1"/>
    <s v="Cabinet"/>
    <n v="4"/>
    <n v="43897.06"/>
    <n v="175588.24"/>
    <n v="0"/>
    <n v="0"/>
    <n v="175588.24"/>
    <s v="Processing"/>
    <s v="Pending"/>
  </r>
  <r>
    <s v="INV-2026-01798"/>
    <x v="61"/>
    <s v="North"/>
    <s v="Jaipur"/>
    <s v="Direct Sales"/>
    <s v="Anita Desai"/>
    <s v="Urban Store"/>
    <x v="0"/>
    <s v="Desk Organizer"/>
    <n v="20"/>
    <n v="20276.95"/>
    <n v="405539"/>
    <n v="0"/>
    <n v="0"/>
    <n v="405539"/>
    <s v="Processing"/>
    <s v="Pending"/>
  </r>
  <r>
    <s v="INV-2026-01799"/>
    <x v="2"/>
    <s v="East"/>
    <s v="Kolkata"/>
    <s v="Distributor"/>
    <s v="Priya Patel"/>
    <s v="Smart Systems"/>
    <x v="0"/>
    <s v="Printer Paper"/>
    <n v="28"/>
    <n v="36431.040000000001"/>
    <n v="1020069.12"/>
    <n v="63209.45"/>
    <n v="0"/>
    <n v="956859.67"/>
    <s v="Cancelled"/>
    <s v="Pending"/>
  </r>
  <r>
    <s v="INV-2026-01800"/>
    <x v="33"/>
    <s v="South"/>
    <s v="Hyderabad"/>
    <s v="Online"/>
    <s v="Meera Joshi"/>
    <s v="Elite Enterprises"/>
    <x v="3"/>
    <s v="Smartphone"/>
    <n v="44"/>
    <n v="15237.73"/>
    <n v="670460.12"/>
    <n v="68237.81"/>
    <n v="0"/>
    <n v="602222.31000000006"/>
    <s v="Completed"/>
    <s v="Paid"/>
  </r>
  <r>
    <s v="INV-2026-01801"/>
    <x v="52"/>
    <s v="Central"/>
    <s v="Nagpur"/>
    <s v="Distributor"/>
    <s v="Anita Desai"/>
    <s v="Urban Store"/>
    <x v="1"/>
    <s v="Bookshelf"/>
    <n v="6"/>
    <n v="45360.61"/>
    <n v="272163.65999999997"/>
    <n v="20043.419999999998"/>
    <n v="0"/>
    <n v="252120.24"/>
    <s v="Completed"/>
    <s v="Paid"/>
  </r>
  <r>
    <s v="INV-2026-01802"/>
    <x v="30"/>
    <s v="South"/>
    <s v="Bangalore"/>
    <s v="Distributor"/>
    <s v="Amit Kumar"/>
    <s v="Digital Hub"/>
    <x v="4"/>
    <s v="T-Shirt"/>
    <n v="18"/>
    <n v="49250.19"/>
    <n v="886503.42"/>
    <n v="0"/>
    <n v="0"/>
    <n v="886503.42"/>
    <s v="Cancelled"/>
    <s v="Pending"/>
  </r>
  <r>
    <s v="INV-2026-01803"/>
    <x v="41"/>
    <s v="Central"/>
    <s v="Raipur"/>
    <s v="Distributor"/>
    <s v="Suresh Gupta"/>
    <s v="Urban Store"/>
    <x v="2"/>
    <s v="Bicycle"/>
    <n v="40"/>
    <n v="49058.18"/>
    <n v="1962327.2"/>
    <n v="233704.74"/>
    <n v="0"/>
    <n v="1728622.46"/>
    <s v="Pending"/>
    <s v="Pending"/>
  </r>
  <r>
    <s v="INV-2026-01804"/>
    <x v="65"/>
    <s v="North"/>
    <s v="Delhi"/>
    <s v="Retail Store"/>
    <s v="Rahul Sharma"/>
    <s v="ABC Corp"/>
    <x v="4"/>
    <s v="Dress"/>
    <n v="45"/>
    <n v="19747.830000000002"/>
    <n v="888652.35"/>
    <n v="66682.52"/>
    <n v="0"/>
    <n v="821969.83"/>
    <s v="Cancelled"/>
    <s v="Pending"/>
  </r>
  <r>
    <s v="INV-2026-01805"/>
    <x v="2"/>
    <s v="West"/>
    <s v="Ahmedabad"/>
    <s v="Online"/>
    <s v="Meera Joshi"/>
    <s v="Future Tech"/>
    <x v="1"/>
    <s v="Office Chair"/>
    <n v="39"/>
    <n v="39896.06"/>
    <n v="1555946.34"/>
    <n v="83433.81"/>
    <n v="0"/>
    <n v="1472512.53"/>
    <s v="Completed"/>
    <s v="Paid"/>
  </r>
  <r>
    <s v="INV-2026-01806"/>
    <x v="74"/>
    <s v="East"/>
    <s v="Guwahati"/>
    <s v="Direct Sales"/>
    <s v="Vijay Singh"/>
    <s v="Elite Enterprises"/>
    <x v="2"/>
    <s v="Bicycle"/>
    <n v="37"/>
    <n v="32108.87"/>
    <n v="1188028.19"/>
    <n v="207055.32"/>
    <n v="0"/>
    <n v="980972.87"/>
    <s v="Processing"/>
    <s v="Pending"/>
  </r>
  <r>
    <s v="INV-2026-01807"/>
    <x v="52"/>
    <s v="West"/>
    <s v="Pune"/>
    <s v="Direct Sales"/>
    <s v="Suresh Gupta"/>
    <s v="ABC Corp"/>
    <x v="5"/>
    <s v="Refrigerator"/>
    <n v="4"/>
    <n v="12424.47"/>
    <n v="49697.88"/>
    <n v="8591.61"/>
    <n v="0"/>
    <n v="41106.269999999997"/>
    <s v="Cancelled"/>
    <s v="Pending"/>
  </r>
  <r>
    <s v="INV-2026-01808"/>
    <x v="21"/>
    <s v="West"/>
    <s v="Mumbai"/>
    <s v="Online"/>
    <s v="Kavita Nair"/>
    <s v="Urban Store"/>
    <x v="4"/>
    <s v="Jeans"/>
    <n v="9"/>
    <n v="19842.830000000002"/>
    <n v="178585.47"/>
    <n v="1485.63"/>
    <n v="0"/>
    <n v="177099.84"/>
    <s v="Processing"/>
    <s v="Pending"/>
  </r>
  <r>
    <s v="INV-2026-01809"/>
    <x v="21"/>
    <s v="South"/>
    <s v="Kochi"/>
    <s v="Online"/>
    <s v="Anita Desai"/>
    <s v="Skyline Corp"/>
    <x v="0"/>
    <s v="Desk Organizer"/>
    <n v="14"/>
    <n v="20406.21"/>
    <n v="285686.94"/>
    <n v="11967.75"/>
    <n v="0"/>
    <n v="273719.19"/>
    <s v="Pending"/>
    <s v="Paid"/>
  </r>
  <r>
    <s v="INV-2026-01810"/>
    <x v="42"/>
    <s v="East"/>
    <s v="Patna"/>
    <s v="Direct Sales"/>
    <s v="Sneha Reddy"/>
    <s v="Tech Solutions"/>
    <x v="1"/>
    <s v="Office Chair"/>
    <n v="9"/>
    <n v="34664.910000000003"/>
    <n v="311984.19"/>
    <n v="13649.27"/>
    <n v="2924.48"/>
    <n v="295410.44"/>
    <s v="Completed"/>
    <s v="Paid"/>
  </r>
  <r>
    <s v="INV-2026-01811"/>
    <x v="66"/>
    <s v="Central"/>
    <s v="Indore"/>
    <s v="Retail Store"/>
    <s v="Priya Patel"/>
    <s v="XYZ Ltd"/>
    <x v="0"/>
    <s v="Printer Paper"/>
    <n v="25"/>
    <n v="34406.120000000003"/>
    <n v="860153"/>
    <n v="79452.98"/>
    <n v="0"/>
    <n v="780700.02"/>
    <s v="Pending"/>
    <s v="Pending"/>
  </r>
  <r>
    <s v="INV-2026-01812"/>
    <x v="12"/>
    <s v="East"/>
    <s v="Guwahati"/>
    <s v="Online"/>
    <s v="Priya Patel"/>
    <s v="ABC Corp"/>
    <x v="2"/>
    <s v="Football"/>
    <n v="24"/>
    <n v="16291.46"/>
    <n v="390995.04"/>
    <n v="0"/>
    <n v="0"/>
    <n v="390995.04"/>
    <s v="Cancelled"/>
    <s v="Pending"/>
  </r>
  <r>
    <s v="INV-2026-01813"/>
    <x v="69"/>
    <s v="North"/>
    <s v="Chandigarh"/>
    <s v="Direct Sales"/>
    <s v="Amit Kumar"/>
    <s v="Omega Stores"/>
    <x v="2"/>
    <s v="Bicycle"/>
    <n v="28"/>
    <n v="6852.68"/>
    <n v="191875.04"/>
    <n v="0"/>
    <n v="0"/>
    <n v="191875.04"/>
    <s v="Completed"/>
    <s v="Paid"/>
  </r>
  <r>
    <s v="INV-2026-01814"/>
    <x v="10"/>
    <s v="North"/>
    <s v="Delhi"/>
    <s v="Direct Sales"/>
    <s v="Kavita Nair"/>
    <s v="Smart Systems"/>
    <x v="1"/>
    <s v="Desk"/>
    <n v="43"/>
    <n v="922.77"/>
    <n v="39679.11"/>
    <n v="0"/>
    <n v="0"/>
    <n v="39679.11"/>
    <s v="Cancelled"/>
    <s v="Pending"/>
  </r>
  <r>
    <s v="INV-2026-01815"/>
    <x v="86"/>
    <s v="Central"/>
    <s v="Bhopal"/>
    <s v="Online"/>
    <s v="Rahul Sharma"/>
    <s v="Nexus Ltd"/>
    <x v="4"/>
    <s v="T-Shirt"/>
    <n v="38"/>
    <n v="38840.300000000003"/>
    <n v="1475931.4"/>
    <n v="206462.35"/>
    <n v="0"/>
    <n v="1269469.05"/>
    <s v="Completed"/>
    <s v="Paid"/>
  </r>
  <r>
    <s v="INV-2026-01816"/>
    <x v="28"/>
    <s v="West"/>
    <s v="Mumbai"/>
    <s v="Retail Store"/>
    <s v="Rahul Sharma"/>
    <s v="Digital Hub"/>
    <x v="0"/>
    <s v="Whiteboard"/>
    <n v="23"/>
    <n v="28050.82"/>
    <n v="645168.86"/>
    <n v="48046.16"/>
    <n v="0"/>
    <n v="597122.69999999995"/>
    <s v="Pending"/>
    <s v="Paid"/>
  </r>
  <r>
    <s v="INV-2026-01817"/>
    <x v="36"/>
    <s v="North"/>
    <s v="Lucknow"/>
    <s v="Retail Store"/>
    <s v="Suresh Gupta"/>
    <s v="ABC Corp"/>
    <x v="0"/>
    <s v="Whiteboard"/>
    <n v="50"/>
    <n v="50486.93"/>
    <n v="2524346.5"/>
    <n v="266483.93"/>
    <n v="0"/>
    <n v="2257862.5699999998"/>
    <s v="Cancelled"/>
    <s v="Pending"/>
  </r>
  <r>
    <s v="INV-2026-01818"/>
    <x v="50"/>
    <s v="South"/>
    <s v="Bangalore"/>
    <s v="Distributor"/>
    <s v="Anita Desai"/>
    <s v="Future Tech"/>
    <x v="1"/>
    <s v="Conference Table"/>
    <n v="45"/>
    <n v="30184.87"/>
    <n v="1358319.15"/>
    <n v="91029.91"/>
    <n v="299061.2"/>
    <n v="968228.04"/>
    <s v="Processing"/>
    <s v="Pending"/>
  </r>
  <r>
    <s v="INV-2026-01819"/>
    <x v="29"/>
    <s v="East"/>
    <s v="Patna"/>
    <s v="Direct Sales"/>
    <s v="Suresh Gupta"/>
    <s v="ABC Corp"/>
    <x v="4"/>
    <s v="T-Shirt"/>
    <n v="22"/>
    <n v="7741.17"/>
    <n v="170305.74"/>
    <n v="13459.73"/>
    <n v="0"/>
    <n v="156846.01"/>
    <s v="Cancelled"/>
    <s v="Pending"/>
  </r>
  <r>
    <s v="INV-2026-01820"/>
    <x v="76"/>
    <s v="North"/>
    <s v="Delhi"/>
    <s v="Retail Store"/>
    <s v="Rahul Sharma"/>
    <s v="XYZ Ltd"/>
    <x v="5"/>
    <s v="Refrigerator"/>
    <n v="34"/>
    <n v="1995.58"/>
    <n v="67849.72"/>
    <n v="0"/>
    <n v="0"/>
    <n v="67849.72"/>
    <s v="Processing"/>
    <s v="Pending"/>
  </r>
  <r>
    <s v="INV-2026-01821"/>
    <x v="79"/>
    <s v="West"/>
    <s v="Pune"/>
    <s v="Distributor"/>
    <s v="Rahul Sharma"/>
    <s v="Nexus Ltd"/>
    <x v="0"/>
    <s v="Pen Set"/>
    <n v="29"/>
    <n v="44161.61"/>
    <n v="1280686.69"/>
    <n v="156025.29999999999"/>
    <n v="0"/>
    <n v="1124661.3899999999"/>
    <s v="Processing"/>
    <s v="Pending"/>
  </r>
  <r>
    <s v="INV-2026-01822"/>
    <x v="87"/>
    <s v="Central"/>
    <s v="Raipur"/>
    <s v="Distributor"/>
    <s v="Sneha Reddy"/>
    <s v="XYZ Ltd"/>
    <x v="1"/>
    <s v="Desk"/>
    <n v="20"/>
    <n v="2796.24"/>
    <n v="55924.800000000003"/>
    <n v="901.98"/>
    <n v="0"/>
    <n v="55022.82"/>
    <s v="Processing"/>
    <s v="Pending"/>
  </r>
  <r>
    <s v="INV-2026-01823"/>
    <x v="24"/>
    <s v="South"/>
    <s v="Bangalore"/>
    <s v="Direct Sales"/>
    <s v="Sneha Reddy"/>
    <s v="Metro Mart"/>
    <x v="1"/>
    <s v="Sofa"/>
    <n v="1"/>
    <n v="19855.400000000001"/>
    <n v="19855.400000000001"/>
    <n v="785.1"/>
    <n v="0"/>
    <n v="19070.3"/>
    <s v="Processing"/>
    <s v="Pending"/>
  </r>
  <r>
    <s v="INV-2026-01824"/>
    <x v="5"/>
    <s v="North"/>
    <s v="Delhi"/>
    <s v="Retail Store"/>
    <s v="Vijay Singh"/>
    <s v="XYZ Ltd"/>
    <x v="1"/>
    <s v="Office Chair"/>
    <n v="34"/>
    <n v="42501.01"/>
    <n v="1445034.34"/>
    <n v="210250.36"/>
    <n v="0"/>
    <n v="1234783.98"/>
    <s v="Processing"/>
    <s v="Pending"/>
  </r>
  <r>
    <s v="INV-2026-01825"/>
    <x v="22"/>
    <s v="South"/>
    <s v="Hyderabad"/>
    <s v="Direct Sales"/>
    <s v="Anita Desai"/>
    <s v="Digital Hub"/>
    <x v="5"/>
    <s v="Refrigerator"/>
    <n v="4"/>
    <n v="3473.25"/>
    <n v="13893"/>
    <n v="0"/>
    <n v="0"/>
    <n v="13893"/>
    <s v="Pending"/>
    <s v="Pending"/>
  </r>
  <r>
    <s v="INV-2026-01826"/>
    <x v="52"/>
    <s v="South"/>
    <s v="Kochi"/>
    <s v="Distributor"/>
    <s v="Rajesh Verma"/>
    <s v="Elite Enterprises"/>
    <x v="4"/>
    <s v="Formal Shirt"/>
    <n v="15"/>
    <n v="35318.22"/>
    <n v="529773.30000000005"/>
    <n v="25208.43"/>
    <n v="0"/>
    <n v="504564.87"/>
    <s v="Pending"/>
    <s v="Paid"/>
  </r>
  <r>
    <s v="INV-2026-01827"/>
    <x v="59"/>
    <s v="Central"/>
    <s v="Indore"/>
    <s v="Distributor"/>
    <s v="Vijay Singh"/>
    <s v="Digital Hub"/>
    <x v="1"/>
    <s v="Desk"/>
    <n v="49"/>
    <n v="27682.400000000001"/>
    <n v="1356437.6"/>
    <n v="0"/>
    <n v="346671.71"/>
    <n v="1009765.89"/>
    <s v="Processing"/>
    <s v="Pending"/>
  </r>
  <r>
    <s v="INV-2026-01828"/>
    <x v="37"/>
    <s v="East"/>
    <s v="Kolkata"/>
    <s v="Direct Sales"/>
    <s v="Priya Patel"/>
    <s v="Global Traders"/>
    <x v="2"/>
    <s v="Tennis Racket"/>
    <n v="14"/>
    <n v="29878.82"/>
    <n v="418303.48"/>
    <n v="31890.7"/>
    <n v="0"/>
    <n v="386412.78"/>
    <s v="Processing"/>
    <s v="Paid"/>
  </r>
  <r>
    <s v="INV-2026-01829"/>
    <x v="73"/>
    <s v="East"/>
    <s v="Guwahati"/>
    <s v="Online"/>
    <s v="Suresh Gupta"/>
    <s v="Elite Enterprises"/>
    <x v="2"/>
    <s v="Cricket Bat"/>
    <n v="4"/>
    <n v="25286.03"/>
    <n v="101144.12"/>
    <n v="0"/>
    <n v="0"/>
    <n v="101144.12"/>
    <s v="Processing"/>
    <s v="Paid"/>
  </r>
  <r>
    <s v="INV-2026-01830"/>
    <x v="83"/>
    <s v="North"/>
    <s v="Lucknow"/>
    <s v="Retail Store"/>
    <s v="Suresh Gupta"/>
    <s v="Skyline Corp"/>
    <x v="5"/>
    <s v="Microwave"/>
    <n v="32"/>
    <n v="8250.26"/>
    <n v="264008.32000000001"/>
    <n v="0"/>
    <n v="63580.6"/>
    <n v="200427.72"/>
    <s v="Cancelled"/>
    <s v="Pending"/>
  </r>
  <r>
    <s v="INV-2026-01831"/>
    <x v="9"/>
    <s v="North"/>
    <s v="Lucknow"/>
    <s v="Online"/>
    <s v="Suresh Gupta"/>
    <s v="Urban Store"/>
    <x v="5"/>
    <s v="Refrigerator"/>
    <n v="34"/>
    <n v="39790.46"/>
    <n v="1352875.64"/>
    <n v="18796.169999999998"/>
    <n v="0"/>
    <n v="1334079.47"/>
    <s v="Processing"/>
    <s v="Pending"/>
  </r>
  <r>
    <s v="INV-2026-01832"/>
    <x v="7"/>
    <s v="South"/>
    <s v="Kochi"/>
    <s v="Direct Sales"/>
    <s v="Kavita Nair"/>
    <s v="Nexus Ltd"/>
    <x v="0"/>
    <s v="Notebook"/>
    <n v="38"/>
    <n v="37869"/>
    <n v="1439022"/>
    <n v="8128.24"/>
    <n v="0"/>
    <n v="1430893.76"/>
    <s v="Cancelled"/>
    <s v="Pending"/>
  </r>
  <r>
    <s v="INV-2026-01833"/>
    <x v="3"/>
    <s v="Central"/>
    <s v="Bhopal"/>
    <s v="Distributor"/>
    <s v="Kavita Nair"/>
    <s v="Alpha Trading"/>
    <x v="4"/>
    <s v="Jeans"/>
    <n v="21"/>
    <n v="26032.47"/>
    <n v="546681.87"/>
    <n v="0"/>
    <n v="131825.94"/>
    <n v="414855.93"/>
    <s v="Processing"/>
    <s v="Pending"/>
  </r>
  <r>
    <s v="INV-2026-01834"/>
    <x v="35"/>
    <s v="North"/>
    <s v="Chandigarh"/>
    <s v="Online"/>
    <s v="Vijay Singh"/>
    <s v="Smart Systems"/>
    <x v="3"/>
    <s v="Smart Watch"/>
    <n v="28"/>
    <n v="2144.5700000000002"/>
    <n v="60047.96"/>
    <n v="4655.68"/>
    <n v="0"/>
    <n v="55392.28"/>
    <s v="Completed"/>
    <s v="Pending"/>
  </r>
  <r>
    <s v="INV-2026-01835"/>
    <x v="8"/>
    <s v="North"/>
    <s v="Delhi"/>
    <s v="Online"/>
    <s v="Meera Joshi"/>
    <s v="Future Tech"/>
    <x v="0"/>
    <s v="Whiteboard"/>
    <n v="43"/>
    <n v="21179.72"/>
    <n v="910727.96"/>
    <n v="0"/>
    <n v="0"/>
    <n v="910727.96"/>
    <s v="Cancelled"/>
    <s v="Pending"/>
  </r>
  <r>
    <s v="INV-2026-01836"/>
    <x v="78"/>
    <s v="West"/>
    <s v="Ahmedabad"/>
    <s v="Retail Store"/>
    <s v="Meera Joshi"/>
    <s v="Alpha Trading"/>
    <x v="4"/>
    <s v="T-Shirt"/>
    <n v="47"/>
    <n v="49960.46"/>
    <n v="2348141.62"/>
    <n v="0"/>
    <n v="0"/>
    <n v="2348141.62"/>
    <s v="Completed"/>
    <s v="Paid"/>
  </r>
  <r>
    <s v="INV-2026-01837"/>
    <x v="62"/>
    <s v="North"/>
    <s v="Lucknow"/>
    <s v="Online"/>
    <s v="Vijay Singh"/>
    <s v="Tech Solutions"/>
    <x v="2"/>
    <s v="Tennis Racket"/>
    <n v="8"/>
    <n v="28060.18"/>
    <n v="224481.44"/>
    <n v="25346.05"/>
    <n v="0"/>
    <n v="199135.39"/>
    <s v="Completed"/>
    <s v="Paid"/>
  </r>
  <r>
    <s v="INV-2026-01838"/>
    <x v="76"/>
    <s v="South"/>
    <s v="Bangalore"/>
    <s v="Retail Store"/>
    <s v="Rajesh Verma"/>
    <s v="Skyline Corp"/>
    <x v="3"/>
    <s v="Headphones"/>
    <n v="8"/>
    <n v="6660.41"/>
    <n v="53283.28"/>
    <n v="2016.65"/>
    <n v="0"/>
    <n v="51266.63"/>
    <s v="Completed"/>
    <s v="Pending"/>
  </r>
  <r>
    <s v="INV-2026-01839"/>
    <x v="13"/>
    <s v="North"/>
    <s v="Jaipur"/>
    <s v="Online"/>
    <s v="Vijay Singh"/>
    <s v="Elite Enterprises"/>
    <x v="1"/>
    <s v="Bookshelf"/>
    <n v="8"/>
    <n v="46449.1"/>
    <n v="371592.8"/>
    <n v="0"/>
    <n v="0"/>
    <n v="371592.8"/>
    <s v="Cancelled"/>
    <s v="Pending"/>
  </r>
  <r>
    <s v="INV-2026-01840"/>
    <x v="53"/>
    <s v="East"/>
    <s v="Bhubaneswar"/>
    <s v="Online"/>
    <s v="Meera Joshi"/>
    <s v="Skyline Corp"/>
    <x v="0"/>
    <s v="Whiteboard"/>
    <n v="19"/>
    <n v="19461"/>
    <n v="369759"/>
    <n v="0"/>
    <n v="0"/>
    <n v="369759"/>
    <s v="Completed"/>
    <s v="Paid"/>
  </r>
  <r>
    <s v="INV-2026-01841"/>
    <x v="47"/>
    <s v="South"/>
    <s v="Bangalore"/>
    <s v="Online"/>
    <s v="Sneha Reddy"/>
    <s v="Digital Hub"/>
    <x v="3"/>
    <s v="Laptop"/>
    <n v="12"/>
    <n v="3783.96"/>
    <n v="45407.519999999997"/>
    <n v="0"/>
    <n v="0"/>
    <n v="45407.519999999997"/>
    <s v="Pending"/>
    <s v="Pending"/>
  </r>
  <r>
    <s v="INV-2026-01842"/>
    <x v="6"/>
    <s v="North"/>
    <s v="Jaipur"/>
    <s v="Distributor"/>
    <s v="Amit Kumar"/>
    <s v="Alpha Trading"/>
    <x v="4"/>
    <s v="Jacket"/>
    <n v="34"/>
    <n v="41640.870000000003"/>
    <n v="1415789.58"/>
    <n v="87769.01"/>
    <n v="0"/>
    <n v="1328020.57"/>
    <s v="Processing"/>
    <s v="Pending"/>
  </r>
  <r>
    <s v="INV-2026-01843"/>
    <x v="56"/>
    <s v="South"/>
    <s v="Hyderabad"/>
    <s v="Distributor"/>
    <s v="Rajesh Verma"/>
    <s v="Elite Enterprises"/>
    <x v="1"/>
    <s v="Bookshelf"/>
    <n v="36"/>
    <n v="27226.21"/>
    <n v="980143.56"/>
    <n v="105317.46"/>
    <n v="57441.17"/>
    <n v="817384.93"/>
    <s v="Completed"/>
    <s v="Paid"/>
  </r>
  <r>
    <s v="INV-2026-01844"/>
    <x v="14"/>
    <s v="South"/>
    <s v="Bangalore"/>
    <s v="Retail Store"/>
    <s v="Rajesh Verma"/>
    <s v="Elite Enterprises"/>
    <x v="1"/>
    <s v="Office Chair"/>
    <n v="30"/>
    <n v="1576.9"/>
    <n v="47307"/>
    <n v="420.69"/>
    <n v="0"/>
    <n v="46886.31"/>
    <s v="Cancelled"/>
    <s v="Pending"/>
  </r>
  <r>
    <s v="INV-2026-01845"/>
    <x v="40"/>
    <s v="South"/>
    <s v="Chennai"/>
    <s v="Retail Store"/>
    <s v="Rahul Sharma"/>
    <s v="Future Tech"/>
    <x v="3"/>
    <s v="Smartphone"/>
    <n v="17"/>
    <n v="37199.32"/>
    <n v="632388.43999999994"/>
    <n v="72635.05"/>
    <n v="0"/>
    <n v="559753.39"/>
    <s v="Processing"/>
    <s v="Pending"/>
  </r>
  <r>
    <s v="INV-2026-01846"/>
    <x v="21"/>
    <s v="Central"/>
    <s v="Indore"/>
    <s v="Direct Sales"/>
    <s v="Suresh Gupta"/>
    <s v="XYZ Ltd"/>
    <x v="4"/>
    <s v="Jacket"/>
    <n v="40"/>
    <n v="16728.810000000001"/>
    <n v="669152.4"/>
    <n v="27803.17"/>
    <n v="0"/>
    <n v="641349.23"/>
    <s v="Pending"/>
    <s v="Paid"/>
  </r>
  <r>
    <s v="INV-2026-01847"/>
    <x v="28"/>
    <s v="Central"/>
    <s v="Raipur"/>
    <s v="Retail Store"/>
    <s v="Rajesh Verma"/>
    <s v="Urban Store"/>
    <x v="1"/>
    <s v="Office Chair"/>
    <n v="21"/>
    <n v="31328.95"/>
    <n v="657907.94999999995"/>
    <n v="0"/>
    <n v="0"/>
    <n v="657907.94999999995"/>
    <s v="Pending"/>
    <s v="Paid"/>
  </r>
  <r>
    <s v="INV-2026-01848"/>
    <x v="6"/>
    <s v="East"/>
    <s v="Guwahati"/>
    <s v="Distributor"/>
    <s v="Vijay Singh"/>
    <s v="Prime Retail"/>
    <x v="1"/>
    <s v="Conference Table"/>
    <n v="7"/>
    <n v="11321.11"/>
    <n v="79247.77"/>
    <n v="0"/>
    <n v="0"/>
    <n v="79247.77"/>
    <s v="Completed"/>
    <s v="Paid"/>
  </r>
  <r>
    <s v="INV-2026-01849"/>
    <x v="81"/>
    <s v="North"/>
    <s v="Delhi"/>
    <s v="Direct Sales"/>
    <s v="Kavita Nair"/>
    <s v="Global Traders"/>
    <x v="5"/>
    <s v="Washing Machine"/>
    <n v="26"/>
    <n v="20275.7"/>
    <n v="527168.19999999995"/>
    <n v="0"/>
    <n v="114937.14"/>
    <n v="412231.06"/>
    <s v="Cancelled"/>
    <s v="Pending"/>
  </r>
  <r>
    <s v="INV-2026-01850"/>
    <x v="86"/>
    <s v="North"/>
    <s v="Chandigarh"/>
    <s v="Retail Store"/>
    <s v="Kavita Nair"/>
    <s v="Tech Solutions"/>
    <x v="3"/>
    <s v="Laptop"/>
    <n v="18"/>
    <n v="41672.559999999998"/>
    <n v="750106.08"/>
    <n v="51665.39"/>
    <n v="0"/>
    <n v="698440.69"/>
    <s v="Pending"/>
    <s v="Pending"/>
  </r>
  <r>
    <s v="INV-2026-01851"/>
    <x v="59"/>
    <s v="South"/>
    <s v="Hyderabad"/>
    <s v="Retail Store"/>
    <s v="Sneha Reddy"/>
    <s v="XYZ Ltd"/>
    <x v="2"/>
    <s v="Yoga Mat"/>
    <n v="35"/>
    <n v="36100.080000000002"/>
    <n v="1263502.8"/>
    <n v="0"/>
    <n v="0"/>
    <n v="1263502.8"/>
    <s v="Cancelled"/>
    <s v="Pending"/>
  </r>
  <r>
    <s v="INV-2026-01852"/>
    <x v="81"/>
    <s v="Central"/>
    <s v="Nagpur"/>
    <s v="Direct Sales"/>
    <s v="Amit Kumar"/>
    <s v="Prime Retail"/>
    <x v="4"/>
    <s v="Formal Shirt"/>
    <n v="11"/>
    <n v="22536.91"/>
    <n v="247906.01"/>
    <n v="0"/>
    <n v="0"/>
    <n v="247906.01"/>
    <s v="Processing"/>
    <s v="Paid"/>
  </r>
  <r>
    <s v="INV-2026-01853"/>
    <x v="16"/>
    <s v="West"/>
    <s v="Pune"/>
    <s v="Retail Store"/>
    <s v="Sneha Reddy"/>
    <s v="Tech Solutions"/>
    <x v="5"/>
    <s v="Refrigerator"/>
    <n v="7"/>
    <n v="50011.42"/>
    <n v="350079.94"/>
    <n v="13438.66"/>
    <n v="0"/>
    <n v="336641.28000000003"/>
    <s v="Cancelled"/>
    <s v="Pending"/>
  </r>
  <r>
    <s v="INV-2026-01854"/>
    <x v="19"/>
    <s v="East"/>
    <s v="Patna"/>
    <s v="Online"/>
    <s v="Vijay Singh"/>
    <s v="XYZ Ltd"/>
    <x v="5"/>
    <s v="Vacuum Cleaner"/>
    <n v="4"/>
    <n v="10438.58"/>
    <n v="41754.32"/>
    <n v="6822.45"/>
    <n v="0"/>
    <n v="34931.870000000003"/>
    <s v="Cancelled"/>
    <s v="Pending"/>
  </r>
  <r>
    <s v="INV-2026-01855"/>
    <x v="89"/>
    <s v="North"/>
    <s v="Jaipur"/>
    <s v="Direct Sales"/>
    <s v="Amit Kumar"/>
    <s v="Digital Hub"/>
    <x v="5"/>
    <s v="TV"/>
    <n v="12"/>
    <n v="29793.32"/>
    <n v="357519.84"/>
    <n v="51660.05"/>
    <n v="0"/>
    <n v="305859.78999999998"/>
    <s v="Cancelled"/>
    <s v="Pending"/>
  </r>
  <r>
    <s v="INV-2026-01856"/>
    <x v="75"/>
    <s v="Central"/>
    <s v="Indore"/>
    <s v="Retail Store"/>
    <s v="Anita Desai"/>
    <s v="Digital Hub"/>
    <x v="2"/>
    <s v="Bicycle"/>
    <n v="40"/>
    <n v="16759.580000000002"/>
    <n v="670383.19999999995"/>
    <n v="0"/>
    <n v="0"/>
    <n v="670383.19999999995"/>
    <s v="Completed"/>
    <s v="Paid"/>
  </r>
  <r>
    <s v="INV-2026-01857"/>
    <x v="42"/>
    <s v="East"/>
    <s v="Bhubaneswar"/>
    <s v="Direct Sales"/>
    <s v="Anita Desai"/>
    <s v="Elite Enterprises"/>
    <x v="3"/>
    <s v="Tablet"/>
    <n v="4"/>
    <n v="23180.38"/>
    <n v="92721.52"/>
    <n v="8492.9599999999991"/>
    <n v="0"/>
    <n v="84228.56"/>
    <s v="Completed"/>
    <s v="Pending"/>
  </r>
  <r>
    <s v="INV-2026-01858"/>
    <x v="24"/>
    <s v="East"/>
    <s v="Patna"/>
    <s v="Online"/>
    <s v="Amit Kumar"/>
    <s v="Smart Systems"/>
    <x v="0"/>
    <s v="File Folder"/>
    <n v="49"/>
    <n v="11551"/>
    <n v="565999"/>
    <n v="0"/>
    <n v="0"/>
    <n v="565999"/>
    <s v="Processing"/>
    <s v="Pending"/>
  </r>
  <r>
    <s v="INV-2026-01859"/>
    <x v="27"/>
    <s v="Central"/>
    <s v="Nagpur"/>
    <s v="Online"/>
    <s v="Kavita Nair"/>
    <s v="Tech Solutions"/>
    <x v="3"/>
    <s v="Headphones"/>
    <n v="28"/>
    <n v="39898.379999999997"/>
    <n v="1117154.6399999999"/>
    <n v="195062.94"/>
    <n v="0"/>
    <n v="922091.7"/>
    <s v="Pending"/>
    <s v="Pending"/>
  </r>
  <r>
    <s v="INV-2026-01860"/>
    <x v="25"/>
    <s v="West"/>
    <s v="Mumbai"/>
    <s v="Direct Sales"/>
    <s v="Rahul Sharma"/>
    <s v="Prime Retail"/>
    <x v="0"/>
    <s v="File Folder"/>
    <n v="47"/>
    <n v="31087.64"/>
    <n v="1461119.08"/>
    <n v="159494.15"/>
    <n v="0"/>
    <n v="1301624.93"/>
    <s v="Cancelled"/>
    <s v="Pending"/>
  </r>
  <r>
    <s v="INV-2026-01861"/>
    <x v="65"/>
    <s v="South"/>
    <s v="Hyderabad"/>
    <s v="Online"/>
    <s v="Sneha Reddy"/>
    <s v="Omega Stores"/>
    <x v="4"/>
    <s v="T-Shirt"/>
    <n v="21"/>
    <n v="48590.64"/>
    <n v="1020403.44"/>
    <n v="0"/>
    <n v="0"/>
    <n v="1020403.44"/>
    <s v="Cancelled"/>
    <s v="Pending"/>
  </r>
  <r>
    <s v="INV-2026-01862"/>
    <x v="21"/>
    <s v="East"/>
    <s v="Guwahati"/>
    <s v="Online"/>
    <s v="Vijay Singh"/>
    <s v="Global Traders"/>
    <x v="0"/>
    <s v="Whiteboard"/>
    <n v="42"/>
    <n v="37881.949999999997"/>
    <n v="1591041.9"/>
    <n v="58242.879999999997"/>
    <n v="0"/>
    <n v="1532799.02"/>
    <s v="Pending"/>
    <s v="Pending"/>
  </r>
  <r>
    <s v="INV-2026-01863"/>
    <x v="57"/>
    <s v="South"/>
    <s v="Hyderabad"/>
    <s v="Retail Store"/>
    <s v="Amit Kumar"/>
    <s v="Future Tech"/>
    <x v="1"/>
    <s v="Cabinet"/>
    <n v="3"/>
    <n v="23689.85"/>
    <n v="71069.55"/>
    <n v="0"/>
    <n v="0"/>
    <n v="71069.55"/>
    <s v="Processing"/>
    <s v="Pending"/>
  </r>
  <r>
    <s v="INV-2026-01864"/>
    <x v="73"/>
    <s v="Central"/>
    <s v="Indore"/>
    <s v="Retail Store"/>
    <s v="Rahul Sharma"/>
    <s v="Nexus Ltd"/>
    <x v="1"/>
    <s v="Conference Table"/>
    <n v="43"/>
    <n v="37720.58"/>
    <n v="1621984.94"/>
    <n v="42087.58"/>
    <n v="370942.02"/>
    <n v="1208955.3400000001"/>
    <s v="Pending"/>
    <s v="Pending"/>
  </r>
  <r>
    <s v="INV-2026-01865"/>
    <x v="57"/>
    <s v="North"/>
    <s v="Jaipur"/>
    <s v="Retail Store"/>
    <s v="Priya Patel"/>
    <s v="Omega Stores"/>
    <x v="1"/>
    <s v="Sofa"/>
    <n v="20"/>
    <n v="35715.629999999997"/>
    <n v="714312.6"/>
    <n v="119588.31"/>
    <n v="0"/>
    <n v="594724.29"/>
    <s v="Completed"/>
    <s v="Paid"/>
  </r>
  <r>
    <s v="INV-2026-01866"/>
    <x v="77"/>
    <s v="East"/>
    <s v="Bhubaneswar"/>
    <s v="Distributor"/>
    <s v="Kavita Nair"/>
    <s v="Nexus Ltd"/>
    <x v="4"/>
    <s v="Formal Shirt"/>
    <n v="22"/>
    <n v="23550.25"/>
    <n v="518105.5"/>
    <n v="0"/>
    <n v="11475.69"/>
    <n v="506629.81"/>
    <s v="Processing"/>
    <s v="Pending"/>
  </r>
  <r>
    <s v="INV-2026-01867"/>
    <x v="64"/>
    <s v="South"/>
    <s v="Kochi"/>
    <s v="Online"/>
    <s v="Amit Kumar"/>
    <s v="Alpha Trading"/>
    <x v="4"/>
    <s v="T-Shirt"/>
    <n v="9"/>
    <n v="7353.7"/>
    <n v="66183.3"/>
    <n v="9489.02"/>
    <n v="0"/>
    <n v="56694.28"/>
    <s v="Pending"/>
    <s v="Pending"/>
  </r>
  <r>
    <s v="INV-2026-01868"/>
    <x v="37"/>
    <s v="East"/>
    <s v="Bhubaneswar"/>
    <s v="Online"/>
    <s v="Suresh Gupta"/>
    <s v="Nexus Ltd"/>
    <x v="0"/>
    <s v="File Folder"/>
    <n v="43"/>
    <n v="7269.51"/>
    <n v="312588.93"/>
    <n v="51251.71"/>
    <n v="0"/>
    <n v="261337.22"/>
    <s v="Pending"/>
    <s v="Pending"/>
  </r>
  <r>
    <s v="INV-2026-01869"/>
    <x v="85"/>
    <s v="South"/>
    <s v="Hyderabad"/>
    <s v="Direct Sales"/>
    <s v="Vijay Singh"/>
    <s v="Nexus Ltd"/>
    <x v="2"/>
    <s v="Yoga Mat"/>
    <n v="27"/>
    <n v="3989.09"/>
    <n v="107705.43"/>
    <n v="8079.44"/>
    <n v="0"/>
    <n v="99625.99"/>
    <s v="Completed"/>
    <s v="Pending"/>
  </r>
  <r>
    <s v="INV-2026-01870"/>
    <x v="54"/>
    <s v="East"/>
    <s v="Kolkata"/>
    <s v="Distributor"/>
    <s v="Rahul Sharma"/>
    <s v="Elite Enterprises"/>
    <x v="3"/>
    <s v="Laptop"/>
    <n v="19"/>
    <n v="23316.77"/>
    <n v="443018.63"/>
    <n v="0"/>
    <n v="0"/>
    <n v="443018.63"/>
    <s v="Cancelled"/>
    <s v="Pending"/>
  </r>
  <r>
    <s v="INV-2026-01871"/>
    <x v="90"/>
    <s v="North"/>
    <s v="Lucknow"/>
    <s v="Direct Sales"/>
    <s v="Meera Joshi"/>
    <s v="XYZ Ltd"/>
    <x v="1"/>
    <s v="Desk"/>
    <n v="38"/>
    <n v="34008.74"/>
    <n v="1292332.1200000001"/>
    <n v="0"/>
    <n v="272411.46000000002"/>
    <n v="1019920.66"/>
    <s v="Pending"/>
    <s v="Pending"/>
  </r>
  <r>
    <s v="INV-2026-01872"/>
    <x v="54"/>
    <s v="Central"/>
    <s v="Indore"/>
    <s v="Direct Sales"/>
    <s v="Anita Desai"/>
    <s v="Tech Solutions"/>
    <x v="1"/>
    <s v="Conference Table"/>
    <n v="16"/>
    <n v="7555.96"/>
    <n v="120895.36"/>
    <n v="22691.55"/>
    <n v="4543.2"/>
    <n v="93660.61"/>
    <s v="Processing"/>
    <s v="Pending"/>
  </r>
  <r>
    <s v="INV-2026-01873"/>
    <x v="13"/>
    <s v="Central"/>
    <s v="Nagpur"/>
    <s v="Retail Store"/>
    <s v="Sneha Reddy"/>
    <s v="Urban Store"/>
    <x v="1"/>
    <s v="Office Chair"/>
    <n v="27"/>
    <n v="11903.8"/>
    <n v="321402.59999999998"/>
    <n v="6117.75"/>
    <n v="31279.34"/>
    <n v="284005.51"/>
    <s v="Pending"/>
    <s v="Pending"/>
  </r>
  <r>
    <s v="INV-2026-01874"/>
    <x v="64"/>
    <s v="East"/>
    <s v="Patna"/>
    <s v="Retail Store"/>
    <s v="Vijay Singh"/>
    <s v="Skyline Corp"/>
    <x v="0"/>
    <s v="Notebook"/>
    <n v="46"/>
    <n v="4726.49"/>
    <n v="217418.54"/>
    <n v="0"/>
    <n v="0"/>
    <n v="217418.54"/>
    <s v="Processing"/>
    <s v="Pending"/>
  </r>
  <r>
    <s v="INV-2026-01875"/>
    <x v="45"/>
    <s v="East"/>
    <s v="Bhubaneswar"/>
    <s v="Direct Sales"/>
    <s v="Rahul Sharma"/>
    <s v="XYZ Ltd"/>
    <x v="2"/>
    <s v="Yoga Mat"/>
    <n v="28"/>
    <n v="23996.79"/>
    <n v="671910.12"/>
    <n v="67340.820000000007"/>
    <n v="0"/>
    <n v="604569.30000000005"/>
    <s v="Processing"/>
    <s v="Pending"/>
  </r>
  <r>
    <s v="INV-2026-01876"/>
    <x v="91"/>
    <s v="East"/>
    <s v="Kolkata"/>
    <s v="Online"/>
    <s v="Rahul Sharma"/>
    <s v="Omega Stores"/>
    <x v="3"/>
    <s v="Headphones"/>
    <n v="42"/>
    <n v="18465.03"/>
    <n v="775531.26"/>
    <n v="136687.94"/>
    <n v="0"/>
    <n v="638843.31999999995"/>
    <s v="Processing"/>
    <s v="Paid"/>
  </r>
  <r>
    <s v="INV-2026-01877"/>
    <x v="27"/>
    <s v="East"/>
    <s v="Guwahati"/>
    <s v="Retail Store"/>
    <s v="Rahul Sharma"/>
    <s v="Global Traders"/>
    <x v="1"/>
    <s v="Sofa"/>
    <n v="33"/>
    <n v="20617.96"/>
    <n v="680392.68"/>
    <n v="0"/>
    <n v="0"/>
    <n v="680392.68"/>
    <s v="Completed"/>
    <s v="Paid"/>
  </r>
  <r>
    <s v="INV-2026-01878"/>
    <x v="64"/>
    <s v="Central"/>
    <s v="Indore"/>
    <s v="Direct Sales"/>
    <s v="Anita Desai"/>
    <s v="Omega Stores"/>
    <x v="3"/>
    <s v="Headphones"/>
    <n v="10"/>
    <n v="946.47"/>
    <n v="9464.7000000000007"/>
    <n v="1491.5"/>
    <n v="0"/>
    <n v="7973.2"/>
    <s v="Cancelled"/>
    <s v="Pending"/>
  </r>
  <r>
    <s v="INV-2026-01879"/>
    <x v="46"/>
    <s v="West"/>
    <s v="Mumbai"/>
    <s v="Online"/>
    <s v="Rajesh Verma"/>
    <s v="Elite Enterprises"/>
    <x v="3"/>
    <s v="Smart Watch"/>
    <n v="38"/>
    <n v="17819.57"/>
    <n v="677143.66"/>
    <n v="50342.6"/>
    <n v="0"/>
    <n v="626801.06000000006"/>
    <s v="Pending"/>
    <s v="Pending"/>
  </r>
  <r>
    <s v="INV-2026-01880"/>
    <x v="64"/>
    <s v="Central"/>
    <s v="Raipur"/>
    <s v="Direct Sales"/>
    <s v="Suresh Gupta"/>
    <s v="Prime Retail"/>
    <x v="3"/>
    <s v="Laptop"/>
    <n v="20"/>
    <n v="9077.1200000000008"/>
    <n v="181542.39999999999"/>
    <n v="0"/>
    <n v="0"/>
    <n v="181542.39999999999"/>
    <s v="Pending"/>
    <s v="Paid"/>
  </r>
  <r>
    <s v="INV-2026-01881"/>
    <x v="13"/>
    <s v="South"/>
    <s v="Bangalore"/>
    <s v="Retail Store"/>
    <s v="Priya Patel"/>
    <s v="ABC Corp"/>
    <x v="4"/>
    <s v="Formal Shirt"/>
    <n v="12"/>
    <n v="27881.42"/>
    <n v="334577.03999999998"/>
    <n v="23227.52"/>
    <n v="0"/>
    <n v="311349.52"/>
    <s v="Completed"/>
    <s v="Overdue"/>
  </r>
  <r>
    <s v="INV-2026-01882"/>
    <x v="56"/>
    <s v="Central"/>
    <s v="Raipur"/>
    <s v="Distributor"/>
    <s v="Anita Desai"/>
    <s v="Future Tech"/>
    <x v="3"/>
    <s v="Laptop"/>
    <n v="13"/>
    <n v="47414.49"/>
    <n v="616388.37"/>
    <n v="1410.62"/>
    <n v="0"/>
    <n v="614977.75"/>
    <s v="Processing"/>
    <s v="Paid"/>
  </r>
  <r>
    <s v="INV-2026-01883"/>
    <x v="41"/>
    <s v="North"/>
    <s v="Lucknow"/>
    <s v="Online"/>
    <s v="Sneha Reddy"/>
    <s v="Global Traders"/>
    <x v="5"/>
    <s v="Vacuum Cleaner"/>
    <n v="6"/>
    <n v="29577.119999999999"/>
    <n v="177462.72"/>
    <n v="0"/>
    <n v="0"/>
    <n v="177462.72"/>
    <s v="Completed"/>
    <s v="Paid"/>
  </r>
  <r>
    <s v="INV-2026-01884"/>
    <x v="11"/>
    <s v="North"/>
    <s v="Jaipur"/>
    <s v="Direct Sales"/>
    <s v="Vijay Singh"/>
    <s v="Global Traders"/>
    <x v="2"/>
    <s v="Yoga Mat"/>
    <n v="8"/>
    <n v="10586.06"/>
    <n v="84688.48"/>
    <n v="0"/>
    <n v="2440.71"/>
    <n v="82247.77"/>
    <s v="Completed"/>
    <s v="Paid"/>
  </r>
  <r>
    <s v="INV-2026-01885"/>
    <x v="2"/>
    <s v="Central"/>
    <s v="Raipur"/>
    <s v="Retail Store"/>
    <s v="Rahul Sharma"/>
    <s v="Nexus Ltd"/>
    <x v="0"/>
    <s v="Desk Organizer"/>
    <n v="41"/>
    <n v="29963.21"/>
    <n v="1228491.6100000001"/>
    <n v="144817.19"/>
    <n v="0"/>
    <n v="1083674.42"/>
    <s v="Cancelled"/>
    <s v="Pending"/>
  </r>
  <r>
    <s v="INV-2026-01886"/>
    <x v="42"/>
    <s v="Central"/>
    <s v="Bhopal"/>
    <s v="Online"/>
    <s v="Amit Kumar"/>
    <s v="Elite Enterprises"/>
    <x v="0"/>
    <s v="Whiteboard"/>
    <n v="29"/>
    <n v="697.17"/>
    <n v="20217.93"/>
    <n v="1889.96"/>
    <n v="1429.21"/>
    <n v="16898.759999999998"/>
    <s v="Completed"/>
    <s v="Paid"/>
  </r>
  <r>
    <s v="INV-2026-01887"/>
    <x v="18"/>
    <s v="Central"/>
    <s v="Raipur"/>
    <s v="Retail Store"/>
    <s v="Rajesh Verma"/>
    <s v="Nexus Ltd"/>
    <x v="0"/>
    <s v="Whiteboard"/>
    <n v="22"/>
    <n v="31052.7"/>
    <n v="683159.4"/>
    <n v="116790.05"/>
    <n v="0"/>
    <n v="566369.35"/>
    <s v="Completed"/>
    <s v="Paid"/>
  </r>
  <r>
    <s v="INV-2026-01888"/>
    <x v="50"/>
    <s v="West"/>
    <s v="Ahmedabad"/>
    <s v="Online"/>
    <s v="Rajesh Verma"/>
    <s v="Global Traders"/>
    <x v="5"/>
    <s v="TV"/>
    <n v="4"/>
    <n v="49359.78"/>
    <n v="197439.12"/>
    <n v="7978.27"/>
    <n v="0"/>
    <n v="189460.85"/>
    <s v="Processing"/>
    <s v="Pending"/>
  </r>
  <r>
    <s v="INV-2026-01889"/>
    <x v="55"/>
    <s v="West"/>
    <s v="Ahmedabad"/>
    <s v="Direct Sales"/>
    <s v="Amit Kumar"/>
    <s v="Tech Solutions"/>
    <x v="5"/>
    <s v="Washing Machine"/>
    <n v="28"/>
    <n v="25205.53"/>
    <n v="705754.84"/>
    <n v="0"/>
    <n v="0"/>
    <n v="705754.84"/>
    <s v="Cancelled"/>
    <s v="Pending"/>
  </r>
  <r>
    <s v="INV-2026-01890"/>
    <x v="4"/>
    <s v="Central"/>
    <s v="Nagpur"/>
    <s v="Online"/>
    <s v="Rahul Sharma"/>
    <s v="XYZ Ltd"/>
    <x v="2"/>
    <s v="Gym Equipment"/>
    <n v="20"/>
    <n v="3021.61"/>
    <n v="60432.2"/>
    <n v="5605.8"/>
    <n v="0"/>
    <n v="54826.400000000001"/>
    <s v="Processing"/>
    <s v="Pending"/>
  </r>
  <r>
    <s v="INV-2026-01891"/>
    <x v="38"/>
    <s v="North"/>
    <s v="Delhi"/>
    <s v="Retail Store"/>
    <s v="Suresh Gupta"/>
    <s v="XYZ Ltd"/>
    <x v="1"/>
    <s v="Sofa"/>
    <n v="9"/>
    <n v="6736.01"/>
    <n v="60624.09"/>
    <n v="11163.42"/>
    <n v="0"/>
    <n v="49460.67"/>
    <s v="Processing"/>
    <s v="Pending"/>
  </r>
  <r>
    <s v="INV-2026-01892"/>
    <x v="39"/>
    <s v="East"/>
    <s v="Patna"/>
    <s v="Direct Sales"/>
    <s v="Suresh Gupta"/>
    <s v="Prime Retail"/>
    <x v="1"/>
    <s v="Sofa"/>
    <n v="16"/>
    <n v="42831.22"/>
    <n v="685299.52"/>
    <n v="0"/>
    <n v="0"/>
    <n v="685299.52"/>
    <s v="Cancelled"/>
    <s v="Pending"/>
  </r>
  <r>
    <s v="INV-2026-01893"/>
    <x v="5"/>
    <s v="South"/>
    <s v="Bangalore"/>
    <s v="Online"/>
    <s v="Anita Desai"/>
    <s v="Digital Hub"/>
    <x v="4"/>
    <s v="Shoes"/>
    <n v="16"/>
    <n v="13280.84"/>
    <n v="212493.44"/>
    <n v="0"/>
    <n v="0"/>
    <n v="212493.44"/>
    <s v="Completed"/>
    <s v="Paid"/>
  </r>
  <r>
    <s v="INV-2026-01894"/>
    <x v="13"/>
    <s v="North"/>
    <s v="Chandigarh"/>
    <s v="Retail Store"/>
    <s v="Vijay Singh"/>
    <s v="Global Traders"/>
    <x v="4"/>
    <s v="Jeans"/>
    <n v="25"/>
    <n v="38837.67"/>
    <n v="970941.75"/>
    <n v="143647.69"/>
    <n v="0"/>
    <n v="827294.06"/>
    <s v="Pending"/>
    <s v="Paid"/>
  </r>
  <r>
    <s v="INV-2026-01895"/>
    <x v="77"/>
    <s v="South"/>
    <s v="Kochi"/>
    <s v="Retail Store"/>
    <s v="Rajesh Verma"/>
    <s v="Future Tech"/>
    <x v="0"/>
    <s v="Whiteboard"/>
    <n v="11"/>
    <n v="10589.03"/>
    <n v="116479.33"/>
    <n v="3488.09"/>
    <n v="1041.81"/>
    <n v="111949.43"/>
    <s v="Pending"/>
    <s v="Paid"/>
  </r>
  <r>
    <s v="INV-2026-01896"/>
    <x v="64"/>
    <s v="South"/>
    <s v="Hyderabad"/>
    <s v="Distributor"/>
    <s v="Kavita Nair"/>
    <s v="Nexus Ltd"/>
    <x v="1"/>
    <s v="Desk"/>
    <n v="36"/>
    <n v="8761.27"/>
    <n v="315405.71999999997"/>
    <n v="24532.15"/>
    <n v="0"/>
    <n v="290873.57"/>
    <s v="Processing"/>
    <s v="Pending"/>
  </r>
  <r>
    <s v="INV-2026-01897"/>
    <x v="58"/>
    <s v="South"/>
    <s v="Kochi"/>
    <s v="Distributor"/>
    <s v="Rahul Sharma"/>
    <s v="Tech Solutions"/>
    <x v="4"/>
    <s v="Formal Shirt"/>
    <n v="37"/>
    <n v="2849.19"/>
    <n v="105420.03"/>
    <n v="10459.18"/>
    <n v="0"/>
    <n v="94960.85"/>
    <s v="Cancelled"/>
    <s v="Pending"/>
  </r>
  <r>
    <s v="INV-2026-01898"/>
    <x v="44"/>
    <s v="East"/>
    <s v="Patna"/>
    <s v="Online"/>
    <s v="Rahul Sharma"/>
    <s v="Digital Hub"/>
    <x v="1"/>
    <s v="Office Chair"/>
    <n v="43"/>
    <n v="2979.72"/>
    <n v="128127.96"/>
    <n v="10443.780000000001"/>
    <n v="0"/>
    <n v="117684.18"/>
    <s v="Pending"/>
    <s v="Paid"/>
  </r>
  <r>
    <s v="INV-2026-01899"/>
    <x v="76"/>
    <s v="South"/>
    <s v="Bangalore"/>
    <s v="Direct Sales"/>
    <s v="Amit Kumar"/>
    <s v="Prime Retail"/>
    <x v="0"/>
    <s v="Printer Paper"/>
    <n v="37"/>
    <n v="16660.22"/>
    <n v="616428.14"/>
    <n v="6089.19"/>
    <n v="0"/>
    <n v="610338.94999999995"/>
    <s v="Pending"/>
    <s v="Paid"/>
  </r>
  <r>
    <s v="INV-2026-01900"/>
    <x v="43"/>
    <s v="Central"/>
    <s v="Indore"/>
    <s v="Online"/>
    <s v="Sneha Reddy"/>
    <s v="ABC Corp"/>
    <x v="4"/>
    <s v="Jacket"/>
    <n v="47"/>
    <n v="14837.96"/>
    <n v="697384.12"/>
    <n v="0"/>
    <n v="0"/>
    <n v="697384.12"/>
    <s v="Pending"/>
    <s v="Pending"/>
  </r>
  <r>
    <s v="INV-2026-01901"/>
    <x v="1"/>
    <s v="Central"/>
    <s v="Raipur"/>
    <s v="Distributor"/>
    <s v="Amit Kumar"/>
    <s v="Prime Retail"/>
    <x v="1"/>
    <s v="Desk"/>
    <n v="48"/>
    <n v="46937.95"/>
    <n v="2253021.6"/>
    <n v="0"/>
    <n v="0"/>
    <n v="2253021.6"/>
    <s v="Processing"/>
    <s v="Paid"/>
  </r>
  <r>
    <s v="INV-2026-01902"/>
    <x v="87"/>
    <s v="South"/>
    <s v="Hyderabad"/>
    <s v="Direct Sales"/>
    <s v="Kavita Nair"/>
    <s v="Skyline Corp"/>
    <x v="3"/>
    <s v="Tablet"/>
    <n v="15"/>
    <n v="37770.36"/>
    <n v="566555.4"/>
    <n v="87040.24"/>
    <n v="0"/>
    <n v="479515.16"/>
    <s v="Pending"/>
    <s v="Pending"/>
  </r>
  <r>
    <s v="INV-2026-01903"/>
    <x v="46"/>
    <s v="Central"/>
    <s v="Raipur"/>
    <s v="Online"/>
    <s v="Rajesh Verma"/>
    <s v="Prime Retail"/>
    <x v="5"/>
    <s v="Washing Machine"/>
    <n v="3"/>
    <n v="29413.86"/>
    <n v="88241.58"/>
    <n v="8718.59"/>
    <n v="0"/>
    <n v="79522.990000000005"/>
    <s v="Processing"/>
    <s v="Paid"/>
  </r>
  <r>
    <s v="INV-2026-01904"/>
    <x v="56"/>
    <s v="Central"/>
    <s v="Raipur"/>
    <s v="Direct Sales"/>
    <s v="Kavita Nair"/>
    <s v="Digital Hub"/>
    <x v="0"/>
    <s v="Notebook"/>
    <n v="21"/>
    <n v="16082.78"/>
    <n v="337738.38"/>
    <n v="0"/>
    <n v="0"/>
    <n v="337738.38"/>
    <s v="Completed"/>
    <s v="Paid"/>
  </r>
  <r>
    <s v="INV-2026-01905"/>
    <x v="0"/>
    <s v="South"/>
    <s v="Chennai"/>
    <s v="Online"/>
    <s v="Amit Kumar"/>
    <s v="Future Tech"/>
    <x v="3"/>
    <s v="Tablet"/>
    <n v="16"/>
    <n v="7458.64"/>
    <n v="119338.24000000001"/>
    <n v="10315.81"/>
    <n v="21846.05"/>
    <n v="87176.38"/>
    <s v="Completed"/>
    <s v="Paid"/>
  </r>
  <r>
    <s v="INV-2026-01906"/>
    <x v="74"/>
    <s v="East"/>
    <s v="Bhubaneswar"/>
    <s v="Online"/>
    <s v="Anita Desai"/>
    <s v="Alpha Trading"/>
    <x v="4"/>
    <s v="Jacket"/>
    <n v="13"/>
    <n v="35948.07"/>
    <n v="467324.91"/>
    <n v="24240.74"/>
    <n v="0"/>
    <n v="443084.17"/>
    <s v="Completed"/>
    <s v="Overdue"/>
  </r>
  <r>
    <s v="INV-2026-01907"/>
    <x v="63"/>
    <s v="Central"/>
    <s v="Nagpur"/>
    <s v="Retail Store"/>
    <s v="Rahul Sharma"/>
    <s v="Tech Solutions"/>
    <x v="1"/>
    <s v="Sofa"/>
    <n v="6"/>
    <n v="21976.43"/>
    <n v="131858.57999999999"/>
    <n v="21433.94"/>
    <n v="0"/>
    <n v="110424.64"/>
    <s v="Processing"/>
    <s v="Paid"/>
  </r>
  <r>
    <s v="INV-2026-01908"/>
    <x v="42"/>
    <s v="Central"/>
    <s v="Bhopal"/>
    <s v="Direct Sales"/>
    <s v="Anita Desai"/>
    <s v="Nexus Ltd"/>
    <x v="4"/>
    <s v="Jeans"/>
    <n v="4"/>
    <n v="5001.5"/>
    <n v="20006"/>
    <n v="0"/>
    <n v="0"/>
    <n v="20006"/>
    <s v="Cancelled"/>
    <s v="Pending"/>
  </r>
  <r>
    <s v="INV-2026-01909"/>
    <x v="62"/>
    <s v="West"/>
    <s v="Mumbai"/>
    <s v="Online"/>
    <s v="Anita Desai"/>
    <s v="Tech Solutions"/>
    <x v="0"/>
    <s v="Whiteboard"/>
    <n v="18"/>
    <n v="39124.300000000003"/>
    <n v="704237.4"/>
    <n v="28154.33"/>
    <n v="0"/>
    <n v="676083.07"/>
    <s v="Cancelled"/>
    <s v="Pending"/>
  </r>
  <r>
    <s v="INV-2026-01910"/>
    <x v="59"/>
    <s v="West"/>
    <s v="Pune"/>
    <s v="Online"/>
    <s v="Sneha Reddy"/>
    <s v="Global Traders"/>
    <x v="1"/>
    <s v="Office Chair"/>
    <n v="46"/>
    <n v="17445.22"/>
    <n v="802480.12"/>
    <n v="0"/>
    <n v="0"/>
    <n v="802480.12"/>
    <s v="Processing"/>
    <s v="Paid"/>
  </r>
  <r>
    <s v="INV-2026-01911"/>
    <x v="56"/>
    <s v="North"/>
    <s v="Chandigarh"/>
    <s v="Direct Sales"/>
    <s v="Rajesh Verma"/>
    <s v="Global Traders"/>
    <x v="1"/>
    <s v="Bookshelf"/>
    <n v="48"/>
    <n v="30544.81"/>
    <n v="1466150.88"/>
    <n v="0"/>
    <n v="0"/>
    <n v="1466150.88"/>
    <s v="Cancelled"/>
    <s v="Pending"/>
  </r>
  <r>
    <s v="INV-2026-01912"/>
    <x v="49"/>
    <s v="South"/>
    <s v="Bangalore"/>
    <s v="Online"/>
    <s v="Meera Joshi"/>
    <s v="Nexus Ltd"/>
    <x v="5"/>
    <s v="Air Conditioner"/>
    <n v="18"/>
    <n v="36446.31"/>
    <n v="656033.57999999996"/>
    <n v="0"/>
    <n v="0"/>
    <n v="656033.57999999996"/>
    <s v="Cancelled"/>
    <s v="Pending"/>
  </r>
  <r>
    <s v="INV-2026-01913"/>
    <x v="11"/>
    <s v="South"/>
    <s v="Kochi"/>
    <s v="Distributor"/>
    <s v="Kavita Nair"/>
    <s v="Digital Hub"/>
    <x v="4"/>
    <s v="Shoes"/>
    <n v="26"/>
    <n v="36295.96"/>
    <n v="943694.96"/>
    <n v="0"/>
    <n v="0"/>
    <n v="943694.96"/>
    <s v="Pending"/>
    <s v="Pending"/>
  </r>
  <r>
    <s v="INV-2026-01914"/>
    <x v="49"/>
    <s v="North"/>
    <s v="Jaipur"/>
    <s v="Direct Sales"/>
    <s v="Suresh Gupta"/>
    <s v="Alpha Trading"/>
    <x v="4"/>
    <s v="T-Shirt"/>
    <n v="23"/>
    <n v="17460.96"/>
    <n v="401602.08"/>
    <n v="63496.800000000003"/>
    <n v="0"/>
    <n v="338105.28"/>
    <s v="Pending"/>
    <s v="Paid"/>
  </r>
  <r>
    <s v="INV-2026-01915"/>
    <x v="87"/>
    <s v="South"/>
    <s v="Hyderabad"/>
    <s v="Online"/>
    <s v="Rahul Sharma"/>
    <s v="ABC Corp"/>
    <x v="4"/>
    <s v="Dress"/>
    <n v="1"/>
    <n v="24559.69"/>
    <n v="24559.69"/>
    <n v="0"/>
    <n v="0"/>
    <n v="24559.69"/>
    <s v="Cancelled"/>
    <s v="Pending"/>
  </r>
  <r>
    <s v="INV-2026-01916"/>
    <x v="83"/>
    <s v="North"/>
    <s v="Chandigarh"/>
    <s v="Distributor"/>
    <s v="Anita Desai"/>
    <s v="Alpha Trading"/>
    <x v="5"/>
    <s v="Washing Machine"/>
    <n v="33"/>
    <n v="7830.11"/>
    <n v="258393.63"/>
    <n v="0"/>
    <n v="0"/>
    <n v="258393.63"/>
    <s v="Processing"/>
    <s v="Paid"/>
  </r>
  <r>
    <s v="INV-2026-01917"/>
    <x v="80"/>
    <s v="North"/>
    <s v="Delhi"/>
    <s v="Distributor"/>
    <s v="Anita Desai"/>
    <s v="Metro Mart"/>
    <x v="0"/>
    <s v="File Folder"/>
    <n v="50"/>
    <n v="986.65"/>
    <n v="49332.5"/>
    <n v="8146.26"/>
    <n v="0"/>
    <n v="41186.239999999998"/>
    <s v="Processing"/>
    <s v="Pending"/>
  </r>
  <r>
    <s v="INV-2026-01918"/>
    <x v="55"/>
    <s v="South"/>
    <s v="Hyderabad"/>
    <s v="Retail Store"/>
    <s v="Priya Patel"/>
    <s v="Prime Retail"/>
    <x v="1"/>
    <s v="Bookshelf"/>
    <n v="13"/>
    <n v="17892.939999999999"/>
    <n v="232608.22"/>
    <n v="0"/>
    <n v="0"/>
    <n v="232608.22"/>
    <s v="Processing"/>
    <s v="Pending"/>
  </r>
  <r>
    <s v="INV-2026-01919"/>
    <x v="55"/>
    <s v="West"/>
    <s v="Surat"/>
    <s v="Distributor"/>
    <s v="Kavita Nair"/>
    <s v="ABC Corp"/>
    <x v="4"/>
    <s v="T-Shirt"/>
    <n v="33"/>
    <n v="31161.07"/>
    <n v="1028315.31"/>
    <n v="0"/>
    <n v="0"/>
    <n v="1028315.31"/>
    <s v="Processing"/>
    <s v="Pending"/>
  </r>
  <r>
    <s v="INV-2026-01920"/>
    <x v="87"/>
    <s v="North"/>
    <s v="Chandigarh"/>
    <s v="Retail Store"/>
    <s v="Rahul Sharma"/>
    <s v="Skyline Corp"/>
    <x v="1"/>
    <s v="Sofa"/>
    <n v="41"/>
    <n v="29363.98"/>
    <n v="1203923.18"/>
    <n v="21757.06"/>
    <n v="0"/>
    <n v="1182166.1200000001"/>
    <s v="Processing"/>
    <s v="Pending"/>
  </r>
  <r>
    <s v="INV-2026-01921"/>
    <x v="18"/>
    <s v="East"/>
    <s v="Bhubaneswar"/>
    <s v="Distributor"/>
    <s v="Rajesh Verma"/>
    <s v="Nexus Ltd"/>
    <x v="4"/>
    <s v="Dress"/>
    <n v="24"/>
    <n v="25620.55"/>
    <n v="614893.19999999995"/>
    <n v="0"/>
    <n v="12946.68"/>
    <n v="601946.52"/>
    <s v="Completed"/>
    <s v="Overdue"/>
  </r>
  <r>
    <s v="INV-2026-01922"/>
    <x v="61"/>
    <s v="Central"/>
    <s v="Nagpur"/>
    <s v="Distributor"/>
    <s v="Priya Patel"/>
    <s v="Skyline Corp"/>
    <x v="4"/>
    <s v="Formal Shirt"/>
    <n v="18"/>
    <n v="37102.25"/>
    <n v="667840.5"/>
    <n v="75093.64"/>
    <n v="0"/>
    <n v="592746.86"/>
    <s v="Pending"/>
    <s v="Pending"/>
  </r>
  <r>
    <s v="INV-2026-01923"/>
    <x v="38"/>
    <s v="East"/>
    <s v="Guwahati"/>
    <s v="Retail Store"/>
    <s v="Amit Kumar"/>
    <s v="Skyline Corp"/>
    <x v="1"/>
    <s v="Sofa"/>
    <n v="35"/>
    <n v="48504.35"/>
    <n v="1697652.25"/>
    <n v="332764.25"/>
    <n v="0"/>
    <n v="1364888"/>
    <s v="Completed"/>
    <s v="Paid"/>
  </r>
  <r>
    <s v="INV-2026-01924"/>
    <x v="8"/>
    <s v="East"/>
    <s v="Bhubaneswar"/>
    <s v="Online"/>
    <s v="Rahul Sharma"/>
    <s v="Skyline Corp"/>
    <x v="1"/>
    <s v="Office Chair"/>
    <n v="14"/>
    <n v="32910.050000000003"/>
    <n v="460740.7"/>
    <n v="50209.54"/>
    <n v="0"/>
    <n v="410531.16"/>
    <s v="Pending"/>
    <s v="Pending"/>
  </r>
  <r>
    <s v="INV-2026-01925"/>
    <x v="59"/>
    <s v="East"/>
    <s v="Kolkata"/>
    <s v="Retail Store"/>
    <s v="Priya Patel"/>
    <s v="Global Traders"/>
    <x v="2"/>
    <s v="Yoga Mat"/>
    <n v="42"/>
    <n v="30194.82"/>
    <n v="1268182.44"/>
    <n v="99125.54"/>
    <n v="0"/>
    <n v="1169056.8999999999"/>
    <s v="Cancelled"/>
    <s v="Pending"/>
  </r>
  <r>
    <s v="INV-2026-01926"/>
    <x v="85"/>
    <s v="South"/>
    <s v="Kochi"/>
    <s v="Online"/>
    <s v="Vijay Singh"/>
    <s v="Smart Systems"/>
    <x v="5"/>
    <s v="Air Conditioner"/>
    <n v="19"/>
    <n v="32902.339999999997"/>
    <n v="625144.46"/>
    <n v="74989.98"/>
    <n v="0"/>
    <n v="550154.48"/>
    <s v="Processing"/>
    <s v="Pending"/>
  </r>
  <r>
    <s v="INV-2026-01927"/>
    <x v="71"/>
    <s v="North"/>
    <s v="Jaipur"/>
    <s v="Direct Sales"/>
    <s v="Suresh Gupta"/>
    <s v="Digital Hub"/>
    <x v="1"/>
    <s v="Office Chair"/>
    <n v="20"/>
    <n v="3635.07"/>
    <n v="72701.399999999994"/>
    <n v="964.17"/>
    <n v="0"/>
    <n v="71737.23"/>
    <s v="Processing"/>
    <s v="Paid"/>
  </r>
  <r>
    <s v="INV-2026-01928"/>
    <x v="83"/>
    <s v="North"/>
    <s v="Delhi"/>
    <s v="Online"/>
    <s v="Suresh Gupta"/>
    <s v="Prime Retail"/>
    <x v="2"/>
    <s v="Bicycle"/>
    <n v="40"/>
    <n v="18125.7"/>
    <n v="725028"/>
    <n v="952.82"/>
    <n v="0"/>
    <n v="724075.18"/>
    <s v="Processing"/>
    <s v="Paid"/>
  </r>
  <r>
    <s v="INV-2026-01929"/>
    <x v="80"/>
    <s v="South"/>
    <s v="Hyderabad"/>
    <s v="Online"/>
    <s v="Vijay Singh"/>
    <s v="Smart Systems"/>
    <x v="5"/>
    <s v="TV"/>
    <n v="10"/>
    <n v="13617.94"/>
    <n v="136179.4"/>
    <n v="14006.65"/>
    <n v="0"/>
    <n v="122172.75"/>
    <s v="Completed"/>
    <s v="Pending"/>
  </r>
  <r>
    <s v="INV-2026-01930"/>
    <x v="10"/>
    <s v="South"/>
    <s v="Chennai"/>
    <s v="Direct Sales"/>
    <s v="Rajesh Verma"/>
    <s v="Urban Store"/>
    <x v="5"/>
    <s v="TV"/>
    <n v="34"/>
    <n v="19703.62"/>
    <n v="669923.07999999996"/>
    <n v="16686.150000000001"/>
    <n v="0"/>
    <n v="653236.93000000005"/>
    <s v="Cancelled"/>
    <s v="Pending"/>
  </r>
  <r>
    <s v="INV-2026-01931"/>
    <x v="29"/>
    <s v="Central"/>
    <s v="Indore"/>
    <s v="Direct Sales"/>
    <s v="Rajesh Verma"/>
    <s v="Nexus Ltd"/>
    <x v="5"/>
    <s v="Refrigerator"/>
    <n v="8"/>
    <n v="14071.07"/>
    <n v="112568.56"/>
    <n v="0"/>
    <n v="0"/>
    <n v="112568.56"/>
    <s v="Cancelled"/>
    <s v="Pending"/>
  </r>
  <r>
    <s v="INV-2026-01932"/>
    <x v="57"/>
    <s v="West"/>
    <s v="Surat"/>
    <s v="Distributor"/>
    <s v="Sneha Reddy"/>
    <s v="Urban Store"/>
    <x v="4"/>
    <s v="Jeans"/>
    <n v="15"/>
    <n v="39489.81"/>
    <n v="592347.15"/>
    <n v="113416.33"/>
    <n v="0"/>
    <n v="478930.82"/>
    <s v="Pending"/>
    <s v="Pending"/>
  </r>
  <r>
    <s v="INV-2026-01933"/>
    <x v="37"/>
    <s v="North"/>
    <s v="Jaipur"/>
    <s v="Distributor"/>
    <s v="Sneha Reddy"/>
    <s v="ABC Corp"/>
    <x v="1"/>
    <s v="Office Chair"/>
    <n v="36"/>
    <n v="46573.15"/>
    <n v="1676633.4"/>
    <n v="168273.82"/>
    <n v="384183.29"/>
    <n v="1124176.29"/>
    <s v="Completed"/>
    <s v="Paid"/>
  </r>
  <r>
    <s v="INV-2026-01934"/>
    <x v="59"/>
    <s v="West"/>
    <s v="Ahmedabad"/>
    <s v="Distributor"/>
    <s v="Rajesh Verma"/>
    <s v="Future Tech"/>
    <x v="3"/>
    <s v="Laptop"/>
    <n v="1"/>
    <n v="15879.95"/>
    <n v="15879.95"/>
    <n v="0"/>
    <n v="0"/>
    <n v="15879.95"/>
    <s v="Completed"/>
    <s v="Paid"/>
  </r>
  <r>
    <s v="INV-2026-01935"/>
    <x v="41"/>
    <s v="West"/>
    <s v="Ahmedabad"/>
    <s v="Retail Store"/>
    <s v="Kavita Nair"/>
    <s v="Urban Store"/>
    <x v="3"/>
    <s v="Laptop"/>
    <n v="43"/>
    <n v="33342.42"/>
    <n v="1433724.06"/>
    <n v="174940.76"/>
    <n v="0"/>
    <n v="1258783.3"/>
    <s v="Processing"/>
    <s v="Pending"/>
  </r>
  <r>
    <s v="INV-2026-01936"/>
    <x v="79"/>
    <s v="North"/>
    <s v="Jaipur"/>
    <s v="Retail Store"/>
    <s v="Vijay Singh"/>
    <s v="Tech Solutions"/>
    <x v="5"/>
    <s v="Washing Machine"/>
    <n v="25"/>
    <n v="40191.230000000003"/>
    <n v="1004780.75"/>
    <n v="0"/>
    <n v="3795.33"/>
    <n v="1000985.42"/>
    <s v="Completed"/>
    <s v="Pending"/>
  </r>
  <r>
    <s v="INV-2026-01937"/>
    <x v="88"/>
    <s v="West"/>
    <s v="Mumbai"/>
    <s v="Distributor"/>
    <s v="Vijay Singh"/>
    <s v="Nexus Ltd"/>
    <x v="2"/>
    <s v="Bicycle"/>
    <n v="49"/>
    <n v="46317.46"/>
    <n v="2269555.54"/>
    <n v="0"/>
    <n v="0"/>
    <n v="2269555.54"/>
    <s v="Processing"/>
    <s v="Pending"/>
  </r>
  <r>
    <s v="INV-2026-01938"/>
    <x v="63"/>
    <s v="East"/>
    <s v="Kolkata"/>
    <s v="Direct Sales"/>
    <s v="Rajesh Verma"/>
    <s v="Elite Enterprises"/>
    <x v="1"/>
    <s v="Cabinet"/>
    <n v="21"/>
    <n v="45914.400000000001"/>
    <n v="964202.4"/>
    <n v="176910.65"/>
    <n v="0"/>
    <n v="787291.75"/>
    <s v="Pending"/>
    <s v="Paid"/>
  </r>
  <r>
    <s v="INV-2026-01939"/>
    <x v="84"/>
    <s v="South"/>
    <s v="Kochi"/>
    <s v="Distributor"/>
    <s v="Kavita Nair"/>
    <s v="Digital Hub"/>
    <x v="3"/>
    <s v="Headphones"/>
    <n v="12"/>
    <n v="48653.03"/>
    <n v="583836.36"/>
    <n v="62530.36"/>
    <n v="0"/>
    <n v="521306"/>
    <s v="Processing"/>
    <s v="Pending"/>
  </r>
  <r>
    <s v="INV-2026-01940"/>
    <x v="80"/>
    <s v="West"/>
    <s v="Ahmedabad"/>
    <s v="Direct Sales"/>
    <s v="Sneha Reddy"/>
    <s v="Smart Systems"/>
    <x v="2"/>
    <s v="Tennis Racket"/>
    <n v="5"/>
    <n v="22386.3"/>
    <n v="111931.5"/>
    <n v="0"/>
    <n v="0"/>
    <n v="111931.5"/>
    <s v="Completed"/>
    <s v="Paid"/>
  </r>
  <r>
    <s v="INV-2026-01941"/>
    <x v="50"/>
    <s v="Central"/>
    <s v="Nagpur"/>
    <s v="Online"/>
    <s v="Sneha Reddy"/>
    <s v="Omega Stores"/>
    <x v="1"/>
    <s v="Desk"/>
    <n v="27"/>
    <n v="29775.32"/>
    <n v="803933.64"/>
    <n v="20449.88"/>
    <n v="0"/>
    <n v="783483.76"/>
    <s v="Pending"/>
    <s v="Paid"/>
  </r>
  <r>
    <s v="INV-2026-01942"/>
    <x v="72"/>
    <s v="East"/>
    <s v="Bhubaneswar"/>
    <s v="Online"/>
    <s v="Sneha Reddy"/>
    <s v="ABC Corp"/>
    <x v="5"/>
    <s v="Air Conditioner"/>
    <n v="19"/>
    <n v="33944.97"/>
    <n v="644954.43000000005"/>
    <n v="113921.45"/>
    <n v="0"/>
    <n v="531032.98"/>
    <s v="Completed"/>
    <s v="Paid"/>
  </r>
  <r>
    <s v="INV-2026-01943"/>
    <x v="45"/>
    <s v="West"/>
    <s v="Surat"/>
    <s v="Retail Store"/>
    <s v="Anita Desai"/>
    <s v="Alpha Trading"/>
    <x v="2"/>
    <s v="Gym Equipment"/>
    <n v="39"/>
    <n v="24370.54"/>
    <n v="950451.06"/>
    <n v="8850.84"/>
    <n v="0"/>
    <n v="941600.22"/>
    <s v="Processing"/>
    <s v="Paid"/>
  </r>
  <r>
    <s v="INV-2026-01944"/>
    <x v="39"/>
    <s v="South"/>
    <s v="Kochi"/>
    <s v="Online"/>
    <s v="Kavita Nair"/>
    <s v="Skyline Corp"/>
    <x v="0"/>
    <s v="Desk Organizer"/>
    <n v="43"/>
    <n v="18518.79"/>
    <n v="796307.97"/>
    <n v="34375.01"/>
    <n v="0"/>
    <n v="761932.96"/>
    <s v="Cancelled"/>
    <s v="Pending"/>
  </r>
  <r>
    <s v="INV-2026-01945"/>
    <x v="68"/>
    <s v="South"/>
    <s v="Chennai"/>
    <s v="Distributor"/>
    <s v="Sneha Reddy"/>
    <s v="Elite Enterprises"/>
    <x v="0"/>
    <s v="Printer Paper"/>
    <n v="14"/>
    <n v="31750.42"/>
    <n v="444505.88"/>
    <n v="0"/>
    <n v="0"/>
    <n v="444505.88"/>
    <s v="Cancelled"/>
    <s v="Pending"/>
  </r>
  <r>
    <s v="INV-2026-01946"/>
    <x v="58"/>
    <s v="South"/>
    <s v="Kochi"/>
    <s v="Direct Sales"/>
    <s v="Amit Kumar"/>
    <s v="Global Traders"/>
    <x v="2"/>
    <s v="Gym Equipment"/>
    <n v="50"/>
    <n v="15499.99"/>
    <n v="774999.5"/>
    <n v="0"/>
    <n v="0"/>
    <n v="774999.5"/>
    <s v="Cancelled"/>
    <s v="Pending"/>
  </r>
  <r>
    <s v="INV-2026-01947"/>
    <x v="81"/>
    <s v="East"/>
    <s v="Guwahati"/>
    <s v="Online"/>
    <s v="Suresh Gupta"/>
    <s v="Nexus Ltd"/>
    <x v="0"/>
    <s v="Pen Set"/>
    <n v="15"/>
    <n v="31803.63"/>
    <n v="477054.45"/>
    <n v="0"/>
    <n v="0"/>
    <n v="477054.45"/>
    <s v="Completed"/>
    <s v="Overdue"/>
  </r>
  <r>
    <s v="INV-2026-01948"/>
    <x v="48"/>
    <s v="South"/>
    <s v="Hyderabad"/>
    <s v="Direct Sales"/>
    <s v="Rajesh Verma"/>
    <s v="ABC Corp"/>
    <x v="0"/>
    <s v="Notebook"/>
    <n v="13"/>
    <n v="42307.21"/>
    <n v="549993.73"/>
    <n v="0"/>
    <n v="77203.83"/>
    <n v="472789.9"/>
    <s v="Pending"/>
    <s v="Paid"/>
  </r>
  <r>
    <s v="INV-2026-01949"/>
    <x v="88"/>
    <s v="West"/>
    <s v="Pune"/>
    <s v="Online"/>
    <s v="Suresh Gupta"/>
    <s v="Urban Store"/>
    <x v="3"/>
    <s v="Laptop"/>
    <n v="13"/>
    <n v="17069.259999999998"/>
    <n v="221900.38"/>
    <n v="0"/>
    <n v="0"/>
    <n v="221900.38"/>
    <s v="Cancelled"/>
    <s v="Pending"/>
  </r>
  <r>
    <s v="INV-2026-01950"/>
    <x v="89"/>
    <s v="Central"/>
    <s v="Nagpur"/>
    <s v="Retail Store"/>
    <s v="Priya Patel"/>
    <s v="Nexus Ltd"/>
    <x v="0"/>
    <s v="Whiteboard"/>
    <n v="34"/>
    <n v="8182.34"/>
    <n v="278199.56"/>
    <n v="53342.54"/>
    <n v="0"/>
    <n v="224857.02"/>
    <s v="Processing"/>
    <s v="Pending"/>
  </r>
  <r>
    <s v="INV-2026-01951"/>
    <x v="38"/>
    <s v="Central"/>
    <s v="Raipur"/>
    <s v="Online"/>
    <s v="Priya Patel"/>
    <s v="Skyline Corp"/>
    <x v="2"/>
    <s v="Tennis Racket"/>
    <n v="41"/>
    <n v="31272.959999999999"/>
    <n v="1282191.3600000001"/>
    <n v="0"/>
    <n v="0"/>
    <n v="1282191.3600000001"/>
    <s v="Processing"/>
    <s v="Pending"/>
  </r>
  <r>
    <s v="INV-2026-01952"/>
    <x v="32"/>
    <s v="East"/>
    <s v="Patna"/>
    <s v="Distributor"/>
    <s v="Kavita Nair"/>
    <s v="Metro Mart"/>
    <x v="5"/>
    <s v="Vacuum Cleaner"/>
    <n v="22"/>
    <n v="16127.97"/>
    <n v="354815.34"/>
    <n v="53694.43"/>
    <n v="0"/>
    <n v="301120.90999999997"/>
    <s v="Completed"/>
    <s v="Paid"/>
  </r>
  <r>
    <s v="INV-2026-01953"/>
    <x v="38"/>
    <s v="East"/>
    <s v="Bhubaneswar"/>
    <s v="Distributor"/>
    <s v="Sneha Reddy"/>
    <s v="Alpha Trading"/>
    <x v="5"/>
    <s v="Air Conditioner"/>
    <n v="13"/>
    <n v="35791.040000000001"/>
    <n v="465283.52"/>
    <n v="62465.08"/>
    <n v="0"/>
    <n v="402818.44"/>
    <s v="Processing"/>
    <s v="Pending"/>
  </r>
  <r>
    <s v="INV-2026-01954"/>
    <x v="17"/>
    <s v="West"/>
    <s v="Surat"/>
    <s v="Retail Store"/>
    <s v="Rajesh Verma"/>
    <s v="Prime Retail"/>
    <x v="2"/>
    <s v="Gym Equipment"/>
    <n v="42"/>
    <n v="12282.24"/>
    <n v="515854.08000000002"/>
    <n v="0"/>
    <n v="0"/>
    <n v="515854.08000000002"/>
    <s v="Cancelled"/>
    <s v="Pending"/>
  </r>
  <r>
    <s v="INV-2026-01955"/>
    <x v="7"/>
    <s v="West"/>
    <s v="Surat"/>
    <s v="Direct Sales"/>
    <s v="Anita Desai"/>
    <s v="Metro Mart"/>
    <x v="2"/>
    <s v="Tennis Racket"/>
    <n v="14"/>
    <n v="45857.03"/>
    <n v="641998.42000000004"/>
    <n v="0"/>
    <n v="0"/>
    <n v="641998.42000000004"/>
    <s v="Processing"/>
    <s v="Pending"/>
  </r>
  <r>
    <s v="INV-2026-01956"/>
    <x v="56"/>
    <s v="West"/>
    <s v="Surat"/>
    <s v="Retail Store"/>
    <s v="Vijay Singh"/>
    <s v="Global Traders"/>
    <x v="1"/>
    <s v="Conference Table"/>
    <n v="39"/>
    <n v="26139.25"/>
    <n v="1019430.75"/>
    <n v="0"/>
    <n v="0"/>
    <n v="1019430.75"/>
    <s v="Pending"/>
    <s v="Pending"/>
  </r>
  <r>
    <s v="INV-2026-01957"/>
    <x v="64"/>
    <s v="North"/>
    <s v="Delhi"/>
    <s v="Direct Sales"/>
    <s v="Amit Kumar"/>
    <s v="Omega Stores"/>
    <x v="1"/>
    <s v="Conference Table"/>
    <n v="41"/>
    <n v="16033.9"/>
    <n v="657389.9"/>
    <n v="14086.45"/>
    <n v="0"/>
    <n v="643303.44999999995"/>
    <s v="Cancelled"/>
    <s v="Pending"/>
  </r>
  <r>
    <s v="INV-2026-01958"/>
    <x v="20"/>
    <s v="West"/>
    <s v="Mumbai"/>
    <s v="Distributor"/>
    <s v="Kavita Nair"/>
    <s v="Tech Solutions"/>
    <x v="3"/>
    <s v="Camera"/>
    <n v="34"/>
    <n v="49409.04"/>
    <n v="1679907.36"/>
    <n v="83439.289999999994"/>
    <n v="367827.26"/>
    <n v="1228640.81"/>
    <s v="Completed"/>
    <s v="Paid"/>
  </r>
  <r>
    <s v="INV-2026-01959"/>
    <x v="22"/>
    <s v="East"/>
    <s v="Guwahati"/>
    <s v="Distributor"/>
    <s v="Sneha Reddy"/>
    <s v="XYZ Ltd"/>
    <x v="0"/>
    <s v="Desk Organizer"/>
    <n v="41"/>
    <n v="2055.6"/>
    <n v="84279.6"/>
    <n v="0"/>
    <n v="0"/>
    <n v="84279.6"/>
    <s v="Processing"/>
    <s v="Pending"/>
  </r>
  <r>
    <s v="INV-2026-01960"/>
    <x v="16"/>
    <s v="North"/>
    <s v="Delhi"/>
    <s v="Online"/>
    <s v="Amit Kumar"/>
    <s v="Nexus Ltd"/>
    <x v="3"/>
    <s v="Laptop"/>
    <n v="30"/>
    <n v="47638.67"/>
    <n v="1429160.1"/>
    <n v="0"/>
    <n v="0"/>
    <n v="1429160.1"/>
    <s v="Cancelled"/>
    <s v="Pending"/>
  </r>
  <r>
    <s v="INV-2026-01961"/>
    <x v="46"/>
    <s v="North"/>
    <s v="Delhi"/>
    <s v="Distributor"/>
    <s v="Rajesh Verma"/>
    <s v="Urban Store"/>
    <x v="3"/>
    <s v="Headphones"/>
    <n v="37"/>
    <n v="48273.15"/>
    <n v="1786106.55"/>
    <n v="217658.59"/>
    <n v="0"/>
    <n v="1568447.96"/>
    <s v="Pending"/>
    <s v="Pending"/>
  </r>
  <r>
    <s v="INV-2026-01962"/>
    <x v="66"/>
    <s v="Central"/>
    <s v="Bhopal"/>
    <s v="Online"/>
    <s v="Priya Patel"/>
    <s v="Prime Retail"/>
    <x v="4"/>
    <s v="Dress"/>
    <n v="5"/>
    <n v="37880.879999999997"/>
    <n v="189404.4"/>
    <n v="5426.4"/>
    <n v="0"/>
    <n v="183978"/>
    <s v="Cancelled"/>
    <s v="Pending"/>
  </r>
  <r>
    <s v="INV-2026-01963"/>
    <x v="45"/>
    <s v="South"/>
    <s v="Chennai"/>
    <s v="Direct Sales"/>
    <s v="Meera Joshi"/>
    <s v="ABC Corp"/>
    <x v="2"/>
    <s v="Bicycle"/>
    <n v="13"/>
    <n v="7599.65"/>
    <n v="98795.45"/>
    <n v="3668.66"/>
    <n v="0"/>
    <n v="95126.79"/>
    <s v="Pending"/>
    <s v="Pending"/>
  </r>
  <r>
    <s v="INV-2026-01964"/>
    <x v="68"/>
    <s v="East"/>
    <s v="Bhubaneswar"/>
    <s v="Retail Store"/>
    <s v="Meera Joshi"/>
    <s v="Metro Mart"/>
    <x v="0"/>
    <s v="Pen Set"/>
    <n v="15"/>
    <n v="3819.54"/>
    <n v="57293.1"/>
    <n v="6212.74"/>
    <n v="0"/>
    <n v="51080.36"/>
    <s v="Pending"/>
    <s v="Pending"/>
  </r>
  <r>
    <s v="INV-2026-01965"/>
    <x v="25"/>
    <s v="Central"/>
    <s v="Bhopal"/>
    <s v="Retail Store"/>
    <s v="Suresh Gupta"/>
    <s v="Digital Hub"/>
    <x v="2"/>
    <s v="Bicycle"/>
    <n v="30"/>
    <n v="35486.730000000003"/>
    <n v="1064601.8999999999"/>
    <n v="176923.97"/>
    <n v="0"/>
    <n v="887677.93"/>
    <s v="Processing"/>
    <s v="Pending"/>
  </r>
  <r>
    <s v="INV-2026-01966"/>
    <x v="12"/>
    <s v="North"/>
    <s v="Jaipur"/>
    <s v="Online"/>
    <s v="Kavita Nair"/>
    <s v="Elite Enterprises"/>
    <x v="2"/>
    <s v="Tennis Racket"/>
    <n v="9"/>
    <n v="42381.760000000002"/>
    <n v="381435.84"/>
    <n v="76006.97"/>
    <n v="0"/>
    <n v="305428.87"/>
    <s v="Processing"/>
    <s v="Paid"/>
  </r>
  <r>
    <s v="INV-2026-01967"/>
    <x v="21"/>
    <s v="East"/>
    <s v="Bhubaneswar"/>
    <s v="Retail Store"/>
    <s v="Vijay Singh"/>
    <s v="Urban Store"/>
    <x v="2"/>
    <s v="Yoga Mat"/>
    <n v="19"/>
    <n v="18617.88"/>
    <n v="353739.72"/>
    <n v="0"/>
    <n v="0"/>
    <n v="353739.72"/>
    <s v="Completed"/>
    <s v="Paid"/>
  </r>
  <r>
    <s v="INV-2026-01968"/>
    <x v="60"/>
    <s v="Central"/>
    <s v="Nagpur"/>
    <s v="Online"/>
    <s v="Anita Desai"/>
    <s v="Nexus Ltd"/>
    <x v="3"/>
    <s v="Laptop"/>
    <n v="22"/>
    <n v="13312.8"/>
    <n v="292881.59999999998"/>
    <n v="0"/>
    <n v="0"/>
    <n v="292881.59999999998"/>
    <s v="Pending"/>
    <s v="Pending"/>
  </r>
  <r>
    <s v="INV-2026-01969"/>
    <x v="20"/>
    <s v="Central"/>
    <s v="Raipur"/>
    <s v="Retail Store"/>
    <s v="Meera Joshi"/>
    <s v="XYZ Ltd"/>
    <x v="0"/>
    <s v="Pen Set"/>
    <n v="9"/>
    <n v="45345.19"/>
    <n v="408106.71"/>
    <n v="671.95"/>
    <n v="0"/>
    <n v="407434.76"/>
    <s v="Completed"/>
    <s v="Paid"/>
  </r>
  <r>
    <s v="INV-2026-01970"/>
    <x v="73"/>
    <s v="East"/>
    <s v="Guwahati"/>
    <s v="Distributor"/>
    <s v="Priya Patel"/>
    <s v="Alpha Trading"/>
    <x v="4"/>
    <s v="Shoes"/>
    <n v="12"/>
    <n v="23489.99"/>
    <n v="281879.88"/>
    <n v="15682.22"/>
    <n v="0"/>
    <n v="266197.65999999997"/>
    <s v="Processing"/>
    <s v="Paid"/>
  </r>
  <r>
    <s v="INV-2026-01971"/>
    <x v="0"/>
    <s v="Central"/>
    <s v="Bhopal"/>
    <s v="Retail Store"/>
    <s v="Sneha Reddy"/>
    <s v="Alpha Trading"/>
    <x v="2"/>
    <s v="Tennis Racket"/>
    <n v="21"/>
    <n v="49144.13"/>
    <n v="1032026.73"/>
    <n v="0"/>
    <n v="0"/>
    <n v="1032026.73"/>
    <s v="Processing"/>
    <s v="Pending"/>
  </r>
  <r>
    <s v="INV-2026-01972"/>
    <x v="53"/>
    <s v="East"/>
    <s v="Guwahati"/>
    <s v="Retail Store"/>
    <s v="Sneha Reddy"/>
    <s v="Tech Solutions"/>
    <x v="5"/>
    <s v="Washing Machine"/>
    <n v="16"/>
    <n v="20274.75"/>
    <n v="324396"/>
    <n v="12322.73"/>
    <n v="0"/>
    <n v="312073.27"/>
    <s v="Completed"/>
    <s v="Pending"/>
  </r>
  <r>
    <s v="INV-2026-01973"/>
    <x v="72"/>
    <s v="South"/>
    <s v="Chennai"/>
    <s v="Retail Store"/>
    <s v="Vijay Singh"/>
    <s v="Global Traders"/>
    <x v="1"/>
    <s v="Bookshelf"/>
    <n v="43"/>
    <n v="1729.43"/>
    <n v="74365.490000000005"/>
    <n v="0"/>
    <n v="0"/>
    <n v="74365.490000000005"/>
    <s v="Completed"/>
    <s v="Paid"/>
  </r>
  <r>
    <s v="INV-2026-01974"/>
    <x v="53"/>
    <s v="East"/>
    <s v="Bhubaneswar"/>
    <s v="Distributor"/>
    <s v="Priya Patel"/>
    <s v="ABC Corp"/>
    <x v="1"/>
    <s v="Conference Table"/>
    <n v="27"/>
    <n v="47578.3"/>
    <n v="1284614.1000000001"/>
    <n v="0"/>
    <n v="0"/>
    <n v="1284614.1000000001"/>
    <s v="Cancelled"/>
    <s v="Pending"/>
  </r>
  <r>
    <s v="INV-2026-01975"/>
    <x v="12"/>
    <s v="Central"/>
    <s v="Nagpur"/>
    <s v="Retail Store"/>
    <s v="Meera Joshi"/>
    <s v="Urban Store"/>
    <x v="5"/>
    <s v="Microwave"/>
    <n v="15"/>
    <n v="3834.93"/>
    <n v="57523.95"/>
    <n v="0"/>
    <n v="0"/>
    <n v="57523.95"/>
    <s v="Cancelled"/>
    <s v="Pending"/>
  </r>
  <r>
    <s v="INV-2026-01976"/>
    <x v="66"/>
    <s v="North"/>
    <s v="Chandigarh"/>
    <s v="Retail Store"/>
    <s v="Rajesh Verma"/>
    <s v="Urban Store"/>
    <x v="2"/>
    <s v="Yoga Mat"/>
    <n v="35"/>
    <n v="40991.620000000003"/>
    <n v="1434706.7"/>
    <n v="43087.02"/>
    <n v="0"/>
    <n v="1391619.68"/>
    <s v="Pending"/>
    <s v="Pending"/>
  </r>
  <r>
    <s v="INV-2026-01977"/>
    <x v="64"/>
    <s v="South"/>
    <s v="Hyderabad"/>
    <s v="Direct Sales"/>
    <s v="Rahul Sharma"/>
    <s v="Omega Stores"/>
    <x v="2"/>
    <s v="Football"/>
    <n v="27"/>
    <n v="41550.35"/>
    <n v="1121859.45"/>
    <n v="0"/>
    <n v="0"/>
    <n v="1121859.45"/>
    <s v="Processing"/>
    <s v="Paid"/>
  </r>
  <r>
    <s v="INV-2026-01978"/>
    <x v="7"/>
    <s v="West"/>
    <s v="Mumbai"/>
    <s v="Online"/>
    <s v="Rajesh Verma"/>
    <s v="XYZ Ltd"/>
    <x v="3"/>
    <s v="Smart Watch"/>
    <n v="36"/>
    <n v="34918.49"/>
    <n v="1257065.6399999999"/>
    <n v="160828.35999999999"/>
    <n v="0"/>
    <n v="1096237.28"/>
    <s v="Cancelled"/>
    <s v="Pending"/>
  </r>
  <r>
    <s v="INV-2026-01979"/>
    <x v="11"/>
    <s v="East"/>
    <s v="Guwahati"/>
    <s v="Retail Store"/>
    <s v="Anita Desai"/>
    <s v="Global Traders"/>
    <x v="2"/>
    <s v="Bicycle"/>
    <n v="49"/>
    <n v="3494.13"/>
    <n v="171212.37"/>
    <n v="0"/>
    <n v="0"/>
    <n v="171212.37"/>
    <s v="Completed"/>
    <s v="Paid"/>
  </r>
  <r>
    <s v="INV-2026-01980"/>
    <x v="60"/>
    <s v="East"/>
    <s v="Kolkata"/>
    <s v="Retail Store"/>
    <s v="Sneha Reddy"/>
    <s v="ABC Corp"/>
    <x v="1"/>
    <s v="Cabinet"/>
    <n v="5"/>
    <n v="46697.25"/>
    <n v="233486.25"/>
    <n v="38815.75"/>
    <n v="0"/>
    <n v="194670.5"/>
    <s v="Pending"/>
    <s v="Paid"/>
  </r>
  <r>
    <s v="INV-2026-01981"/>
    <x v="67"/>
    <s v="East"/>
    <s v="Kolkata"/>
    <s v="Direct Sales"/>
    <s v="Rahul Sharma"/>
    <s v="Skyline Corp"/>
    <x v="5"/>
    <s v="Refrigerator"/>
    <n v="22"/>
    <n v="36745.919999999998"/>
    <n v="808410.24"/>
    <n v="24569.77"/>
    <n v="0"/>
    <n v="783840.47"/>
    <s v="Completed"/>
    <s v="Pending"/>
  </r>
  <r>
    <s v="INV-2026-01982"/>
    <x v="20"/>
    <s v="South"/>
    <s v="Chennai"/>
    <s v="Distributor"/>
    <s v="Rajesh Verma"/>
    <s v="ABC Corp"/>
    <x v="3"/>
    <s v="Camera"/>
    <n v="1"/>
    <n v="49003.69"/>
    <n v="49003.69"/>
    <n v="0"/>
    <n v="5880.38"/>
    <n v="43123.31"/>
    <s v="Cancelled"/>
    <s v="Pending"/>
  </r>
  <r>
    <s v="INV-2026-01983"/>
    <x v="89"/>
    <s v="North"/>
    <s v="Lucknow"/>
    <s v="Online"/>
    <s v="Anita Desai"/>
    <s v="Future Tech"/>
    <x v="3"/>
    <s v="Camera"/>
    <n v="8"/>
    <n v="11238.32"/>
    <n v="89906.559999999998"/>
    <n v="8317.26"/>
    <n v="0"/>
    <n v="81589.3"/>
    <s v="Pending"/>
    <s v="Pending"/>
  </r>
  <r>
    <s v="INV-2026-01984"/>
    <x v="12"/>
    <s v="East"/>
    <s v="Guwahati"/>
    <s v="Direct Sales"/>
    <s v="Vijay Singh"/>
    <s v="Alpha Trading"/>
    <x v="4"/>
    <s v="Dress"/>
    <n v="47"/>
    <n v="3781.83"/>
    <n v="177746.01"/>
    <n v="24879.02"/>
    <n v="0"/>
    <n v="152866.99"/>
    <s v="Pending"/>
    <s v="Paid"/>
  </r>
  <r>
    <s v="INV-2026-01985"/>
    <x v="15"/>
    <s v="West"/>
    <s v="Ahmedabad"/>
    <s v="Direct Sales"/>
    <s v="Rajesh Verma"/>
    <s v="Prime Retail"/>
    <x v="3"/>
    <s v="Headphones"/>
    <n v="40"/>
    <n v="36325.14"/>
    <n v="1453005.6"/>
    <n v="241205.15"/>
    <n v="0"/>
    <n v="1211800.45"/>
    <s v="Pending"/>
    <s v="Pending"/>
  </r>
  <r>
    <s v="INV-2026-01986"/>
    <x v="85"/>
    <s v="Central"/>
    <s v="Indore"/>
    <s v="Direct Sales"/>
    <s v="Suresh Gupta"/>
    <s v="Global Traders"/>
    <x v="4"/>
    <s v="T-Shirt"/>
    <n v="19"/>
    <n v="27753.37"/>
    <n v="527314.03"/>
    <n v="0"/>
    <n v="0"/>
    <n v="527314.03"/>
    <s v="Completed"/>
    <s v="Paid"/>
  </r>
  <r>
    <s v="INV-2026-01987"/>
    <x v="85"/>
    <s v="West"/>
    <s v="Pune"/>
    <s v="Retail Store"/>
    <s v="Priya Patel"/>
    <s v="Skyline Corp"/>
    <x v="2"/>
    <s v="Football"/>
    <n v="1"/>
    <n v="11628.4"/>
    <n v="11628.4"/>
    <n v="0"/>
    <n v="0"/>
    <n v="11628.4"/>
    <s v="Pending"/>
    <s v="Pending"/>
  </r>
  <r>
    <s v="INV-2026-01988"/>
    <x v="44"/>
    <s v="Central"/>
    <s v="Nagpur"/>
    <s v="Online"/>
    <s v="Sneha Reddy"/>
    <s v="Global Traders"/>
    <x v="5"/>
    <s v="Air Conditioner"/>
    <n v="45"/>
    <n v="17196.88"/>
    <n v="773859.6"/>
    <n v="58452.52"/>
    <n v="85035.7"/>
    <n v="630371.38"/>
    <s v="Pending"/>
    <s v="Paid"/>
  </r>
  <r>
    <s v="INV-2026-01989"/>
    <x v="57"/>
    <s v="North"/>
    <s v="Chandigarh"/>
    <s v="Retail Store"/>
    <s v="Amit Kumar"/>
    <s v="Omega Stores"/>
    <x v="5"/>
    <s v="Refrigerator"/>
    <n v="10"/>
    <n v="13103.37"/>
    <n v="131033.7"/>
    <n v="13905.23"/>
    <n v="0"/>
    <n v="117128.47"/>
    <s v="Completed"/>
    <s v="Paid"/>
  </r>
  <r>
    <s v="INV-2026-01990"/>
    <x v="9"/>
    <s v="North"/>
    <s v="Delhi"/>
    <s v="Direct Sales"/>
    <s v="Amit Kumar"/>
    <s v="Omega Stores"/>
    <x v="3"/>
    <s v="Camera"/>
    <n v="35"/>
    <n v="46596.15"/>
    <n v="1630865.25"/>
    <n v="0"/>
    <n v="427708.46"/>
    <n v="1203156.79"/>
    <s v="Cancelled"/>
    <s v="Pending"/>
  </r>
  <r>
    <s v="INV-2026-01991"/>
    <x v="10"/>
    <s v="Central"/>
    <s v="Bhopal"/>
    <s v="Distributor"/>
    <s v="Vijay Singh"/>
    <s v="ABC Corp"/>
    <x v="3"/>
    <s v="Tablet"/>
    <n v="1"/>
    <n v="27510.52"/>
    <n v="27510.52"/>
    <n v="0"/>
    <n v="0"/>
    <n v="27510.52"/>
    <s v="Pending"/>
    <s v="Pending"/>
  </r>
  <r>
    <s v="INV-2026-01992"/>
    <x v="28"/>
    <s v="West"/>
    <s v="Surat"/>
    <s v="Distributor"/>
    <s v="Rahul Sharma"/>
    <s v="Omega Stores"/>
    <x v="5"/>
    <s v="Air Conditioner"/>
    <n v="20"/>
    <n v="30875.8"/>
    <n v="617516"/>
    <n v="0"/>
    <n v="0"/>
    <n v="617516"/>
    <s v="Completed"/>
    <s v="Paid"/>
  </r>
  <r>
    <s v="INV-2026-01993"/>
    <x v="54"/>
    <s v="East"/>
    <s v="Bhubaneswar"/>
    <s v="Online"/>
    <s v="Priya Patel"/>
    <s v="Nexus Ltd"/>
    <x v="2"/>
    <s v="Bicycle"/>
    <n v="49"/>
    <n v="28584.240000000002"/>
    <n v="1400627.76"/>
    <n v="194477.05"/>
    <n v="0"/>
    <n v="1206150.71"/>
    <s v="Completed"/>
    <s v="Paid"/>
  </r>
  <r>
    <s v="INV-2026-01994"/>
    <x v="50"/>
    <s v="South"/>
    <s v="Bangalore"/>
    <s v="Direct Sales"/>
    <s v="Suresh Gupta"/>
    <s v="Metro Mart"/>
    <x v="2"/>
    <s v="Cricket Bat"/>
    <n v="14"/>
    <n v="49500.41"/>
    <n v="693005.74"/>
    <n v="58306.83"/>
    <n v="0"/>
    <n v="634698.91"/>
    <s v="Pending"/>
    <s v="Paid"/>
  </r>
  <r>
    <s v="INV-2026-01995"/>
    <x v="81"/>
    <s v="Central"/>
    <s v="Indore"/>
    <s v="Direct Sales"/>
    <s v="Priya Patel"/>
    <s v="Future Tech"/>
    <x v="5"/>
    <s v="TV"/>
    <n v="36"/>
    <n v="7221.15"/>
    <n v="259961.4"/>
    <n v="0"/>
    <n v="45483.25"/>
    <n v="214478.15"/>
    <s v="Processing"/>
    <s v="Paid"/>
  </r>
  <r>
    <s v="INV-2026-01996"/>
    <x v="51"/>
    <s v="East"/>
    <s v="Guwahati"/>
    <s v="Retail Store"/>
    <s v="Priya Patel"/>
    <s v="Omega Stores"/>
    <x v="5"/>
    <s v="TV"/>
    <n v="4"/>
    <n v="33697.019999999997"/>
    <n v="134788.07999999999"/>
    <n v="17321.650000000001"/>
    <n v="0"/>
    <n v="117466.43"/>
    <s v="Pending"/>
    <s v="Pending"/>
  </r>
  <r>
    <s v="INV-2026-01997"/>
    <x v="78"/>
    <s v="North"/>
    <s v="Jaipur"/>
    <s v="Direct Sales"/>
    <s v="Sneha Reddy"/>
    <s v="Tech Solutions"/>
    <x v="1"/>
    <s v="Office Chair"/>
    <n v="36"/>
    <n v="20994.43"/>
    <n v="755799.48"/>
    <n v="0"/>
    <n v="0"/>
    <n v="755799.48"/>
    <s v="Processing"/>
    <s v="Pending"/>
  </r>
  <r>
    <s v="INV-2026-01998"/>
    <x v="26"/>
    <s v="West"/>
    <s v="Surat"/>
    <s v="Direct Sales"/>
    <s v="Amit Kumar"/>
    <s v="Urban Store"/>
    <x v="5"/>
    <s v="TV"/>
    <n v="21"/>
    <n v="5151.24"/>
    <n v="108176.04"/>
    <n v="0"/>
    <n v="0"/>
    <n v="108176.04"/>
    <s v="Pending"/>
    <s v="Pending"/>
  </r>
  <r>
    <s v="INV-2026-01999"/>
    <x v="67"/>
    <s v="Central"/>
    <s v="Nagpur"/>
    <s v="Distributor"/>
    <s v="Suresh Gupta"/>
    <s v="ABC Corp"/>
    <x v="1"/>
    <s v="Bookshelf"/>
    <n v="26"/>
    <n v="28133.18"/>
    <n v="731462.68"/>
    <n v="63681.31"/>
    <n v="75212.63"/>
    <n v="592568.74"/>
    <s v="Processing"/>
    <s v="Pending"/>
  </r>
  <r>
    <s v="INV-2026-02000"/>
    <x v="46"/>
    <s v="North"/>
    <s v="Jaipur"/>
    <s v="Direct Sales"/>
    <s v="Anita Desai"/>
    <s v="Prime Retail"/>
    <x v="2"/>
    <s v="Yoga Mat"/>
    <n v="3"/>
    <n v="8921.69"/>
    <n v="26765.07"/>
    <n v="369.79"/>
    <n v="0"/>
    <n v="26395.279999999999"/>
    <s v="Pending"/>
    <s v="Paid"/>
  </r>
  <r>
    <s v="INV-2026-02001"/>
    <x v="87"/>
    <s v="Central"/>
    <s v="Indore"/>
    <s v="Online"/>
    <s v="Anita Desai"/>
    <s v="Urban Store"/>
    <x v="2"/>
    <s v="Football"/>
    <n v="18"/>
    <n v="35968.67"/>
    <n v="647436.06000000006"/>
    <n v="18158.48"/>
    <n v="0"/>
    <n v="629277.57999999996"/>
    <s v="Processing"/>
    <s v="Pending"/>
  </r>
  <r>
    <s v="INV-2026-02002"/>
    <x v="80"/>
    <s v="West"/>
    <s v="Surat"/>
    <s v="Online"/>
    <s v="Priya Patel"/>
    <s v="Digital Hub"/>
    <x v="5"/>
    <s v="Air Conditioner"/>
    <n v="17"/>
    <n v="12515.11"/>
    <n v="212756.87"/>
    <n v="12096.72"/>
    <n v="0"/>
    <n v="200660.15"/>
    <s v="Processing"/>
    <s v="Paid"/>
  </r>
  <r>
    <s v="INV-2026-02003"/>
    <x v="18"/>
    <s v="East"/>
    <s v="Bhubaneswar"/>
    <s v="Distributor"/>
    <s v="Vijay Singh"/>
    <s v="Alpha Trading"/>
    <x v="2"/>
    <s v="Bicycle"/>
    <n v="43"/>
    <n v="47470.400000000001"/>
    <n v="2041227.2"/>
    <n v="170487.41"/>
    <n v="0"/>
    <n v="1870739.79"/>
    <s v="Pending"/>
    <s v="Pending"/>
  </r>
  <r>
    <s v="INV-2026-02004"/>
    <x v="61"/>
    <s v="West"/>
    <s v="Ahmedabad"/>
    <s v="Distributor"/>
    <s v="Sneha Reddy"/>
    <s v="Metro Mart"/>
    <x v="0"/>
    <s v="File Folder"/>
    <n v="25"/>
    <n v="32852.14"/>
    <n v="821303.5"/>
    <n v="108105.18"/>
    <n v="0"/>
    <n v="713198.32"/>
    <s v="Processing"/>
    <s v="Pending"/>
  </r>
  <r>
    <s v="INV-2026-02005"/>
    <x v="6"/>
    <s v="North"/>
    <s v="Jaipur"/>
    <s v="Direct Sales"/>
    <s v="Kavita Nair"/>
    <s v="Smart Systems"/>
    <x v="1"/>
    <s v="Conference Table"/>
    <n v="40"/>
    <n v="47128.91"/>
    <n v="1885156.4"/>
    <n v="54853.74"/>
    <n v="0"/>
    <n v="1830302.66"/>
    <s v="Processing"/>
    <s v="Paid"/>
  </r>
  <r>
    <s v="INV-2026-02006"/>
    <x v="7"/>
    <s v="South"/>
    <s v="Chennai"/>
    <s v="Online"/>
    <s v="Suresh Gupta"/>
    <s v="Metro Mart"/>
    <x v="5"/>
    <s v="Washing Machine"/>
    <n v="12"/>
    <n v="37064.199999999997"/>
    <n v="444770.4"/>
    <n v="12701.87"/>
    <n v="0"/>
    <n v="432068.53"/>
    <s v="Cancelled"/>
    <s v="Pending"/>
  </r>
  <r>
    <s v="INV-2026-02007"/>
    <x v="19"/>
    <s v="West"/>
    <s v="Surat"/>
    <s v="Distributor"/>
    <s v="Vijay Singh"/>
    <s v="Elite Enterprises"/>
    <x v="0"/>
    <s v="Desk Organizer"/>
    <n v="37"/>
    <n v="27641.66"/>
    <n v="1022741.42"/>
    <n v="713.5"/>
    <n v="0"/>
    <n v="1022027.92"/>
    <s v="Completed"/>
    <s v="Paid"/>
  </r>
  <r>
    <s v="INV-2026-02008"/>
    <x v="72"/>
    <s v="Central"/>
    <s v="Nagpur"/>
    <s v="Direct Sales"/>
    <s v="Meera Joshi"/>
    <s v="Tech Solutions"/>
    <x v="0"/>
    <s v="File Folder"/>
    <n v="19"/>
    <n v="46601.4"/>
    <n v="885426.6"/>
    <n v="146124.96"/>
    <n v="0"/>
    <n v="739301.64"/>
    <s v="Processing"/>
    <s v="Paid"/>
  </r>
  <r>
    <s v="INV-2026-02009"/>
    <x v="0"/>
    <s v="South"/>
    <s v="Bangalore"/>
    <s v="Direct Sales"/>
    <s v="Vijay Singh"/>
    <s v="Nexus Ltd"/>
    <x v="1"/>
    <s v="Bookshelf"/>
    <n v="9"/>
    <n v="30249.040000000001"/>
    <n v="272241.36"/>
    <n v="15076.6"/>
    <n v="0"/>
    <n v="257164.76"/>
    <s v="Pending"/>
    <s v="Pending"/>
  </r>
  <r>
    <s v="INV-2026-02010"/>
    <x v="49"/>
    <s v="East"/>
    <s v="Kolkata"/>
    <s v="Direct Sales"/>
    <s v="Rahul Sharma"/>
    <s v="Nexus Ltd"/>
    <x v="3"/>
    <s v="Smart Watch"/>
    <n v="23"/>
    <n v="22929.54"/>
    <n v="527379.42000000004"/>
    <n v="4133.08"/>
    <n v="127089.76"/>
    <n v="396156.58"/>
    <s v="Pending"/>
    <s v="Pending"/>
  </r>
  <r>
    <s v="INV-2026-02011"/>
    <x v="77"/>
    <s v="South"/>
    <s v="Hyderabad"/>
    <s v="Distributor"/>
    <s v="Suresh Gupta"/>
    <s v="Elite Enterprises"/>
    <x v="4"/>
    <s v="Jeans"/>
    <n v="26"/>
    <n v="29090.080000000002"/>
    <n v="756342.08"/>
    <n v="51286.47"/>
    <n v="0"/>
    <n v="705055.61"/>
    <s v="Completed"/>
    <s v="Paid"/>
  </r>
  <r>
    <s v="INV-2026-02012"/>
    <x v="63"/>
    <s v="West"/>
    <s v="Surat"/>
    <s v="Distributor"/>
    <s v="Kavita Nair"/>
    <s v="Digital Hub"/>
    <x v="2"/>
    <s v="Cricket Bat"/>
    <n v="44"/>
    <n v="18497.57"/>
    <n v="813893.08"/>
    <n v="10266.08"/>
    <n v="0"/>
    <n v="803627"/>
    <s v="Cancelled"/>
    <s v="Pending"/>
  </r>
  <r>
    <s v="INV-2026-02013"/>
    <x v="31"/>
    <s v="North"/>
    <s v="Jaipur"/>
    <s v="Distributor"/>
    <s v="Sneha Reddy"/>
    <s v="Skyline Corp"/>
    <x v="5"/>
    <s v="Vacuum Cleaner"/>
    <n v="42"/>
    <n v="39328.620000000003"/>
    <n v="1651802.04"/>
    <n v="165161.60999999999"/>
    <n v="0"/>
    <n v="1486640.43"/>
    <s v="Processing"/>
    <s v="Pending"/>
  </r>
  <r>
    <s v="INV-2026-02014"/>
    <x v="23"/>
    <s v="East"/>
    <s v="Kolkata"/>
    <s v="Online"/>
    <s v="Priya Patel"/>
    <s v="Omega Stores"/>
    <x v="0"/>
    <s v="Printer Paper"/>
    <n v="20"/>
    <n v="42883.77"/>
    <n v="857675.4"/>
    <n v="138464"/>
    <n v="0"/>
    <n v="719211.4"/>
    <s v="Cancelled"/>
    <s v="Pending"/>
  </r>
  <r>
    <s v="INV-2026-02015"/>
    <x v="1"/>
    <s v="North"/>
    <s v="Chandigarh"/>
    <s v="Retail Store"/>
    <s v="Sneha Reddy"/>
    <s v="Digital Hub"/>
    <x v="3"/>
    <s v="Smart Watch"/>
    <n v="5"/>
    <n v="23899.09"/>
    <n v="119495.45"/>
    <n v="0"/>
    <n v="13572.52"/>
    <n v="105922.93"/>
    <s v="Processing"/>
    <s v="Pending"/>
  </r>
  <r>
    <s v="INV-2026-02016"/>
    <x v="37"/>
    <s v="North"/>
    <s v="Lucknow"/>
    <s v="Retail Store"/>
    <s v="Priya Patel"/>
    <s v="Alpha Trading"/>
    <x v="4"/>
    <s v="T-Shirt"/>
    <n v="35"/>
    <n v="39404.800000000003"/>
    <n v="1379168"/>
    <n v="0"/>
    <n v="0"/>
    <n v="1379168"/>
    <s v="Cancelled"/>
    <s v="Pending"/>
  </r>
  <r>
    <s v="INV-2026-02017"/>
    <x v="60"/>
    <s v="North"/>
    <s v="Chandigarh"/>
    <s v="Online"/>
    <s v="Amit Kumar"/>
    <s v="XYZ Ltd"/>
    <x v="0"/>
    <s v="Pen Set"/>
    <n v="45"/>
    <n v="40933.08"/>
    <n v="1841988.6"/>
    <n v="96320.49"/>
    <n v="0"/>
    <n v="1745668.11"/>
    <s v="Processing"/>
    <s v="Paid"/>
  </r>
  <r>
    <s v="INV-2026-02018"/>
    <x v="51"/>
    <s v="South"/>
    <s v="Bangalore"/>
    <s v="Distributor"/>
    <s v="Suresh Gupta"/>
    <s v="Elite Enterprises"/>
    <x v="5"/>
    <s v="Vacuum Cleaner"/>
    <n v="40"/>
    <n v="42100.31"/>
    <n v="1684012.4"/>
    <n v="251214.42"/>
    <n v="0"/>
    <n v="1432797.98"/>
    <s v="Completed"/>
    <s v="Paid"/>
  </r>
  <r>
    <s v="INV-2026-02019"/>
    <x v="17"/>
    <s v="South"/>
    <s v="Hyderabad"/>
    <s v="Retail Store"/>
    <s v="Rahul Sharma"/>
    <s v="Tech Solutions"/>
    <x v="0"/>
    <s v="Pen Set"/>
    <n v="20"/>
    <n v="19342.13"/>
    <n v="386842.6"/>
    <n v="53432.99"/>
    <n v="93162.34"/>
    <n v="240247.27"/>
    <s v="Pending"/>
    <s v="Paid"/>
  </r>
  <r>
    <s v="INV-2026-02020"/>
    <x v="39"/>
    <s v="North"/>
    <s v="Lucknow"/>
    <s v="Online"/>
    <s v="Suresh Gupta"/>
    <s v="Elite Enterprises"/>
    <x v="1"/>
    <s v="Sofa"/>
    <n v="8"/>
    <n v="24898.3"/>
    <n v="199186.4"/>
    <n v="31841.03"/>
    <n v="0"/>
    <n v="167345.37"/>
    <s v="Pending"/>
    <s v="Paid"/>
  </r>
  <r>
    <s v="INV-2026-02021"/>
    <x v="20"/>
    <s v="North"/>
    <s v="Delhi"/>
    <s v="Distributor"/>
    <s v="Suresh Gupta"/>
    <s v="Skyline Corp"/>
    <x v="4"/>
    <s v="T-Shirt"/>
    <n v="20"/>
    <n v="6256.89"/>
    <n v="125137.8"/>
    <n v="15032.97"/>
    <n v="7854.25"/>
    <n v="102250.58"/>
    <s v="Completed"/>
    <s v="Pending"/>
  </r>
  <r>
    <s v="INV-2026-02022"/>
    <x v="49"/>
    <s v="East"/>
    <s v="Bhubaneswar"/>
    <s v="Distributor"/>
    <s v="Rahul Sharma"/>
    <s v="Omega Stores"/>
    <x v="5"/>
    <s v="Vacuum Cleaner"/>
    <n v="25"/>
    <n v="15623.16"/>
    <n v="390579"/>
    <n v="7578.07"/>
    <n v="26952.82"/>
    <n v="356048.11"/>
    <s v="Processing"/>
    <s v="Paid"/>
  </r>
  <r>
    <s v="INV-2026-02023"/>
    <x v="58"/>
    <s v="North"/>
    <s v="Jaipur"/>
    <s v="Retail Store"/>
    <s v="Vijay Singh"/>
    <s v="Alpha Trading"/>
    <x v="1"/>
    <s v="Desk"/>
    <n v="35"/>
    <n v="15343.86"/>
    <n v="537035.1"/>
    <n v="55484.37"/>
    <n v="0"/>
    <n v="481550.73"/>
    <s v="Processing"/>
    <s v="Pending"/>
  </r>
  <r>
    <s v="INV-2026-02024"/>
    <x v="58"/>
    <s v="South"/>
    <s v="Bangalore"/>
    <s v="Direct Sales"/>
    <s v="Priya Patel"/>
    <s v="Metro Mart"/>
    <x v="3"/>
    <s v="Headphones"/>
    <n v="15"/>
    <n v="43789.83"/>
    <n v="656847.44999999995"/>
    <n v="15316.29"/>
    <n v="186050.8"/>
    <n v="455480.36"/>
    <s v="Pending"/>
    <s v="Pending"/>
  </r>
  <r>
    <s v="INV-2026-02025"/>
    <x v="83"/>
    <s v="North"/>
    <s v="Lucknow"/>
    <s v="Distributor"/>
    <s v="Rahul Sharma"/>
    <s v="Digital Hub"/>
    <x v="2"/>
    <s v="Cricket Bat"/>
    <n v="30"/>
    <n v="36187.050000000003"/>
    <n v="1085611.5"/>
    <n v="0"/>
    <n v="71258.73"/>
    <n v="1014352.77"/>
    <s v="Cancelled"/>
    <s v="Pending"/>
  </r>
  <r>
    <s v="INV-2026-02026"/>
    <x v="89"/>
    <s v="Central"/>
    <s v="Nagpur"/>
    <s v="Direct Sales"/>
    <s v="Vijay Singh"/>
    <s v="Global Traders"/>
    <x v="3"/>
    <s v="Laptop"/>
    <n v="26"/>
    <n v="30314.400000000001"/>
    <n v="788174.4"/>
    <n v="34127.949999999997"/>
    <n v="0"/>
    <n v="754046.45"/>
    <s v="Processing"/>
    <s v="Pending"/>
  </r>
  <r>
    <s v="INV-2026-02027"/>
    <x v="64"/>
    <s v="Central"/>
    <s v="Bhopal"/>
    <s v="Retail Store"/>
    <s v="Vijay Singh"/>
    <s v="Smart Systems"/>
    <x v="3"/>
    <s v="Tablet"/>
    <n v="10"/>
    <n v="35338.83"/>
    <n v="353388.3"/>
    <n v="0"/>
    <n v="0"/>
    <n v="353388.3"/>
    <s v="Completed"/>
    <s v="Paid"/>
  </r>
  <r>
    <s v="INV-2026-02028"/>
    <x v="20"/>
    <s v="West"/>
    <s v="Pune"/>
    <s v="Online"/>
    <s v="Amit Kumar"/>
    <s v="Alpha Trading"/>
    <x v="0"/>
    <s v="Notebook"/>
    <n v="34"/>
    <n v="49719.39"/>
    <n v="1690459.26"/>
    <n v="0"/>
    <n v="0"/>
    <n v="1690459.26"/>
    <s v="Cancelled"/>
    <s v="Pending"/>
  </r>
  <r>
    <s v="INV-2026-02029"/>
    <x v="6"/>
    <s v="North"/>
    <s v="Lucknow"/>
    <s v="Distributor"/>
    <s v="Anita Desai"/>
    <s v="Metro Mart"/>
    <x v="0"/>
    <s v="Whiteboard"/>
    <n v="40"/>
    <n v="19005.36"/>
    <n v="760214.4"/>
    <n v="0"/>
    <n v="0"/>
    <n v="760214.4"/>
    <s v="Cancelled"/>
    <s v="Pending"/>
  </r>
  <r>
    <s v="INV-2026-02030"/>
    <x v="68"/>
    <s v="Central"/>
    <s v="Nagpur"/>
    <s v="Distributor"/>
    <s v="Amit Kumar"/>
    <s v="Global Traders"/>
    <x v="5"/>
    <s v="Vacuum Cleaner"/>
    <n v="3"/>
    <n v="47053.2"/>
    <n v="141159.6"/>
    <n v="0"/>
    <n v="21920.84"/>
    <n v="119238.76"/>
    <s v="Completed"/>
    <s v="Paid"/>
  </r>
  <r>
    <s v="INV-2026-02031"/>
    <x v="76"/>
    <s v="East"/>
    <s v="Patna"/>
    <s v="Retail Store"/>
    <s v="Vijay Singh"/>
    <s v="Future Tech"/>
    <x v="0"/>
    <s v="Pen Set"/>
    <n v="44"/>
    <n v="24221.63"/>
    <n v="1065751.72"/>
    <n v="110769.02"/>
    <n v="0"/>
    <n v="954982.7"/>
    <s v="Cancelled"/>
    <s v="Pending"/>
  </r>
  <r>
    <s v="INV-2026-02032"/>
    <x v="22"/>
    <s v="South"/>
    <s v="Chennai"/>
    <s v="Online"/>
    <s v="Kavita Nair"/>
    <s v="Prime Retail"/>
    <x v="0"/>
    <s v="Pen Set"/>
    <n v="27"/>
    <n v="8155.55"/>
    <n v="220199.85"/>
    <n v="0"/>
    <n v="17027.7"/>
    <n v="203172.15"/>
    <s v="Processing"/>
    <s v="Pending"/>
  </r>
  <r>
    <s v="INV-2026-02033"/>
    <x v="50"/>
    <s v="East"/>
    <s v="Patna"/>
    <s v="Distributor"/>
    <s v="Priya Patel"/>
    <s v="Future Tech"/>
    <x v="3"/>
    <s v="Laptop"/>
    <n v="33"/>
    <n v="27742.959999999999"/>
    <n v="915517.68"/>
    <n v="158323.04"/>
    <n v="0"/>
    <n v="757194.64"/>
    <s v="Completed"/>
    <s v="Paid"/>
  </r>
  <r>
    <s v="INV-2026-02034"/>
    <x v="91"/>
    <s v="Central"/>
    <s v="Raipur"/>
    <s v="Direct Sales"/>
    <s v="Kavita Nair"/>
    <s v="Alpha Trading"/>
    <x v="5"/>
    <s v="Washing Machine"/>
    <n v="22"/>
    <n v="17773.12"/>
    <n v="391008.64"/>
    <n v="20401.66"/>
    <n v="0"/>
    <n v="370606.98"/>
    <s v="Pending"/>
    <s v="Pending"/>
  </r>
  <r>
    <s v="INV-2026-02035"/>
    <x v="49"/>
    <s v="Central"/>
    <s v="Bhopal"/>
    <s v="Online"/>
    <s v="Kavita Nair"/>
    <s v="Prime Retail"/>
    <x v="1"/>
    <s v="Bookshelf"/>
    <n v="43"/>
    <n v="40353.06"/>
    <n v="1735181.58"/>
    <n v="205524.89"/>
    <n v="0"/>
    <n v="1529656.69"/>
    <s v="Completed"/>
    <s v="Paid"/>
  </r>
  <r>
    <s v="INV-2026-02036"/>
    <x v="11"/>
    <s v="West"/>
    <s v="Pune"/>
    <s v="Online"/>
    <s v="Kavita Nair"/>
    <s v="Omega Stores"/>
    <x v="0"/>
    <s v="Whiteboard"/>
    <n v="43"/>
    <n v="38319.480000000003"/>
    <n v="1647737.64"/>
    <n v="0"/>
    <n v="0"/>
    <n v="1647737.64"/>
    <s v="Cancelled"/>
    <s v="Pending"/>
  </r>
  <r>
    <s v="INV-2026-02037"/>
    <x v="86"/>
    <s v="West"/>
    <s v="Pune"/>
    <s v="Distributor"/>
    <s v="Vijay Singh"/>
    <s v="Metro Mart"/>
    <x v="0"/>
    <s v="Whiteboard"/>
    <n v="20"/>
    <n v="43156"/>
    <n v="863120"/>
    <n v="0"/>
    <n v="0"/>
    <n v="863120"/>
    <s v="Pending"/>
    <s v="Pending"/>
  </r>
  <r>
    <s v="INV-2026-02038"/>
    <x v="80"/>
    <s v="East"/>
    <s v="Kolkata"/>
    <s v="Direct Sales"/>
    <s v="Sneha Reddy"/>
    <s v="Skyline Corp"/>
    <x v="3"/>
    <s v="Laptop"/>
    <n v="50"/>
    <n v="37527.03"/>
    <n v="1876351.5"/>
    <n v="0"/>
    <n v="0"/>
    <n v="1876351.5"/>
    <s v="Processing"/>
    <s v="Pending"/>
  </r>
  <r>
    <s v="INV-2026-02039"/>
    <x v="33"/>
    <s v="South"/>
    <s v="Hyderabad"/>
    <s v="Retail Store"/>
    <s v="Kavita Nair"/>
    <s v="Smart Systems"/>
    <x v="4"/>
    <s v="Dress"/>
    <n v="41"/>
    <n v="49308.42"/>
    <n v="2021645.22"/>
    <n v="133618.07"/>
    <n v="0"/>
    <n v="1888027.15"/>
    <s v="Cancelled"/>
    <s v="Pending"/>
  </r>
  <r>
    <s v="INV-2026-02040"/>
    <x v="73"/>
    <s v="East"/>
    <s v="Patna"/>
    <s v="Online"/>
    <s v="Meera Joshi"/>
    <s v="Prime Retail"/>
    <x v="4"/>
    <s v="Dress"/>
    <n v="32"/>
    <n v="7286.27"/>
    <n v="233160.64"/>
    <n v="44202.720000000001"/>
    <n v="55845.25"/>
    <n v="133112.67000000001"/>
    <s v="Pending"/>
    <s v="Pending"/>
  </r>
  <r>
    <s v="INV-2026-02041"/>
    <x v="88"/>
    <s v="South"/>
    <s v="Kochi"/>
    <s v="Online"/>
    <s v="Suresh Gupta"/>
    <s v="XYZ Ltd"/>
    <x v="4"/>
    <s v="Shoes"/>
    <n v="2"/>
    <n v="14211.9"/>
    <n v="28423.8"/>
    <n v="141.29"/>
    <n v="0"/>
    <n v="28282.51"/>
    <s v="Completed"/>
    <s v="Paid"/>
  </r>
  <r>
    <s v="INV-2026-02042"/>
    <x v="38"/>
    <s v="South"/>
    <s v="Chennai"/>
    <s v="Retail Store"/>
    <s v="Kavita Nair"/>
    <s v="Nexus Ltd"/>
    <x v="1"/>
    <s v="Cabinet"/>
    <n v="2"/>
    <n v="34608.36"/>
    <n v="69216.72"/>
    <n v="0"/>
    <n v="0"/>
    <n v="69216.72"/>
    <s v="Pending"/>
    <s v="Pending"/>
  </r>
  <r>
    <s v="INV-2026-02043"/>
    <x v="30"/>
    <s v="East"/>
    <s v="Patna"/>
    <s v="Retail Store"/>
    <s v="Meera Joshi"/>
    <s v="Alpha Trading"/>
    <x v="0"/>
    <s v="Notebook"/>
    <n v="44"/>
    <n v="27630.55"/>
    <n v="1215744.2"/>
    <n v="4468.0200000000004"/>
    <n v="0"/>
    <n v="1211276.18"/>
    <s v="Completed"/>
    <s v="Paid"/>
  </r>
  <r>
    <s v="INV-2026-02044"/>
    <x v="18"/>
    <s v="East"/>
    <s v="Guwahati"/>
    <s v="Retail Store"/>
    <s v="Priya Patel"/>
    <s v="Smart Systems"/>
    <x v="2"/>
    <s v="Football"/>
    <n v="27"/>
    <n v="24736.09"/>
    <n v="667874.43000000005"/>
    <n v="0"/>
    <n v="0"/>
    <n v="667874.43000000005"/>
    <s v="Processing"/>
    <s v="Pending"/>
  </r>
  <r>
    <s v="INV-2026-02045"/>
    <x v="84"/>
    <s v="South"/>
    <s v="Hyderabad"/>
    <s v="Distributor"/>
    <s v="Anita Desai"/>
    <s v="Smart Systems"/>
    <x v="0"/>
    <s v="Pen Set"/>
    <n v="1"/>
    <n v="12184.56"/>
    <n v="12184.56"/>
    <n v="651.48"/>
    <n v="0"/>
    <n v="11533.08"/>
    <s v="Processing"/>
    <s v="Pending"/>
  </r>
  <r>
    <s v="INV-2026-02046"/>
    <x v="23"/>
    <s v="South"/>
    <s v="Chennai"/>
    <s v="Online"/>
    <s v="Suresh Gupta"/>
    <s v="Future Tech"/>
    <x v="4"/>
    <s v="Dress"/>
    <n v="46"/>
    <n v="42978.57"/>
    <n v="1977014.22"/>
    <n v="0"/>
    <n v="0"/>
    <n v="1977014.22"/>
    <s v="Cancelled"/>
    <s v="Pending"/>
  </r>
  <r>
    <s v="INV-2026-02047"/>
    <x v="87"/>
    <s v="Central"/>
    <s v="Nagpur"/>
    <s v="Online"/>
    <s v="Priya Patel"/>
    <s v="Global Traders"/>
    <x v="0"/>
    <s v="Whiteboard"/>
    <n v="31"/>
    <n v="22112.82"/>
    <n v="685497.42"/>
    <n v="113391.43"/>
    <n v="115593.19"/>
    <n v="456512.8"/>
    <s v="Processing"/>
    <s v="Paid"/>
  </r>
  <r>
    <s v="INV-2026-02048"/>
    <x v="80"/>
    <s v="East"/>
    <s v="Patna"/>
    <s v="Retail Store"/>
    <s v="Suresh Gupta"/>
    <s v="Tech Solutions"/>
    <x v="1"/>
    <s v="Sofa"/>
    <n v="41"/>
    <n v="34517.89"/>
    <n v="1415233.49"/>
    <n v="0"/>
    <n v="143902.26999999999"/>
    <n v="1271331.22"/>
    <s v="Completed"/>
    <s v="Paid"/>
  </r>
  <r>
    <s v="INV-2026-02049"/>
    <x v="7"/>
    <s v="Central"/>
    <s v="Bhopal"/>
    <s v="Online"/>
    <s v="Anita Desai"/>
    <s v="Prime Retail"/>
    <x v="3"/>
    <s v="Smart Watch"/>
    <n v="16"/>
    <n v="38545.46"/>
    <n v="616727.36"/>
    <n v="0"/>
    <n v="0"/>
    <n v="616727.36"/>
    <s v="Completed"/>
    <s v="Paid"/>
  </r>
  <r>
    <s v="INV-2026-02050"/>
    <x v="60"/>
    <s v="East"/>
    <s v="Patna"/>
    <s v="Online"/>
    <s v="Rajesh Verma"/>
    <s v="Skyline Corp"/>
    <x v="5"/>
    <s v="Microwave"/>
    <n v="13"/>
    <n v="7582.45"/>
    <n v="98571.85"/>
    <n v="0"/>
    <n v="0"/>
    <n v="98571.85"/>
    <s v="Completed"/>
    <s v="Paid"/>
  </r>
  <r>
    <s v="INV-2026-02051"/>
    <x v="78"/>
    <s v="East"/>
    <s v="Bhubaneswar"/>
    <s v="Online"/>
    <s v="Meera Joshi"/>
    <s v="Urban Store"/>
    <x v="5"/>
    <s v="Washing Machine"/>
    <n v="7"/>
    <n v="36553.78"/>
    <n v="255876.46"/>
    <n v="27743.35"/>
    <n v="0"/>
    <n v="228133.11"/>
    <s v="Completed"/>
    <s v="Paid"/>
  </r>
  <r>
    <s v="INV-2026-02052"/>
    <x v="86"/>
    <s v="Central"/>
    <s v="Raipur"/>
    <s v="Online"/>
    <s v="Vijay Singh"/>
    <s v="Urban Store"/>
    <x v="4"/>
    <s v="T-Shirt"/>
    <n v="29"/>
    <n v="20013.04"/>
    <n v="580378.16"/>
    <n v="0"/>
    <n v="44007.41"/>
    <n v="536370.75"/>
    <s v="Cancelled"/>
    <s v="Pending"/>
  </r>
  <r>
    <s v="INV-2026-02053"/>
    <x v="71"/>
    <s v="East"/>
    <s v="Guwahati"/>
    <s v="Distributor"/>
    <s v="Rahul Sharma"/>
    <s v="ABC Corp"/>
    <x v="1"/>
    <s v="Cabinet"/>
    <n v="25"/>
    <n v="28283.41"/>
    <n v="707085.25"/>
    <n v="0"/>
    <n v="0"/>
    <n v="707085.25"/>
    <s v="Processing"/>
    <s v="Pending"/>
  </r>
  <r>
    <s v="INV-2026-02054"/>
    <x v="11"/>
    <s v="West"/>
    <s v="Surat"/>
    <s v="Online"/>
    <s v="Suresh Gupta"/>
    <s v="XYZ Ltd"/>
    <x v="0"/>
    <s v="Whiteboard"/>
    <n v="8"/>
    <n v="34886"/>
    <n v="279088"/>
    <n v="11465"/>
    <n v="0"/>
    <n v="267623"/>
    <s v="Completed"/>
    <s v="Paid"/>
  </r>
  <r>
    <s v="INV-2026-02055"/>
    <x v="33"/>
    <s v="East"/>
    <s v="Kolkata"/>
    <s v="Online"/>
    <s v="Rahul Sharma"/>
    <s v="Future Tech"/>
    <x v="5"/>
    <s v="Washing Machine"/>
    <n v="30"/>
    <n v="26266.7"/>
    <n v="788001"/>
    <n v="60564.73"/>
    <n v="0"/>
    <n v="727436.27"/>
    <s v="Completed"/>
    <s v="Paid"/>
  </r>
  <r>
    <s v="INV-2026-02056"/>
    <x v="25"/>
    <s v="South"/>
    <s v="Chennai"/>
    <s v="Direct Sales"/>
    <s v="Rajesh Verma"/>
    <s v="Smart Systems"/>
    <x v="5"/>
    <s v="Vacuum Cleaner"/>
    <n v="40"/>
    <n v="47452.43"/>
    <n v="1898097.2"/>
    <n v="126689.07"/>
    <n v="0"/>
    <n v="1771408.13"/>
    <s v="Cancelled"/>
    <s v="Pending"/>
  </r>
  <r>
    <s v="INV-2026-02057"/>
    <x v="53"/>
    <s v="West"/>
    <s v="Pune"/>
    <s v="Direct Sales"/>
    <s v="Amit Kumar"/>
    <s v="Omega Stores"/>
    <x v="2"/>
    <s v="Gym Equipment"/>
    <n v="36"/>
    <n v="10723.93"/>
    <n v="386061.48"/>
    <n v="32612.1"/>
    <n v="106410.87"/>
    <n v="247038.51"/>
    <s v="Cancelled"/>
    <s v="Pending"/>
  </r>
  <r>
    <s v="INV-2026-02058"/>
    <x v="77"/>
    <s v="South"/>
    <s v="Hyderabad"/>
    <s v="Retail Store"/>
    <s v="Rahul Sharma"/>
    <s v="Tech Solutions"/>
    <x v="0"/>
    <s v="Printer Paper"/>
    <n v="37"/>
    <n v="5733.01"/>
    <n v="212121.37"/>
    <n v="28081.49"/>
    <n v="0"/>
    <n v="184039.88"/>
    <s v="Completed"/>
    <s v="Paid"/>
  </r>
  <r>
    <s v="INV-2026-02059"/>
    <x v="82"/>
    <s v="North"/>
    <s v="Jaipur"/>
    <s v="Direct Sales"/>
    <s v="Rahul Sharma"/>
    <s v="Metro Mart"/>
    <x v="3"/>
    <s v="Tablet"/>
    <n v="42"/>
    <n v="21791.03"/>
    <n v="915223.26"/>
    <n v="0"/>
    <n v="0"/>
    <n v="915223.26"/>
    <s v="Cancelled"/>
    <s v="Pending"/>
  </r>
  <r>
    <s v="INV-2026-02060"/>
    <x v="11"/>
    <s v="North"/>
    <s v="Jaipur"/>
    <s v="Retail Store"/>
    <s v="Anita Desai"/>
    <s v="Nexus Ltd"/>
    <x v="2"/>
    <s v="Cricket Bat"/>
    <n v="9"/>
    <n v="47147.1"/>
    <n v="424323.9"/>
    <n v="0"/>
    <n v="0"/>
    <n v="424323.9"/>
    <s v="Pending"/>
    <s v="Pending"/>
  </r>
  <r>
    <s v="INV-2026-02061"/>
    <x v="1"/>
    <s v="West"/>
    <s v="Surat"/>
    <s v="Direct Sales"/>
    <s v="Rajesh Verma"/>
    <s v="Alpha Trading"/>
    <x v="0"/>
    <s v="Whiteboard"/>
    <n v="44"/>
    <n v="10636.15"/>
    <n v="467990.6"/>
    <n v="0"/>
    <n v="0"/>
    <n v="467990.6"/>
    <s v="Completed"/>
    <s v="Pending"/>
  </r>
  <r>
    <s v="INV-2026-02062"/>
    <x v="3"/>
    <s v="Central"/>
    <s v="Nagpur"/>
    <s v="Direct Sales"/>
    <s v="Rahul Sharma"/>
    <s v="ABC Corp"/>
    <x v="3"/>
    <s v="Smart Watch"/>
    <n v="35"/>
    <n v="19220.580000000002"/>
    <n v="672720.3"/>
    <n v="89844.91"/>
    <n v="175581.26"/>
    <n v="407294.13"/>
    <s v="Completed"/>
    <s v="Paid"/>
  </r>
  <r>
    <s v="INV-2026-02063"/>
    <x v="21"/>
    <s v="Central"/>
    <s v="Indore"/>
    <s v="Retail Store"/>
    <s v="Priya Patel"/>
    <s v="Prime Retail"/>
    <x v="5"/>
    <s v="TV"/>
    <n v="17"/>
    <n v="40559.35"/>
    <n v="689508.95"/>
    <n v="0"/>
    <n v="0"/>
    <n v="689508.95"/>
    <s v="Cancelled"/>
    <s v="Pending"/>
  </r>
  <r>
    <s v="INV-2026-02064"/>
    <x v="58"/>
    <s v="East"/>
    <s v="Patna"/>
    <s v="Online"/>
    <s v="Sneha Reddy"/>
    <s v="Tech Solutions"/>
    <x v="1"/>
    <s v="Conference Table"/>
    <n v="18"/>
    <n v="45184.53"/>
    <n v="813321.54"/>
    <n v="30641.91"/>
    <n v="0"/>
    <n v="782679.63"/>
    <s v="Pending"/>
    <s v="Paid"/>
  </r>
  <r>
    <s v="INV-2026-02065"/>
    <x v="55"/>
    <s v="West"/>
    <s v="Surat"/>
    <s v="Retail Store"/>
    <s v="Sneha Reddy"/>
    <s v="Prime Retail"/>
    <x v="3"/>
    <s v="Smartphone"/>
    <n v="20"/>
    <n v="7894.49"/>
    <n v="157889.79999999999"/>
    <n v="0"/>
    <n v="0"/>
    <n v="157889.79999999999"/>
    <s v="Pending"/>
    <s v="Paid"/>
  </r>
  <r>
    <s v="INV-2026-02066"/>
    <x v="75"/>
    <s v="Central"/>
    <s v="Raipur"/>
    <s v="Online"/>
    <s v="Amit Kumar"/>
    <s v="Prime Retail"/>
    <x v="5"/>
    <s v="Refrigerator"/>
    <n v="3"/>
    <n v="33224.959999999999"/>
    <n v="99674.880000000005"/>
    <n v="260.95"/>
    <n v="17754.810000000001"/>
    <n v="81659.12"/>
    <s v="Completed"/>
    <s v="Paid"/>
  </r>
  <r>
    <s v="INV-2026-02067"/>
    <x v="66"/>
    <s v="East"/>
    <s v="Bhubaneswar"/>
    <s v="Direct Sales"/>
    <s v="Rajesh Verma"/>
    <s v="Future Tech"/>
    <x v="1"/>
    <s v="Cabinet"/>
    <n v="12"/>
    <n v="13110.04"/>
    <n v="157320.48000000001"/>
    <n v="7905.7"/>
    <n v="17528.990000000002"/>
    <n v="131885.79"/>
    <s v="Completed"/>
    <s v="Paid"/>
  </r>
  <r>
    <s v="INV-2026-02068"/>
    <x v="56"/>
    <s v="North"/>
    <s v="Delhi"/>
    <s v="Direct Sales"/>
    <s v="Suresh Gupta"/>
    <s v="Nexus Ltd"/>
    <x v="4"/>
    <s v="Dress"/>
    <n v="22"/>
    <n v="22497.58"/>
    <n v="494946.76"/>
    <n v="60906.39"/>
    <n v="62134.89"/>
    <n v="371905.48"/>
    <s v="Cancelled"/>
    <s v="Pending"/>
  </r>
  <r>
    <s v="INV-2026-02069"/>
    <x v="42"/>
    <s v="North"/>
    <s v="Lucknow"/>
    <s v="Retail Store"/>
    <s v="Vijay Singh"/>
    <s v="Tech Solutions"/>
    <x v="5"/>
    <s v="TV"/>
    <n v="13"/>
    <n v="15222.35"/>
    <n v="197890.55"/>
    <n v="0"/>
    <n v="0"/>
    <n v="197890.55"/>
    <s v="Cancelled"/>
    <s v="Pending"/>
  </r>
  <r>
    <s v="INV-2026-02070"/>
    <x v="41"/>
    <s v="East"/>
    <s v="Kolkata"/>
    <s v="Direct Sales"/>
    <s v="Meera Joshi"/>
    <s v="Digital Hub"/>
    <x v="5"/>
    <s v="Washing Machine"/>
    <n v="38"/>
    <n v="3134.65"/>
    <n v="119116.7"/>
    <n v="15147.18"/>
    <n v="0"/>
    <n v="103969.52"/>
    <s v="Cancelled"/>
    <s v="Pending"/>
  </r>
  <r>
    <s v="INV-2026-02071"/>
    <x v="5"/>
    <s v="West"/>
    <s v="Surat"/>
    <s v="Retail Store"/>
    <s v="Anita Desai"/>
    <s v="Alpha Trading"/>
    <x v="0"/>
    <s v="File Folder"/>
    <n v="17"/>
    <n v="19271.080000000002"/>
    <n v="327608.36"/>
    <n v="12580.01"/>
    <n v="5106.2299999999996"/>
    <n v="309922.12"/>
    <s v="Pending"/>
    <s v="Paid"/>
  </r>
  <r>
    <s v="INV-2026-02072"/>
    <x v="19"/>
    <s v="North"/>
    <s v="Chandigarh"/>
    <s v="Direct Sales"/>
    <s v="Suresh Gupta"/>
    <s v="Urban Store"/>
    <x v="5"/>
    <s v="Washing Machine"/>
    <n v="49"/>
    <n v="47418.98"/>
    <n v="2323530.02"/>
    <n v="0"/>
    <n v="0"/>
    <n v="2323530.02"/>
    <s v="Cancelled"/>
    <s v="Pending"/>
  </r>
  <r>
    <s v="INV-2026-02073"/>
    <x v="71"/>
    <s v="Central"/>
    <s v="Nagpur"/>
    <s v="Distributor"/>
    <s v="Priya Patel"/>
    <s v="Prime Retail"/>
    <x v="4"/>
    <s v="Jeans"/>
    <n v="46"/>
    <n v="1564.37"/>
    <n v="71961.02"/>
    <n v="5038.96"/>
    <n v="0"/>
    <n v="66922.06"/>
    <s v="Pending"/>
    <s v="Pending"/>
  </r>
  <r>
    <s v="INV-2026-02074"/>
    <x v="39"/>
    <s v="North"/>
    <s v="Chandigarh"/>
    <s v="Retail Store"/>
    <s v="Rahul Sharma"/>
    <s v="Global Traders"/>
    <x v="3"/>
    <s v="Laptop"/>
    <n v="30"/>
    <n v="26932.23"/>
    <n v="807966.9"/>
    <n v="0"/>
    <n v="0"/>
    <n v="807966.9"/>
    <s v="Cancelled"/>
    <s v="Pending"/>
  </r>
  <r>
    <s v="INV-2026-02075"/>
    <x v="79"/>
    <s v="North"/>
    <s v="Lucknow"/>
    <s v="Distributor"/>
    <s v="Suresh Gupta"/>
    <s v="Prime Retail"/>
    <x v="4"/>
    <s v="Dress"/>
    <n v="7"/>
    <n v="13656.1"/>
    <n v="95592.7"/>
    <n v="0"/>
    <n v="0"/>
    <n v="95592.7"/>
    <s v="Cancelled"/>
    <s v="Pending"/>
  </r>
  <r>
    <s v="INV-2026-02076"/>
    <x v="81"/>
    <s v="East"/>
    <s v="Guwahati"/>
    <s v="Direct Sales"/>
    <s v="Kavita Nair"/>
    <s v="Tech Solutions"/>
    <x v="2"/>
    <s v="Football"/>
    <n v="32"/>
    <n v="5597.67"/>
    <n v="179125.44"/>
    <n v="23455.83"/>
    <n v="0"/>
    <n v="155669.60999999999"/>
    <s v="Completed"/>
    <s v="Paid"/>
  </r>
  <r>
    <s v="INV-2026-02077"/>
    <x v="5"/>
    <s v="South"/>
    <s v="Hyderabad"/>
    <s v="Direct Sales"/>
    <s v="Rajesh Verma"/>
    <s v="XYZ Ltd"/>
    <x v="1"/>
    <s v="Cabinet"/>
    <n v="50"/>
    <n v="15963.15"/>
    <n v="798157.5"/>
    <n v="141507.76999999999"/>
    <n v="0"/>
    <n v="656649.73"/>
    <s v="Cancelled"/>
    <s v="Pending"/>
  </r>
  <r>
    <s v="INV-2026-02078"/>
    <x v="73"/>
    <s v="West"/>
    <s v="Surat"/>
    <s v="Distributor"/>
    <s v="Kavita Nair"/>
    <s v="Nexus Ltd"/>
    <x v="0"/>
    <s v="File Folder"/>
    <n v="2"/>
    <n v="36503.199999999997"/>
    <n v="73006.399999999994"/>
    <n v="11465.91"/>
    <n v="0"/>
    <n v="61540.49"/>
    <s v="Cancelled"/>
    <s v="Pending"/>
  </r>
  <r>
    <s v="INV-2026-02079"/>
    <x v="20"/>
    <s v="North"/>
    <s v="Jaipur"/>
    <s v="Direct Sales"/>
    <s v="Meera Joshi"/>
    <s v="Metro Mart"/>
    <x v="3"/>
    <s v="Smartphone"/>
    <n v="39"/>
    <n v="39855.760000000002"/>
    <n v="1554374.64"/>
    <n v="260857.3"/>
    <n v="0"/>
    <n v="1293517.3400000001"/>
    <s v="Processing"/>
    <s v="Paid"/>
  </r>
  <r>
    <s v="INV-2026-02080"/>
    <x v="44"/>
    <s v="North"/>
    <s v="Lucknow"/>
    <s v="Distributor"/>
    <s v="Anita Desai"/>
    <s v="Nexus Ltd"/>
    <x v="1"/>
    <s v="Sofa"/>
    <n v="42"/>
    <n v="43682.43"/>
    <n v="1834662.06"/>
    <n v="362500.29"/>
    <n v="0"/>
    <n v="1472161.77"/>
    <s v="Processing"/>
    <s v="Paid"/>
  </r>
  <r>
    <s v="INV-2026-02081"/>
    <x v="48"/>
    <s v="South"/>
    <s v="Kochi"/>
    <s v="Online"/>
    <s v="Kavita Nair"/>
    <s v="Smart Systems"/>
    <x v="2"/>
    <s v="Bicycle"/>
    <n v="38"/>
    <n v="38500.18"/>
    <n v="1463006.84"/>
    <n v="27803.14"/>
    <n v="0"/>
    <n v="1435203.7"/>
    <s v="Pending"/>
    <s v="Paid"/>
  </r>
  <r>
    <s v="INV-2026-02082"/>
    <x v="38"/>
    <s v="East"/>
    <s v="Guwahati"/>
    <s v="Direct Sales"/>
    <s v="Amit Kumar"/>
    <s v="Urban Store"/>
    <x v="2"/>
    <s v="Gym Equipment"/>
    <n v="47"/>
    <n v="45603.03"/>
    <n v="2143342.41"/>
    <n v="375253.43"/>
    <n v="0"/>
    <n v="1768088.98"/>
    <s v="Processing"/>
    <s v="Paid"/>
  </r>
  <r>
    <s v="INV-2026-02083"/>
    <x v="64"/>
    <s v="East"/>
    <s v="Patna"/>
    <s v="Online"/>
    <s v="Kavita Nair"/>
    <s v="Skyline Corp"/>
    <x v="3"/>
    <s v="Smart Watch"/>
    <n v="18"/>
    <n v="6151.52"/>
    <n v="110727.36"/>
    <n v="0"/>
    <n v="0"/>
    <n v="110727.36"/>
    <s v="Completed"/>
    <s v="Paid"/>
  </r>
  <r>
    <s v="INV-2026-02084"/>
    <x v="38"/>
    <s v="East"/>
    <s v="Guwahati"/>
    <s v="Distributor"/>
    <s v="Rahul Sharma"/>
    <s v="Alpha Trading"/>
    <x v="5"/>
    <s v="Air Conditioner"/>
    <n v="43"/>
    <n v="35668.15"/>
    <n v="1533730.45"/>
    <n v="0"/>
    <n v="0"/>
    <n v="1533730.45"/>
    <s v="Pending"/>
    <s v="Paid"/>
  </r>
  <r>
    <s v="INV-2026-02085"/>
    <x v="26"/>
    <s v="West"/>
    <s v="Ahmedabad"/>
    <s v="Retail Store"/>
    <s v="Rahul Sharma"/>
    <s v="Omega Stores"/>
    <x v="2"/>
    <s v="Gym Equipment"/>
    <n v="29"/>
    <n v="9831.61"/>
    <n v="285116.69"/>
    <n v="53931.34"/>
    <n v="0"/>
    <n v="231185.35"/>
    <s v="Pending"/>
    <s v="Pending"/>
  </r>
  <r>
    <s v="INV-2026-02086"/>
    <x v="31"/>
    <s v="South"/>
    <s v="Chennai"/>
    <s v="Direct Sales"/>
    <s v="Priya Patel"/>
    <s v="XYZ Ltd"/>
    <x v="3"/>
    <s v="Smartphone"/>
    <n v="22"/>
    <n v="5974.9"/>
    <n v="131447.79999999999"/>
    <n v="0"/>
    <n v="0"/>
    <n v="131447.79999999999"/>
    <s v="Cancelled"/>
    <s v="Pending"/>
  </r>
  <r>
    <s v="INV-2026-02087"/>
    <x v="24"/>
    <s v="North"/>
    <s v="Delhi"/>
    <s v="Direct Sales"/>
    <s v="Kavita Nair"/>
    <s v="Elite Enterprises"/>
    <x v="4"/>
    <s v="Shoes"/>
    <n v="29"/>
    <n v="17859.77"/>
    <n v="517933.33"/>
    <n v="65215.12"/>
    <n v="0"/>
    <n v="452718.21"/>
    <s v="Pending"/>
    <s v="Paid"/>
  </r>
  <r>
    <s v="INV-2026-02088"/>
    <x v="23"/>
    <s v="Central"/>
    <s v="Raipur"/>
    <s v="Direct Sales"/>
    <s v="Priya Patel"/>
    <s v="ABC Corp"/>
    <x v="0"/>
    <s v="Pen Set"/>
    <n v="39"/>
    <n v="18114.97"/>
    <n v="706483.83"/>
    <n v="0"/>
    <n v="0"/>
    <n v="706483.83"/>
    <s v="Processing"/>
    <s v="Paid"/>
  </r>
  <r>
    <s v="INV-2026-02089"/>
    <x v="49"/>
    <s v="West"/>
    <s v="Mumbai"/>
    <s v="Distributor"/>
    <s v="Kavita Nair"/>
    <s v="Future Tech"/>
    <x v="0"/>
    <s v="File Folder"/>
    <n v="46"/>
    <n v="3877.69"/>
    <n v="178373.74"/>
    <n v="18487.48"/>
    <n v="0"/>
    <n v="159886.26"/>
    <s v="Cancelled"/>
    <s v="Pending"/>
  </r>
  <r>
    <s v="INV-2026-02090"/>
    <x v="21"/>
    <s v="West"/>
    <s v="Surat"/>
    <s v="Retail Store"/>
    <s v="Rajesh Verma"/>
    <s v="Nexus Ltd"/>
    <x v="1"/>
    <s v="Desk"/>
    <n v="30"/>
    <n v="21950.22"/>
    <n v="658506.6"/>
    <n v="126118.54"/>
    <n v="0"/>
    <n v="532388.06000000006"/>
    <s v="Completed"/>
    <s v="Paid"/>
  </r>
  <r>
    <s v="INV-2026-02091"/>
    <x v="19"/>
    <s v="Central"/>
    <s v="Nagpur"/>
    <s v="Direct Sales"/>
    <s v="Sneha Reddy"/>
    <s v="Alpha Trading"/>
    <x v="0"/>
    <s v="Desk Organizer"/>
    <n v="49"/>
    <n v="1355.59"/>
    <n v="66423.91"/>
    <n v="11301.17"/>
    <n v="0"/>
    <n v="55122.74"/>
    <s v="Processing"/>
    <s v="Paid"/>
  </r>
  <r>
    <s v="INV-2026-02092"/>
    <x v="27"/>
    <s v="North"/>
    <s v="Chandigarh"/>
    <s v="Distributor"/>
    <s v="Rahul Sharma"/>
    <s v="Prime Retail"/>
    <x v="5"/>
    <s v="Vacuum Cleaner"/>
    <n v="44"/>
    <n v="14094.07"/>
    <n v="620139.07999999996"/>
    <n v="0"/>
    <n v="0"/>
    <n v="620139.07999999996"/>
    <s v="Cancelled"/>
    <s v="Pending"/>
  </r>
  <r>
    <s v="INV-2026-02093"/>
    <x v="40"/>
    <s v="East"/>
    <s v="Guwahati"/>
    <s v="Distributor"/>
    <s v="Sneha Reddy"/>
    <s v="Digital Hub"/>
    <x v="0"/>
    <s v="Pen Set"/>
    <n v="15"/>
    <n v="8668.02"/>
    <n v="130020.3"/>
    <n v="15376.4"/>
    <n v="0"/>
    <n v="114643.9"/>
    <s v="Cancelled"/>
    <s v="Pending"/>
  </r>
  <r>
    <s v="INV-2026-02094"/>
    <x v="15"/>
    <s v="North"/>
    <s v="Chandigarh"/>
    <s v="Online"/>
    <s v="Rajesh Verma"/>
    <s v="Metro Mart"/>
    <x v="1"/>
    <s v="Office Chair"/>
    <n v="17"/>
    <n v="8021.77"/>
    <n v="136370.09"/>
    <n v="22225.73"/>
    <n v="38457.800000000003"/>
    <n v="75686.559999999998"/>
    <s v="Cancelled"/>
    <s v="Pending"/>
  </r>
  <r>
    <s v="INV-2026-02095"/>
    <x v="85"/>
    <s v="West"/>
    <s v="Mumbai"/>
    <s v="Direct Sales"/>
    <s v="Suresh Gupta"/>
    <s v="Digital Hub"/>
    <x v="2"/>
    <s v="Football"/>
    <n v="50"/>
    <n v="45252.75"/>
    <n v="2262637.5"/>
    <n v="386935.01"/>
    <n v="0"/>
    <n v="1875702.49"/>
    <s v="Processing"/>
    <s v="Pending"/>
  </r>
  <r>
    <s v="INV-2026-02096"/>
    <x v="84"/>
    <s v="East"/>
    <s v="Patna"/>
    <s v="Online"/>
    <s v="Meera Joshi"/>
    <s v="Future Tech"/>
    <x v="0"/>
    <s v="Whiteboard"/>
    <n v="46"/>
    <n v="45425.760000000002"/>
    <n v="2089584.96"/>
    <n v="220189.33"/>
    <n v="0"/>
    <n v="1869395.63"/>
    <s v="Pending"/>
    <s v="Pending"/>
  </r>
  <r>
    <s v="INV-2026-02097"/>
    <x v="71"/>
    <s v="West"/>
    <s v="Pune"/>
    <s v="Retail Store"/>
    <s v="Priya Patel"/>
    <s v="Omega Stores"/>
    <x v="3"/>
    <s v="Headphones"/>
    <n v="47"/>
    <n v="45112"/>
    <n v="2120264"/>
    <n v="407438.31"/>
    <n v="0"/>
    <n v="1712825.69"/>
    <s v="Pending"/>
    <s v="Paid"/>
  </r>
  <r>
    <s v="INV-2026-02098"/>
    <x v="71"/>
    <s v="West"/>
    <s v="Mumbai"/>
    <s v="Distributor"/>
    <s v="Rajesh Verma"/>
    <s v="Elite Enterprises"/>
    <x v="5"/>
    <s v="Microwave"/>
    <n v="19"/>
    <n v="11059.38"/>
    <n v="210128.22"/>
    <n v="12230.88"/>
    <n v="18375.150000000001"/>
    <n v="179522.19"/>
    <s v="Processing"/>
    <s v="Pending"/>
  </r>
  <r>
    <s v="INV-2026-02099"/>
    <x v="17"/>
    <s v="East"/>
    <s v="Kolkata"/>
    <s v="Online"/>
    <s v="Rajesh Verma"/>
    <s v="Urban Store"/>
    <x v="4"/>
    <s v="T-Shirt"/>
    <n v="18"/>
    <n v="44093.85"/>
    <n v="793689.3"/>
    <n v="0"/>
    <n v="0"/>
    <n v="793689.3"/>
    <s v="Processing"/>
    <s v="Pending"/>
  </r>
  <r>
    <s v="INV-2026-02100"/>
    <x v="63"/>
    <s v="East"/>
    <s v="Patna"/>
    <s v="Direct Sales"/>
    <s v="Priya Patel"/>
    <s v="Alpha Trading"/>
    <x v="4"/>
    <s v="Jacket"/>
    <n v="48"/>
    <n v="40983.74"/>
    <n v="1967219.52"/>
    <n v="38768.1"/>
    <n v="230420.95"/>
    <n v="1698030.47"/>
    <s v="Processing"/>
    <s v="Pending"/>
  </r>
  <r>
    <s v="INV-2026-02101"/>
    <x v="86"/>
    <s v="West"/>
    <s v="Ahmedabad"/>
    <s v="Online"/>
    <s v="Anita Desai"/>
    <s v="Alpha Trading"/>
    <x v="3"/>
    <s v="Tablet"/>
    <n v="31"/>
    <n v="3092.14"/>
    <n v="95856.34"/>
    <n v="0"/>
    <n v="0"/>
    <n v="95856.34"/>
    <s v="Pending"/>
    <s v="Pending"/>
  </r>
  <r>
    <s v="INV-2026-02102"/>
    <x v="71"/>
    <s v="South"/>
    <s v="Hyderabad"/>
    <s v="Direct Sales"/>
    <s v="Rajesh Verma"/>
    <s v="Future Tech"/>
    <x v="0"/>
    <s v="Whiteboard"/>
    <n v="31"/>
    <n v="33297.31"/>
    <n v="1032216.61"/>
    <n v="26346.49"/>
    <n v="0"/>
    <n v="1005870.12"/>
    <s v="Completed"/>
    <s v="Paid"/>
  </r>
  <r>
    <s v="INV-2026-02103"/>
    <x v="21"/>
    <s v="Central"/>
    <s v="Indore"/>
    <s v="Distributor"/>
    <s v="Sneha Reddy"/>
    <s v="Smart Systems"/>
    <x v="5"/>
    <s v="Washing Machine"/>
    <n v="15"/>
    <n v="43108.18"/>
    <n v="646622.69999999995"/>
    <n v="0"/>
    <n v="0"/>
    <n v="646622.69999999995"/>
    <s v="Processing"/>
    <s v="Pending"/>
  </r>
  <r>
    <s v="INV-2026-02104"/>
    <x v="79"/>
    <s v="West"/>
    <s v="Surat"/>
    <s v="Direct Sales"/>
    <s v="Rahul Sharma"/>
    <s v="Global Traders"/>
    <x v="0"/>
    <s v="Desk Organizer"/>
    <n v="28"/>
    <n v="4916.62"/>
    <n v="137665.35999999999"/>
    <n v="11173.54"/>
    <n v="0"/>
    <n v="126491.82"/>
    <s v="Processing"/>
    <s v="Pending"/>
  </r>
  <r>
    <s v="INV-2026-02105"/>
    <x v="7"/>
    <s v="South"/>
    <s v="Kochi"/>
    <s v="Online"/>
    <s v="Meera Joshi"/>
    <s v="Global Traders"/>
    <x v="0"/>
    <s v="Pen Set"/>
    <n v="21"/>
    <n v="33444.35"/>
    <n v="702331.35"/>
    <n v="109965.42"/>
    <n v="0"/>
    <n v="592365.93000000005"/>
    <s v="Processing"/>
    <s v="Paid"/>
  </r>
  <r>
    <s v="INV-2026-02106"/>
    <x v="88"/>
    <s v="West"/>
    <s v="Surat"/>
    <s v="Distributor"/>
    <s v="Suresh Gupta"/>
    <s v="Elite Enterprises"/>
    <x v="3"/>
    <s v="Laptop"/>
    <n v="48"/>
    <n v="14908.68"/>
    <n v="715616.64"/>
    <n v="2509.12"/>
    <n v="0"/>
    <n v="713107.52"/>
    <s v="Pending"/>
    <s v="Pending"/>
  </r>
  <r>
    <s v="INV-2026-02107"/>
    <x v="24"/>
    <s v="North"/>
    <s v="Lucknow"/>
    <s v="Direct Sales"/>
    <s v="Vijay Singh"/>
    <s v="XYZ Ltd"/>
    <x v="5"/>
    <s v="Microwave"/>
    <n v="14"/>
    <n v="17666.52"/>
    <n v="247331.28"/>
    <n v="17642.259999999998"/>
    <n v="51701.58"/>
    <n v="177987.44"/>
    <s v="Processing"/>
    <s v="Pending"/>
  </r>
  <r>
    <s v="INV-2026-02108"/>
    <x v="88"/>
    <s v="East"/>
    <s v="Patna"/>
    <s v="Online"/>
    <s v="Sneha Reddy"/>
    <s v="XYZ Ltd"/>
    <x v="3"/>
    <s v="Smartphone"/>
    <n v="30"/>
    <n v="39785.699999999997"/>
    <n v="1193571"/>
    <n v="367.51"/>
    <n v="0"/>
    <n v="1193203.49"/>
    <s v="Cancelled"/>
    <s v="Pending"/>
  </r>
  <r>
    <s v="INV-2026-02109"/>
    <x v="30"/>
    <s v="East"/>
    <s v="Bhubaneswar"/>
    <s v="Online"/>
    <s v="Anita Desai"/>
    <s v="Prime Retail"/>
    <x v="5"/>
    <s v="TV"/>
    <n v="12"/>
    <n v="27199.88"/>
    <n v="326398.56"/>
    <n v="0"/>
    <n v="0"/>
    <n v="326398.56"/>
    <s v="Completed"/>
    <s v="Paid"/>
  </r>
  <r>
    <s v="INV-2026-02110"/>
    <x v="3"/>
    <s v="West"/>
    <s v="Ahmedabad"/>
    <s v="Direct Sales"/>
    <s v="Meera Joshi"/>
    <s v="Omega Stores"/>
    <x v="0"/>
    <s v="Whiteboard"/>
    <n v="7"/>
    <n v="13285.16"/>
    <n v="92996.12"/>
    <n v="10701.42"/>
    <n v="0"/>
    <n v="82294.7"/>
    <s v="Processing"/>
    <s v="Paid"/>
  </r>
  <r>
    <s v="INV-2026-02111"/>
    <x v="74"/>
    <s v="North"/>
    <s v="Chandigarh"/>
    <s v="Online"/>
    <s v="Rahul Sharma"/>
    <s v="Alpha Trading"/>
    <x v="4"/>
    <s v="Shoes"/>
    <n v="38"/>
    <n v="18842.45"/>
    <n v="716013.1"/>
    <n v="20805.53"/>
    <n v="192308.82"/>
    <n v="502898.75"/>
    <s v="Pending"/>
    <s v="Pending"/>
  </r>
  <r>
    <s v="INV-2026-02112"/>
    <x v="56"/>
    <s v="North"/>
    <s v="Chandigarh"/>
    <s v="Distributor"/>
    <s v="Meera Joshi"/>
    <s v="Elite Enterprises"/>
    <x v="2"/>
    <s v="Bicycle"/>
    <n v="27"/>
    <n v="41583.94"/>
    <n v="1122766.3799999999"/>
    <n v="88495.28"/>
    <n v="0"/>
    <n v="1034271.1"/>
    <s v="Processing"/>
    <s v="Paid"/>
  </r>
  <r>
    <s v="INV-2026-02113"/>
    <x v="56"/>
    <s v="Central"/>
    <s v="Indore"/>
    <s v="Direct Sales"/>
    <s v="Sneha Reddy"/>
    <s v="Metro Mart"/>
    <x v="1"/>
    <s v="Cabinet"/>
    <n v="21"/>
    <n v="39487.82"/>
    <n v="829244.22"/>
    <n v="65750.13"/>
    <n v="0"/>
    <n v="763494.09"/>
    <s v="Completed"/>
    <s v="Paid"/>
  </r>
  <r>
    <s v="INV-2026-02114"/>
    <x v="22"/>
    <s v="East"/>
    <s v="Guwahati"/>
    <s v="Online"/>
    <s v="Meera Joshi"/>
    <s v="ABC Corp"/>
    <x v="5"/>
    <s v="Vacuum Cleaner"/>
    <n v="30"/>
    <n v="13825.95"/>
    <n v="414778.5"/>
    <n v="72281.86"/>
    <n v="0"/>
    <n v="342496.64"/>
    <s v="Cancelled"/>
    <s v="Pending"/>
  </r>
  <r>
    <s v="INV-2026-02115"/>
    <x v="15"/>
    <s v="West"/>
    <s v="Mumbai"/>
    <s v="Retail Store"/>
    <s v="Sneha Reddy"/>
    <s v="ABC Corp"/>
    <x v="2"/>
    <s v="Yoga Mat"/>
    <n v="28"/>
    <n v="2195.5700000000002"/>
    <n v="61475.96"/>
    <n v="5285.3"/>
    <n v="0"/>
    <n v="56190.66"/>
    <s v="Processing"/>
    <s v="Pending"/>
  </r>
  <r>
    <s v="INV-2026-02116"/>
    <x v="47"/>
    <s v="North"/>
    <s v="Jaipur"/>
    <s v="Online"/>
    <s v="Priya Patel"/>
    <s v="Omega Stores"/>
    <x v="3"/>
    <s v="Camera"/>
    <n v="37"/>
    <n v="32980.019999999997"/>
    <n v="1220260.74"/>
    <n v="0"/>
    <n v="0"/>
    <n v="1220260.74"/>
    <s v="Completed"/>
    <s v="Paid"/>
  </r>
  <r>
    <s v="INV-2026-02117"/>
    <x v="63"/>
    <s v="South"/>
    <s v="Chennai"/>
    <s v="Distributor"/>
    <s v="Priya Patel"/>
    <s v="Omega Stores"/>
    <x v="5"/>
    <s v="Refrigerator"/>
    <n v="43"/>
    <n v="46502.69"/>
    <n v="1999615.67"/>
    <n v="54610.18"/>
    <n v="0"/>
    <n v="1945005.49"/>
    <s v="Processing"/>
    <s v="Pending"/>
  </r>
  <r>
    <s v="INV-2026-02118"/>
    <x v="75"/>
    <s v="Central"/>
    <s v="Raipur"/>
    <s v="Retail Store"/>
    <s v="Vijay Singh"/>
    <s v="Nexus Ltd"/>
    <x v="2"/>
    <s v="Tennis Racket"/>
    <n v="48"/>
    <n v="8238.93"/>
    <n v="395468.64"/>
    <n v="44072.25"/>
    <n v="0"/>
    <n v="351396.39"/>
    <s v="Cancelled"/>
    <s v="Pending"/>
  </r>
  <r>
    <s v="INV-2026-02119"/>
    <x v="12"/>
    <s v="South"/>
    <s v="Hyderabad"/>
    <s v="Retail Store"/>
    <s v="Suresh Gupta"/>
    <s v="Metro Mart"/>
    <x v="5"/>
    <s v="Refrigerator"/>
    <n v="2"/>
    <n v="22973.040000000001"/>
    <n v="45946.080000000002"/>
    <n v="7826.3"/>
    <n v="4852.1099999999997"/>
    <n v="33267.67"/>
    <s v="Completed"/>
    <s v="Paid"/>
  </r>
  <r>
    <s v="INV-2026-02120"/>
    <x v="40"/>
    <s v="West"/>
    <s v="Ahmedabad"/>
    <s v="Distributor"/>
    <s v="Rahul Sharma"/>
    <s v="Elite Enterprises"/>
    <x v="1"/>
    <s v="Cabinet"/>
    <n v="44"/>
    <n v="49753.82"/>
    <n v="2189168.08"/>
    <n v="0"/>
    <n v="0"/>
    <n v="2189168.08"/>
    <s v="Pending"/>
    <s v="Pending"/>
  </r>
  <r>
    <s v="INV-2026-02121"/>
    <x v="6"/>
    <s v="West"/>
    <s v="Surat"/>
    <s v="Online"/>
    <s v="Meera Joshi"/>
    <s v="ABC Corp"/>
    <x v="5"/>
    <s v="Washing Machine"/>
    <n v="15"/>
    <n v="35199.06"/>
    <n v="527985.9"/>
    <n v="104879.17"/>
    <n v="0"/>
    <n v="423106.73"/>
    <s v="Processing"/>
    <s v="Pending"/>
  </r>
  <r>
    <s v="INV-2026-02122"/>
    <x v="12"/>
    <s v="Central"/>
    <s v="Raipur"/>
    <s v="Direct Sales"/>
    <s v="Anita Desai"/>
    <s v="Smart Systems"/>
    <x v="0"/>
    <s v="Pen Set"/>
    <n v="43"/>
    <n v="8367.61"/>
    <n v="359807.23"/>
    <n v="0"/>
    <n v="0"/>
    <n v="359807.23"/>
    <s v="Completed"/>
    <s v="Paid"/>
  </r>
  <r>
    <s v="INV-2026-02123"/>
    <x v="9"/>
    <s v="East"/>
    <s v="Bhubaneswar"/>
    <s v="Online"/>
    <s v="Suresh Gupta"/>
    <s v="Alpha Trading"/>
    <x v="0"/>
    <s v="Desk Organizer"/>
    <n v="34"/>
    <n v="4839.6400000000003"/>
    <n v="164547.76"/>
    <n v="11736.52"/>
    <n v="0"/>
    <n v="152811.24"/>
    <s v="Pending"/>
    <s v="Pending"/>
  </r>
  <r>
    <s v="INV-2026-02124"/>
    <x v="15"/>
    <s v="East"/>
    <s v="Kolkata"/>
    <s v="Retail Store"/>
    <s v="Suresh Gupta"/>
    <s v="Prime Retail"/>
    <x v="3"/>
    <s v="Smartphone"/>
    <n v="16"/>
    <n v="41386.32"/>
    <n v="662181.12"/>
    <n v="0"/>
    <n v="0"/>
    <n v="662181.12"/>
    <s v="Completed"/>
    <s v="Paid"/>
  </r>
  <r>
    <s v="INV-2026-02125"/>
    <x v="29"/>
    <s v="West"/>
    <s v="Mumbai"/>
    <s v="Retail Store"/>
    <s v="Anita Desai"/>
    <s v="Elite Enterprises"/>
    <x v="0"/>
    <s v="Pen Set"/>
    <n v="7"/>
    <n v="21985.58"/>
    <n v="153899.06"/>
    <n v="779.28"/>
    <n v="0"/>
    <n v="153119.78"/>
    <s v="Pending"/>
    <s v="Pending"/>
  </r>
  <r>
    <s v="INV-2026-02126"/>
    <x v="29"/>
    <s v="East"/>
    <s v="Kolkata"/>
    <s v="Distributor"/>
    <s v="Sneha Reddy"/>
    <s v="Omega Stores"/>
    <x v="1"/>
    <s v="Office Chair"/>
    <n v="33"/>
    <n v="27755.43"/>
    <n v="915929.19"/>
    <n v="131138.57"/>
    <n v="194801.84"/>
    <n v="589988.78"/>
    <s v="Processing"/>
    <s v="Pending"/>
  </r>
  <r>
    <s v="INV-2026-02127"/>
    <x v="43"/>
    <s v="Central"/>
    <s v="Bhopal"/>
    <s v="Online"/>
    <s v="Vijay Singh"/>
    <s v="Urban Store"/>
    <x v="4"/>
    <s v="T-Shirt"/>
    <n v="17"/>
    <n v="23028.71"/>
    <n v="391488.07"/>
    <n v="0"/>
    <n v="0"/>
    <n v="391488.07"/>
    <s v="Cancelled"/>
    <s v="Pending"/>
  </r>
  <r>
    <s v="INV-2026-02128"/>
    <x v="18"/>
    <s v="Central"/>
    <s v="Raipur"/>
    <s v="Direct Sales"/>
    <s v="Sneha Reddy"/>
    <s v="Nexus Ltd"/>
    <x v="4"/>
    <s v="T-Shirt"/>
    <n v="14"/>
    <n v="13487.56"/>
    <n v="188825.84"/>
    <n v="0"/>
    <n v="0"/>
    <n v="188825.84"/>
    <s v="Cancelled"/>
    <s v="Pending"/>
  </r>
  <r>
    <s v="INV-2026-02129"/>
    <x v="2"/>
    <s v="North"/>
    <s v="Delhi"/>
    <s v="Direct Sales"/>
    <s v="Rajesh Verma"/>
    <s v="Skyline Corp"/>
    <x v="4"/>
    <s v="Jeans"/>
    <n v="23"/>
    <n v="40683.81"/>
    <n v="935727.63"/>
    <n v="120917.48"/>
    <n v="0"/>
    <n v="814810.15"/>
    <s v="Pending"/>
    <s v="Pending"/>
  </r>
  <r>
    <s v="INV-2026-02130"/>
    <x v="85"/>
    <s v="South"/>
    <s v="Kochi"/>
    <s v="Direct Sales"/>
    <s v="Priya Patel"/>
    <s v="Metro Mart"/>
    <x v="4"/>
    <s v="Dress"/>
    <n v="9"/>
    <n v="40822.720000000001"/>
    <n v="367404.48"/>
    <n v="34213.26"/>
    <n v="40225.120000000003"/>
    <n v="292966.09999999998"/>
    <s v="Pending"/>
    <s v="Pending"/>
  </r>
  <r>
    <s v="INV-2026-02131"/>
    <x v="40"/>
    <s v="Central"/>
    <s v="Nagpur"/>
    <s v="Retail Store"/>
    <s v="Vijay Singh"/>
    <s v="Urban Store"/>
    <x v="3"/>
    <s v="Smart Watch"/>
    <n v="49"/>
    <n v="4525.75"/>
    <n v="221761.75"/>
    <n v="33211.230000000003"/>
    <n v="0"/>
    <n v="188550.52"/>
    <s v="Pending"/>
    <s v="Pending"/>
  </r>
  <r>
    <s v="INV-2026-02132"/>
    <x v="4"/>
    <s v="Central"/>
    <s v="Nagpur"/>
    <s v="Distributor"/>
    <s v="Rajesh Verma"/>
    <s v="Global Traders"/>
    <x v="2"/>
    <s v="Yoga Mat"/>
    <n v="4"/>
    <n v="22230.13"/>
    <n v="88920.52"/>
    <n v="0"/>
    <n v="15008.84"/>
    <n v="73911.679999999993"/>
    <s v="Cancelled"/>
    <s v="Pending"/>
  </r>
  <r>
    <s v="INV-2026-02133"/>
    <x v="64"/>
    <s v="South"/>
    <s v="Chennai"/>
    <s v="Online"/>
    <s v="Rahul Sharma"/>
    <s v="Skyline Corp"/>
    <x v="1"/>
    <s v="Conference Table"/>
    <n v="5"/>
    <n v="22856.42"/>
    <n v="114282.1"/>
    <n v="0"/>
    <n v="0"/>
    <n v="114282.1"/>
    <s v="Completed"/>
    <s v="Paid"/>
  </r>
  <r>
    <s v="INV-2026-02134"/>
    <x v="64"/>
    <s v="East"/>
    <s v="Kolkata"/>
    <s v="Distributor"/>
    <s v="Vijay Singh"/>
    <s v="XYZ Ltd"/>
    <x v="4"/>
    <s v="Jacket"/>
    <n v="14"/>
    <n v="38019.519999999997"/>
    <n v="532273.28"/>
    <n v="44301.62"/>
    <n v="0"/>
    <n v="487971.66"/>
    <s v="Cancelled"/>
    <s v="Pending"/>
  </r>
  <r>
    <s v="INV-2026-02135"/>
    <x v="6"/>
    <s v="Central"/>
    <s v="Nagpur"/>
    <s v="Direct Sales"/>
    <s v="Rahul Sharma"/>
    <s v="Urban Store"/>
    <x v="0"/>
    <s v="Pen Set"/>
    <n v="28"/>
    <n v="26167.81"/>
    <n v="732698.68"/>
    <n v="18758.62"/>
    <n v="105732.04"/>
    <n v="608208.02"/>
    <s v="Completed"/>
    <s v="Paid"/>
  </r>
  <r>
    <s v="INV-2026-02136"/>
    <x v="8"/>
    <s v="South"/>
    <s v="Chennai"/>
    <s v="Distributor"/>
    <s v="Rajesh Verma"/>
    <s v="Elite Enterprises"/>
    <x v="4"/>
    <s v="Jacket"/>
    <n v="45"/>
    <n v="19023.490000000002"/>
    <n v="856057.05"/>
    <n v="137534.19"/>
    <n v="128253.85"/>
    <n v="590269.01"/>
    <s v="Cancelled"/>
    <s v="Pending"/>
  </r>
  <r>
    <s v="INV-2026-02137"/>
    <x v="88"/>
    <s v="East"/>
    <s v="Patna"/>
    <s v="Online"/>
    <s v="Meera Joshi"/>
    <s v="Urban Store"/>
    <x v="2"/>
    <s v="Cricket Bat"/>
    <n v="14"/>
    <n v="46377.120000000003"/>
    <n v="649279.68000000005"/>
    <n v="0"/>
    <n v="0"/>
    <n v="649279.68000000005"/>
    <s v="Pending"/>
    <s v="Pending"/>
  </r>
  <r>
    <s v="INV-2026-02138"/>
    <x v="16"/>
    <s v="West"/>
    <s v="Pune"/>
    <s v="Direct Sales"/>
    <s v="Kavita Nair"/>
    <s v="Digital Hub"/>
    <x v="4"/>
    <s v="Dress"/>
    <n v="15"/>
    <n v="17180.8"/>
    <n v="257712"/>
    <n v="4446.76"/>
    <n v="0"/>
    <n v="253265.24"/>
    <s v="Completed"/>
    <s v="Paid"/>
  </r>
  <r>
    <s v="INV-2026-02139"/>
    <x v="57"/>
    <s v="South"/>
    <s v="Kochi"/>
    <s v="Retail Store"/>
    <s v="Rajesh Verma"/>
    <s v="Urban Store"/>
    <x v="2"/>
    <s v="Bicycle"/>
    <n v="6"/>
    <n v="32350.9"/>
    <n v="194105.4"/>
    <n v="0"/>
    <n v="20794.73"/>
    <n v="173310.67"/>
    <s v="Processing"/>
    <s v="Pending"/>
  </r>
  <r>
    <s v="INV-2026-02140"/>
    <x v="50"/>
    <s v="South"/>
    <s v="Hyderabad"/>
    <s v="Direct Sales"/>
    <s v="Suresh Gupta"/>
    <s v="Nexus Ltd"/>
    <x v="1"/>
    <s v="Desk"/>
    <n v="32"/>
    <n v="46094.67"/>
    <n v="1475029.44"/>
    <n v="0"/>
    <n v="0"/>
    <n v="1475029.44"/>
    <s v="Completed"/>
    <s v="Paid"/>
  </r>
  <r>
    <s v="INV-2026-02141"/>
    <x v="30"/>
    <s v="East"/>
    <s v="Guwahati"/>
    <s v="Direct Sales"/>
    <s v="Rahul Sharma"/>
    <s v="Urban Store"/>
    <x v="5"/>
    <s v="Vacuum Cleaner"/>
    <n v="35"/>
    <n v="31602.45"/>
    <n v="1106085.75"/>
    <n v="173650.11"/>
    <n v="0"/>
    <n v="932435.64"/>
    <s v="Cancelled"/>
    <s v="Pending"/>
  </r>
  <r>
    <s v="INV-2026-02142"/>
    <x v="11"/>
    <s v="Central"/>
    <s v="Indore"/>
    <s v="Direct Sales"/>
    <s v="Rahul Sharma"/>
    <s v="Omega Stores"/>
    <x v="0"/>
    <s v="File Folder"/>
    <n v="50"/>
    <n v="38132.54"/>
    <n v="1906627"/>
    <n v="340229.59"/>
    <n v="0"/>
    <n v="1566397.41"/>
    <s v="Processing"/>
    <s v="Pending"/>
  </r>
  <r>
    <s v="INV-2026-02143"/>
    <x v="45"/>
    <s v="East"/>
    <s v="Guwahati"/>
    <s v="Distributor"/>
    <s v="Rahul Sharma"/>
    <s v="Metro Mart"/>
    <x v="2"/>
    <s v="Football"/>
    <n v="26"/>
    <n v="21069.55"/>
    <n v="547808.30000000005"/>
    <n v="0"/>
    <n v="0"/>
    <n v="547808.30000000005"/>
    <s v="Processing"/>
    <s v="Pending"/>
  </r>
  <r>
    <s v="INV-2026-02144"/>
    <x v="20"/>
    <s v="Central"/>
    <s v="Bhopal"/>
    <s v="Distributor"/>
    <s v="Amit Kumar"/>
    <s v="Alpha Trading"/>
    <x v="3"/>
    <s v="Smart Watch"/>
    <n v="31"/>
    <n v="31237.05"/>
    <n v="968348.55"/>
    <n v="69459.039999999994"/>
    <n v="0"/>
    <n v="898889.51"/>
    <s v="Pending"/>
    <s v="Pending"/>
  </r>
  <r>
    <s v="INV-2026-02145"/>
    <x v="17"/>
    <s v="Central"/>
    <s v="Raipur"/>
    <s v="Retail Store"/>
    <s v="Anita Desai"/>
    <s v="Elite Enterprises"/>
    <x v="0"/>
    <s v="File Folder"/>
    <n v="33"/>
    <n v="49044.65"/>
    <n v="1618473.45"/>
    <n v="0"/>
    <n v="0"/>
    <n v="1618473.45"/>
    <s v="Cancelled"/>
    <s v="Pending"/>
  </r>
  <r>
    <s v="INV-2026-02146"/>
    <x v="34"/>
    <s v="East"/>
    <s v="Patna"/>
    <s v="Retail Store"/>
    <s v="Vijay Singh"/>
    <s v="Elite Enterprises"/>
    <x v="3"/>
    <s v="Camera"/>
    <n v="12"/>
    <n v="17471.939999999999"/>
    <n v="209663.28"/>
    <n v="4387.6400000000003"/>
    <n v="0"/>
    <n v="205275.64"/>
    <s v="Cancelled"/>
    <s v="Pending"/>
  </r>
  <r>
    <s v="INV-2026-02147"/>
    <x v="18"/>
    <s v="Central"/>
    <s v="Raipur"/>
    <s v="Direct Sales"/>
    <s v="Rajesh Verma"/>
    <s v="XYZ Ltd"/>
    <x v="2"/>
    <s v="Bicycle"/>
    <n v="31"/>
    <n v="46701.21"/>
    <n v="1447737.51"/>
    <n v="279775.62"/>
    <n v="246731.08"/>
    <n v="921230.81"/>
    <s v="Processing"/>
    <s v="Pending"/>
  </r>
  <r>
    <s v="INV-2026-02148"/>
    <x v="69"/>
    <s v="Central"/>
    <s v="Bhopal"/>
    <s v="Retail Store"/>
    <s v="Rajesh Verma"/>
    <s v="Smart Systems"/>
    <x v="0"/>
    <s v="Pen Set"/>
    <n v="44"/>
    <n v="27679.62"/>
    <n v="1217903.28"/>
    <n v="192956.87"/>
    <n v="0"/>
    <n v="1024946.41"/>
    <s v="Completed"/>
    <s v="Paid"/>
  </r>
  <r>
    <s v="INV-2026-02149"/>
    <x v="89"/>
    <s v="South"/>
    <s v="Kochi"/>
    <s v="Direct Sales"/>
    <s v="Sneha Reddy"/>
    <s v="Omega Stores"/>
    <x v="1"/>
    <s v="Conference Table"/>
    <n v="35"/>
    <n v="38887.93"/>
    <n v="1361077.55"/>
    <n v="98240.06"/>
    <n v="0"/>
    <n v="1262837.49"/>
    <s v="Processing"/>
    <s v="Pending"/>
  </r>
  <r>
    <s v="INV-2026-02150"/>
    <x v="32"/>
    <s v="Central"/>
    <s v="Indore"/>
    <s v="Online"/>
    <s v="Vijay Singh"/>
    <s v="Future Tech"/>
    <x v="2"/>
    <s v="Yoga Mat"/>
    <n v="16"/>
    <n v="29377.33"/>
    <n v="470037.28"/>
    <n v="59444.58"/>
    <n v="0"/>
    <n v="410592.7"/>
    <s v="Cancelled"/>
    <s v="Pending"/>
  </r>
  <r>
    <s v="INV-2026-02151"/>
    <x v="47"/>
    <s v="West"/>
    <s v="Surat"/>
    <s v="Direct Sales"/>
    <s v="Kavita Nair"/>
    <s v="Urban Store"/>
    <x v="3"/>
    <s v="Smartphone"/>
    <n v="30"/>
    <n v="25979.38"/>
    <n v="779381.4"/>
    <n v="55141"/>
    <n v="0"/>
    <n v="724240.4"/>
    <s v="Completed"/>
    <s v="Paid"/>
  </r>
  <r>
    <s v="INV-2026-02152"/>
    <x v="86"/>
    <s v="North"/>
    <s v="Delhi"/>
    <s v="Retail Store"/>
    <s v="Rahul Sharma"/>
    <s v="Metro Mart"/>
    <x v="1"/>
    <s v="Sofa"/>
    <n v="31"/>
    <n v="5826.84"/>
    <n v="180632.04"/>
    <n v="0"/>
    <n v="0"/>
    <n v="180632.04"/>
    <s v="Completed"/>
    <s v="Paid"/>
  </r>
  <r>
    <s v="INV-2026-02153"/>
    <x v="10"/>
    <s v="North"/>
    <s v="Jaipur"/>
    <s v="Direct Sales"/>
    <s v="Rajesh Verma"/>
    <s v="Metro Mart"/>
    <x v="3"/>
    <s v="Smartphone"/>
    <n v="22"/>
    <n v="19106.12"/>
    <n v="420334.64"/>
    <n v="19036.48"/>
    <n v="91891.03"/>
    <n v="309407.13"/>
    <s v="Pending"/>
    <s v="Pending"/>
  </r>
  <r>
    <s v="INV-2026-02154"/>
    <x v="47"/>
    <s v="North"/>
    <s v="Lucknow"/>
    <s v="Online"/>
    <s v="Meera Joshi"/>
    <s v="Alpha Trading"/>
    <x v="3"/>
    <s v="Smart Watch"/>
    <n v="26"/>
    <n v="35316.75"/>
    <n v="918235.5"/>
    <n v="0"/>
    <n v="0"/>
    <n v="918235.5"/>
    <s v="Pending"/>
    <s v="Paid"/>
  </r>
  <r>
    <s v="INV-2026-02155"/>
    <x v="89"/>
    <s v="North"/>
    <s v="Lucknow"/>
    <s v="Distributor"/>
    <s v="Sneha Reddy"/>
    <s v="Digital Hub"/>
    <x v="1"/>
    <s v="Desk"/>
    <n v="30"/>
    <n v="43243.53"/>
    <n v="1297305.8999999999"/>
    <n v="154718.37"/>
    <n v="0"/>
    <n v="1142587.53"/>
    <s v="Processing"/>
    <s v="Paid"/>
  </r>
  <r>
    <s v="INV-2026-02156"/>
    <x v="77"/>
    <s v="North"/>
    <s v="Chandigarh"/>
    <s v="Distributor"/>
    <s v="Rahul Sharma"/>
    <s v="Prime Retail"/>
    <x v="2"/>
    <s v="Football"/>
    <n v="14"/>
    <n v="12902.27"/>
    <n v="180631.78"/>
    <n v="10323.75"/>
    <n v="0"/>
    <n v="170308.03"/>
    <s v="Completed"/>
    <s v="Paid"/>
  </r>
  <r>
    <s v="INV-2026-02157"/>
    <x v="60"/>
    <s v="South"/>
    <s v="Hyderabad"/>
    <s v="Distributor"/>
    <s v="Vijay Singh"/>
    <s v="Skyline Corp"/>
    <x v="4"/>
    <s v="Jacket"/>
    <n v="11"/>
    <n v="34250.410000000003"/>
    <n v="376754.51"/>
    <n v="0"/>
    <n v="0"/>
    <n v="376754.51"/>
    <s v="Cancelled"/>
    <s v="Pending"/>
  </r>
  <r>
    <s v="INV-2026-02158"/>
    <x v="2"/>
    <s v="South"/>
    <s v="Bangalore"/>
    <s v="Retail Store"/>
    <s v="Kavita Nair"/>
    <s v="Metro Mart"/>
    <x v="1"/>
    <s v="Sofa"/>
    <n v="23"/>
    <n v="48969.03"/>
    <n v="1126287.69"/>
    <n v="20090.23"/>
    <n v="0"/>
    <n v="1106197.46"/>
    <s v="Completed"/>
    <s v="Paid"/>
  </r>
  <r>
    <s v="INV-2026-02159"/>
    <x v="55"/>
    <s v="South"/>
    <s v="Chennai"/>
    <s v="Direct Sales"/>
    <s v="Kavita Nair"/>
    <s v="Tech Solutions"/>
    <x v="1"/>
    <s v="Office Chair"/>
    <n v="19"/>
    <n v="25241.71"/>
    <n v="479592.49"/>
    <n v="58080.480000000003"/>
    <n v="0"/>
    <n v="421512.01"/>
    <s v="Completed"/>
    <s v="Overdue"/>
  </r>
  <r>
    <s v="INV-2026-02160"/>
    <x v="17"/>
    <s v="South"/>
    <s v="Bangalore"/>
    <s v="Distributor"/>
    <s v="Sneha Reddy"/>
    <s v="Prime Retail"/>
    <x v="4"/>
    <s v="Jeans"/>
    <n v="10"/>
    <n v="9694.44"/>
    <n v="96944.4"/>
    <n v="13108.15"/>
    <n v="0"/>
    <n v="83836.25"/>
    <s v="Cancelled"/>
    <s v="Pending"/>
  </r>
  <r>
    <s v="INV-2026-02161"/>
    <x v="51"/>
    <s v="West"/>
    <s v="Pune"/>
    <s v="Direct Sales"/>
    <s v="Sneha Reddy"/>
    <s v="Nexus Ltd"/>
    <x v="5"/>
    <s v="Microwave"/>
    <n v="5"/>
    <n v="38806.239999999998"/>
    <n v="194031.2"/>
    <n v="18829.36"/>
    <n v="0"/>
    <n v="175201.84"/>
    <s v="Processing"/>
    <s v="Paid"/>
  </r>
  <r>
    <s v="INV-2026-02162"/>
    <x v="52"/>
    <s v="West"/>
    <s v="Surat"/>
    <s v="Online"/>
    <s v="Rajesh Verma"/>
    <s v="Elite Enterprises"/>
    <x v="5"/>
    <s v="Vacuum Cleaner"/>
    <n v="16"/>
    <n v="17444.330000000002"/>
    <n v="279109.28000000003"/>
    <n v="0"/>
    <n v="0"/>
    <n v="279109.28000000003"/>
    <s v="Processing"/>
    <s v="Pending"/>
  </r>
  <r>
    <s v="INV-2026-02163"/>
    <x v="22"/>
    <s v="North"/>
    <s v="Lucknow"/>
    <s v="Distributor"/>
    <s v="Rahul Sharma"/>
    <s v="Smart Systems"/>
    <x v="1"/>
    <s v="Bookshelf"/>
    <n v="23"/>
    <n v="45144.959999999999"/>
    <n v="1038334.08"/>
    <n v="0"/>
    <n v="0"/>
    <n v="1038334.08"/>
    <s v="Completed"/>
    <s v="Paid"/>
  </r>
  <r>
    <s v="INV-2026-02164"/>
    <x v="42"/>
    <s v="North"/>
    <s v="Delhi"/>
    <s v="Distributor"/>
    <s v="Rajesh Verma"/>
    <s v="XYZ Ltd"/>
    <x v="3"/>
    <s v="Laptop"/>
    <n v="30"/>
    <n v="4962.7299999999996"/>
    <n v="148881.9"/>
    <n v="21781"/>
    <n v="0"/>
    <n v="127100.9"/>
    <s v="Cancelled"/>
    <s v="Pending"/>
  </r>
  <r>
    <s v="INV-2026-02165"/>
    <x v="50"/>
    <s v="South"/>
    <s v="Chennai"/>
    <s v="Retail Store"/>
    <s v="Vijay Singh"/>
    <s v="Elite Enterprises"/>
    <x v="2"/>
    <s v="Football"/>
    <n v="20"/>
    <n v="49794.83"/>
    <n v="995896.6"/>
    <n v="0"/>
    <n v="0"/>
    <n v="995896.6"/>
    <s v="Pending"/>
    <s v="Pending"/>
  </r>
  <r>
    <s v="INV-2026-02166"/>
    <x v="40"/>
    <s v="Central"/>
    <s v="Bhopal"/>
    <s v="Online"/>
    <s v="Amit Kumar"/>
    <s v="Prime Retail"/>
    <x v="2"/>
    <s v="Bicycle"/>
    <n v="42"/>
    <n v="16265.35"/>
    <n v="683144.7"/>
    <n v="0"/>
    <n v="74516.490000000005"/>
    <n v="608628.21"/>
    <s v="Pending"/>
    <s v="Pending"/>
  </r>
  <r>
    <s v="INV-2026-02167"/>
    <x v="24"/>
    <s v="West"/>
    <s v="Ahmedabad"/>
    <s v="Retail Store"/>
    <s v="Anita Desai"/>
    <s v="XYZ Ltd"/>
    <x v="5"/>
    <s v="Air Conditioner"/>
    <n v="24"/>
    <n v="48270.67"/>
    <n v="1158496.08"/>
    <n v="0"/>
    <n v="0"/>
    <n v="1158496.08"/>
    <s v="Pending"/>
    <s v="Pending"/>
  </r>
  <r>
    <s v="INV-2026-02168"/>
    <x v="37"/>
    <s v="South"/>
    <s v="Chennai"/>
    <s v="Direct Sales"/>
    <s v="Kavita Nair"/>
    <s v="Tech Solutions"/>
    <x v="2"/>
    <s v="Bicycle"/>
    <n v="45"/>
    <n v="15938.95"/>
    <n v="717252.75"/>
    <n v="56718.79"/>
    <n v="0"/>
    <n v="660533.96"/>
    <s v="Completed"/>
    <s v="Paid"/>
  </r>
  <r>
    <s v="INV-2026-02169"/>
    <x v="74"/>
    <s v="South"/>
    <s v="Bangalore"/>
    <s v="Online"/>
    <s v="Amit Kumar"/>
    <s v="ABC Corp"/>
    <x v="4"/>
    <s v="T-Shirt"/>
    <n v="13"/>
    <n v="4547.45"/>
    <n v="59116.85"/>
    <n v="10360.549999999999"/>
    <n v="0"/>
    <n v="48756.3"/>
    <s v="Completed"/>
    <s v="Paid"/>
  </r>
  <r>
    <s v="INV-2026-02170"/>
    <x v="8"/>
    <s v="East"/>
    <s v="Kolkata"/>
    <s v="Direct Sales"/>
    <s v="Vijay Singh"/>
    <s v="Metro Mart"/>
    <x v="2"/>
    <s v="Bicycle"/>
    <n v="27"/>
    <n v="11865.84"/>
    <n v="320377.68"/>
    <n v="60107.64"/>
    <n v="0"/>
    <n v="260270.04"/>
    <s v="Completed"/>
    <s v="Paid"/>
  </r>
  <r>
    <s v="INV-2026-02171"/>
    <x v="25"/>
    <s v="South"/>
    <s v="Chennai"/>
    <s v="Retail Store"/>
    <s v="Rajesh Verma"/>
    <s v="Future Tech"/>
    <x v="4"/>
    <s v="Jeans"/>
    <n v="26"/>
    <n v="14773.3"/>
    <n v="384105.8"/>
    <n v="0"/>
    <n v="78700.78"/>
    <n v="305405.02"/>
    <s v="Cancelled"/>
    <s v="Pending"/>
  </r>
  <r>
    <s v="INV-2026-02172"/>
    <x v="84"/>
    <s v="East"/>
    <s v="Guwahati"/>
    <s v="Retail Store"/>
    <s v="Rajesh Verma"/>
    <s v="XYZ Ltd"/>
    <x v="0"/>
    <s v="Printer Paper"/>
    <n v="48"/>
    <n v="18064.93"/>
    <n v="867116.64"/>
    <n v="0"/>
    <n v="0"/>
    <n v="867116.64"/>
    <s v="Completed"/>
    <s v="Pending"/>
  </r>
  <r>
    <s v="INV-2026-02173"/>
    <x v="23"/>
    <s v="West"/>
    <s v="Ahmedabad"/>
    <s v="Direct Sales"/>
    <s v="Anita Desai"/>
    <s v="Alpha Trading"/>
    <x v="3"/>
    <s v="Camera"/>
    <n v="29"/>
    <n v="8374.9"/>
    <n v="242872.1"/>
    <n v="47486.49"/>
    <n v="0"/>
    <n v="195385.61"/>
    <s v="Processing"/>
    <s v="Pending"/>
  </r>
  <r>
    <s v="INV-2026-02174"/>
    <x v="1"/>
    <s v="Central"/>
    <s v="Bhopal"/>
    <s v="Retail Store"/>
    <s v="Rajesh Verma"/>
    <s v="Alpha Trading"/>
    <x v="5"/>
    <s v="Washing Machine"/>
    <n v="10"/>
    <n v="28370.19"/>
    <n v="283701.90000000002"/>
    <n v="7059.44"/>
    <n v="0"/>
    <n v="276642.46000000002"/>
    <s v="Cancelled"/>
    <s v="Pending"/>
  </r>
  <r>
    <s v="INV-2026-02175"/>
    <x v="90"/>
    <s v="North"/>
    <s v="Jaipur"/>
    <s v="Distributor"/>
    <s v="Priya Patel"/>
    <s v="Nexus Ltd"/>
    <x v="3"/>
    <s v="Laptop"/>
    <n v="20"/>
    <n v="49838.05"/>
    <n v="996761"/>
    <n v="0"/>
    <n v="0"/>
    <n v="996761"/>
    <s v="Cancelled"/>
    <s v="Pending"/>
  </r>
  <r>
    <s v="INV-2026-02176"/>
    <x v="21"/>
    <s v="West"/>
    <s v="Mumbai"/>
    <s v="Distributor"/>
    <s v="Meera Joshi"/>
    <s v="Skyline Corp"/>
    <x v="4"/>
    <s v="Shoes"/>
    <n v="43"/>
    <n v="7715.19"/>
    <n v="331753.17"/>
    <n v="0"/>
    <n v="66672.66"/>
    <n v="265080.51"/>
    <s v="Processing"/>
    <s v="Pending"/>
  </r>
  <r>
    <s v="INV-2026-02177"/>
    <x v="22"/>
    <s v="North"/>
    <s v="Lucknow"/>
    <s v="Retail Store"/>
    <s v="Amit Kumar"/>
    <s v="Future Tech"/>
    <x v="3"/>
    <s v="Camera"/>
    <n v="44"/>
    <n v="26039.39"/>
    <n v="1145733.1599999999"/>
    <n v="40865"/>
    <n v="26638.05"/>
    <n v="1078230.1100000001"/>
    <s v="Pending"/>
    <s v="Pending"/>
  </r>
  <r>
    <s v="INV-2026-02178"/>
    <x v="80"/>
    <s v="West"/>
    <s v="Surat"/>
    <s v="Direct Sales"/>
    <s v="Kavita Nair"/>
    <s v="Omega Stores"/>
    <x v="5"/>
    <s v="Refrigerator"/>
    <n v="38"/>
    <n v="36295.589999999997"/>
    <n v="1379232.42"/>
    <n v="0"/>
    <n v="0"/>
    <n v="1379232.42"/>
    <s v="Pending"/>
    <s v="Pending"/>
  </r>
  <r>
    <s v="INV-2026-02179"/>
    <x v="37"/>
    <s v="North"/>
    <s v="Lucknow"/>
    <s v="Direct Sales"/>
    <s v="Vijay Singh"/>
    <s v="Omega Stores"/>
    <x v="0"/>
    <s v="Desk Organizer"/>
    <n v="17"/>
    <n v="7909.62"/>
    <n v="134463.54"/>
    <n v="8533.3700000000008"/>
    <n v="19343.12"/>
    <n v="106587.05"/>
    <s v="Pending"/>
    <s v="Pending"/>
  </r>
  <r>
    <s v="INV-2026-02180"/>
    <x v="74"/>
    <s v="East"/>
    <s v="Guwahati"/>
    <s v="Online"/>
    <s v="Rahul Sharma"/>
    <s v="Global Traders"/>
    <x v="2"/>
    <s v="Yoga Mat"/>
    <n v="29"/>
    <n v="3652.64"/>
    <n v="105926.56"/>
    <n v="11266.32"/>
    <n v="0"/>
    <n v="94660.24"/>
    <s v="Pending"/>
    <s v="Pending"/>
  </r>
  <r>
    <s v="INV-2026-02181"/>
    <x v="29"/>
    <s v="East"/>
    <s v="Guwahati"/>
    <s v="Direct Sales"/>
    <s v="Kavita Nair"/>
    <s v="Tech Solutions"/>
    <x v="2"/>
    <s v="Tennis Racket"/>
    <n v="7"/>
    <n v="19203.740000000002"/>
    <n v="134426.18"/>
    <n v="0"/>
    <n v="0"/>
    <n v="134426.18"/>
    <s v="Pending"/>
    <s v="Paid"/>
  </r>
  <r>
    <s v="INV-2026-02182"/>
    <x v="42"/>
    <s v="West"/>
    <s v="Mumbai"/>
    <s v="Retail Store"/>
    <s v="Vijay Singh"/>
    <s v="Smart Systems"/>
    <x v="0"/>
    <s v="Desk Organizer"/>
    <n v="15"/>
    <n v="48408.79"/>
    <n v="726131.85"/>
    <n v="0"/>
    <n v="0"/>
    <n v="726131.85"/>
    <s v="Completed"/>
    <s v="Paid"/>
  </r>
  <r>
    <s v="INV-2026-02183"/>
    <x v="53"/>
    <s v="North"/>
    <s v="Lucknow"/>
    <s v="Retail Store"/>
    <s v="Amit Kumar"/>
    <s v="Omega Stores"/>
    <x v="3"/>
    <s v="Headphones"/>
    <n v="40"/>
    <n v="2438.2199999999998"/>
    <n v="97528.8"/>
    <n v="9889.33"/>
    <n v="0"/>
    <n v="87639.47"/>
    <s v="Cancelled"/>
    <s v="Pending"/>
  </r>
  <r>
    <s v="INV-2026-02184"/>
    <x v="62"/>
    <s v="East"/>
    <s v="Patna"/>
    <s v="Online"/>
    <s v="Priya Patel"/>
    <s v="XYZ Ltd"/>
    <x v="2"/>
    <s v="Bicycle"/>
    <n v="19"/>
    <n v="811.27"/>
    <n v="15414.13"/>
    <n v="2402.12"/>
    <n v="0"/>
    <n v="13012.01"/>
    <s v="Cancelled"/>
    <s v="Pending"/>
  </r>
  <r>
    <s v="INV-2026-02185"/>
    <x v="68"/>
    <s v="North"/>
    <s v="Jaipur"/>
    <s v="Retail Store"/>
    <s v="Suresh Gupta"/>
    <s v="Skyline Corp"/>
    <x v="0"/>
    <s v="Pen Set"/>
    <n v="2"/>
    <n v="30559.58"/>
    <n v="61119.16"/>
    <n v="8997.8700000000008"/>
    <n v="0"/>
    <n v="52121.29"/>
    <s v="Completed"/>
    <s v="Paid"/>
  </r>
  <r>
    <s v="INV-2026-02186"/>
    <x v="17"/>
    <s v="North"/>
    <s v="Delhi"/>
    <s v="Online"/>
    <s v="Rajesh Verma"/>
    <s v="Tech Solutions"/>
    <x v="1"/>
    <s v="Office Chair"/>
    <n v="11"/>
    <n v="45001.67"/>
    <n v="495018.37"/>
    <n v="0"/>
    <n v="0"/>
    <n v="495018.37"/>
    <s v="Completed"/>
    <s v="Paid"/>
  </r>
  <r>
    <s v="INV-2026-02187"/>
    <x v="29"/>
    <s v="North"/>
    <s v="Jaipur"/>
    <s v="Direct Sales"/>
    <s v="Vijay Singh"/>
    <s v="Global Traders"/>
    <x v="0"/>
    <s v="Whiteboard"/>
    <n v="39"/>
    <n v="14170.25"/>
    <n v="552639.75"/>
    <n v="51368.05"/>
    <n v="16890.25"/>
    <n v="484381.45"/>
    <s v="Completed"/>
    <s v="Paid"/>
  </r>
  <r>
    <s v="INV-2026-02188"/>
    <x v="16"/>
    <s v="East"/>
    <s v="Bhubaneswar"/>
    <s v="Online"/>
    <s v="Vijay Singh"/>
    <s v="Prime Retail"/>
    <x v="3"/>
    <s v="Smartphone"/>
    <n v="29"/>
    <n v="39287.839999999997"/>
    <n v="1139347.3600000001"/>
    <n v="0"/>
    <n v="92068.78"/>
    <n v="1047278.58"/>
    <s v="Pending"/>
    <s v="Pending"/>
  </r>
  <r>
    <s v="INV-2026-02189"/>
    <x v="18"/>
    <s v="East"/>
    <s v="Bhubaneswar"/>
    <s v="Online"/>
    <s v="Vijay Singh"/>
    <s v="Global Traders"/>
    <x v="4"/>
    <s v="Jeans"/>
    <n v="16"/>
    <n v="27666.55"/>
    <n v="442664.8"/>
    <n v="42527.08"/>
    <n v="0"/>
    <n v="400137.72"/>
    <s v="Cancelled"/>
    <s v="Pending"/>
  </r>
  <r>
    <s v="INV-2026-02190"/>
    <x v="4"/>
    <s v="South"/>
    <s v="Chennai"/>
    <s v="Online"/>
    <s v="Kavita Nair"/>
    <s v="Global Traders"/>
    <x v="3"/>
    <s v="Smartphone"/>
    <n v="40"/>
    <n v="41264.31"/>
    <n v="1650572.4"/>
    <n v="188618.74"/>
    <n v="0"/>
    <n v="1461953.66"/>
    <s v="Completed"/>
    <s v="Paid"/>
  </r>
  <r>
    <s v="INV-2026-02191"/>
    <x v="0"/>
    <s v="South"/>
    <s v="Bangalore"/>
    <s v="Distributor"/>
    <s v="Rajesh Verma"/>
    <s v="Omega Stores"/>
    <x v="4"/>
    <s v="Jeans"/>
    <n v="16"/>
    <n v="17503.330000000002"/>
    <n v="280053.28000000003"/>
    <n v="25145.3"/>
    <n v="0"/>
    <n v="254907.98"/>
    <s v="Pending"/>
    <s v="Paid"/>
  </r>
  <r>
    <s v="INV-2026-02192"/>
    <x v="86"/>
    <s v="South"/>
    <s v="Kochi"/>
    <s v="Retail Store"/>
    <s v="Amit Kumar"/>
    <s v="Smart Systems"/>
    <x v="4"/>
    <s v="Jacket"/>
    <n v="6"/>
    <n v="14402.83"/>
    <n v="86416.98"/>
    <n v="7760.6"/>
    <n v="0"/>
    <n v="78656.38"/>
    <s v="Pending"/>
    <s v="Paid"/>
  </r>
  <r>
    <s v="INV-2026-02193"/>
    <x v="71"/>
    <s v="Central"/>
    <s v="Bhopal"/>
    <s v="Direct Sales"/>
    <s v="Vijay Singh"/>
    <s v="Smart Systems"/>
    <x v="3"/>
    <s v="Smartphone"/>
    <n v="47"/>
    <n v="9791.52"/>
    <n v="460201.44"/>
    <n v="22906.39"/>
    <n v="0"/>
    <n v="437295.05"/>
    <s v="Completed"/>
    <s v="Paid"/>
  </r>
  <r>
    <s v="INV-2026-02194"/>
    <x v="62"/>
    <s v="South"/>
    <s v="Kochi"/>
    <s v="Distributor"/>
    <s v="Rajesh Verma"/>
    <s v="Nexus Ltd"/>
    <x v="5"/>
    <s v="Microwave"/>
    <n v="3"/>
    <n v="46186.23"/>
    <n v="138558.69"/>
    <n v="11080.05"/>
    <n v="0"/>
    <n v="127478.64"/>
    <s v="Pending"/>
    <s v="Pending"/>
  </r>
  <r>
    <s v="INV-2026-02195"/>
    <x v="10"/>
    <s v="East"/>
    <s v="Guwahati"/>
    <s v="Direct Sales"/>
    <s v="Kavita Nair"/>
    <s v="XYZ Ltd"/>
    <x v="4"/>
    <s v="Jeans"/>
    <n v="48"/>
    <n v="31456.560000000001"/>
    <n v="1509914.88"/>
    <n v="0"/>
    <n v="0"/>
    <n v="1509914.88"/>
    <s v="Processing"/>
    <s v="Paid"/>
  </r>
  <r>
    <s v="INV-2026-02196"/>
    <x v="61"/>
    <s v="East"/>
    <s v="Patna"/>
    <s v="Online"/>
    <s v="Suresh Gupta"/>
    <s v="Future Tech"/>
    <x v="1"/>
    <s v="Office Chair"/>
    <n v="37"/>
    <n v="31317.42"/>
    <n v="1158744.54"/>
    <n v="35385.769999999997"/>
    <n v="0"/>
    <n v="1123358.77"/>
    <s v="Pending"/>
    <s v="Pending"/>
  </r>
  <r>
    <s v="INV-2026-02197"/>
    <x v="80"/>
    <s v="South"/>
    <s v="Bangalore"/>
    <s v="Online"/>
    <s v="Amit Kumar"/>
    <s v="Digital Hub"/>
    <x v="5"/>
    <s v="Vacuum Cleaner"/>
    <n v="11"/>
    <n v="17831.419999999998"/>
    <n v="196145.62"/>
    <n v="0"/>
    <n v="0"/>
    <n v="196145.62"/>
    <s v="Processing"/>
    <s v="Paid"/>
  </r>
  <r>
    <s v="INV-2026-02198"/>
    <x v="29"/>
    <s v="Central"/>
    <s v="Raipur"/>
    <s v="Distributor"/>
    <s v="Sneha Reddy"/>
    <s v="Tech Solutions"/>
    <x v="1"/>
    <s v="Bookshelf"/>
    <n v="32"/>
    <n v="10814.9"/>
    <n v="346076.8"/>
    <n v="30044.32"/>
    <n v="0"/>
    <n v="316032.48"/>
    <s v="Processing"/>
    <s v="Paid"/>
  </r>
  <r>
    <s v="INV-2026-02199"/>
    <x v="28"/>
    <s v="West"/>
    <s v="Ahmedabad"/>
    <s v="Online"/>
    <s v="Kavita Nair"/>
    <s v="Alpha Trading"/>
    <x v="5"/>
    <s v="Microwave"/>
    <n v="30"/>
    <n v="4404.18"/>
    <n v="132125.4"/>
    <n v="0"/>
    <n v="9810.4699999999993"/>
    <n v="122314.93"/>
    <s v="Pending"/>
    <s v="Pending"/>
  </r>
  <r>
    <s v="INV-2026-02200"/>
    <x v="85"/>
    <s v="East"/>
    <s v="Kolkata"/>
    <s v="Distributor"/>
    <s v="Amit Kumar"/>
    <s v="Digital Hub"/>
    <x v="3"/>
    <s v="Camera"/>
    <n v="33"/>
    <n v="15248.1"/>
    <n v="503187.3"/>
    <n v="92601.25"/>
    <n v="21231.52"/>
    <n v="389354.53"/>
    <s v="Completed"/>
    <s v="Paid"/>
  </r>
  <r>
    <s v="INV-2026-02201"/>
    <x v="9"/>
    <s v="East"/>
    <s v="Guwahati"/>
    <s v="Online"/>
    <s v="Vijay Singh"/>
    <s v="Digital Hub"/>
    <x v="0"/>
    <s v="Desk Organizer"/>
    <n v="23"/>
    <n v="41446.959999999999"/>
    <n v="953280.08"/>
    <n v="31788.74"/>
    <n v="53938.34"/>
    <n v="867553"/>
    <s v="Completed"/>
    <s v="Paid"/>
  </r>
  <r>
    <s v="INV-2026-02202"/>
    <x v="28"/>
    <s v="South"/>
    <s v="Chennai"/>
    <s v="Retail Store"/>
    <s v="Rajesh Verma"/>
    <s v="Future Tech"/>
    <x v="3"/>
    <s v="Laptop"/>
    <n v="31"/>
    <n v="36395.32"/>
    <n v="1128254.92"/>
    <n v="0"/>
    <n v="0"/>
    <n v="1128254.92"/>
    <s v="Completed"/>
    <s v="Paid"/>
  </r>
  <r>
    <s v="INV-2026-02203"/>
    <x v="20"/>
    <s v="Central"/>
    <s v="Nagpur"/>
    <s v="Online"/>
    <s v="Suresh Gupta"/>
    <s v="Skyline Corp"/>
    <x v="0"/>
    <s v="Whiteboard"/>
    <n v="29"/>
    <n v="17036.05"/>
    <n v="494045.45"/>
    <n v="0"/>
    <n v="0"/>
    <n v="494045.45"/>
    <s v="Processing"/>
    <s v="Paid"/>
  </r>
  <r>
    <s v="INV-2026-02204"/>
    <x v="80"/>
    <s v="South"/>
    <s v="Bangalore"/>
    <s v="Online"/>
    <s v="Rahul Sharma"/>
    <s v="Elite Enterprises"/>
    <x v="0"/>
    <s v="Desk Organizer"/>
    <n v="32"/>
    <n v="32058.43"/>
    <n v="1025869.76"/>
    <n v="0"/>
    <n v="259195.43"/>
    <n v="766674.33"/>
    <s v="Processing"/>
    <s v="Pending"/>
  </r>
  <r>
    <s v="INV-2026-02205"/>
    <x v="41"/>
    <s v="North"/>
    <s v="Jaipur"/>
    <s v="Direct Sales"/>
    <s v="Anita Desai"/>
    <s v="Alpha Trading"/>
    <x v="1"/>
    <s v="Cabinet"/>
    <n v="4"/>
    <n v="38564.68"/>
    <n v="154258.72"/>
    <n v="27861.52"/>
    <n v="0"/>
    <n v="126397.2"/>
    <s v="Processing"/>
    <s v="Paid"/>
  </r>
  <r>
    <s v="INV-2026-02206"/>
    <x v="63"/>
    <s v="North"/>
    <s v="Chandigarh"/>
    <s v="Distributor"/>
    <s v="Suresh Gupta"/>
    <s v="Digital Hub"/>
    <x v="4"/>
    <s v="Dress"/>
    <n v="8"/>
    <n v="10525.36"/>
    <n v="84202.880000000005"/>
    <n v="0"/>
    <n v="0"/>
    <n v="84202.880000000005"/>
    <s v="Cancelled"/>
    <s v="Pending"/>
  </r>
  <r>
    <s v="INV-2026-02207"/>
    <x v="29"/>
    <s v="East"/>
    <s v="Kolkata"/>
    <s v="Direct Sales"/>
    <s v="Amit Kumar"/>
    <s v="Future Tech"/>
    <x v="2"/>
    <s v="Yoga Mat"/>
    <n v="31"/>
    <n v="6784.84"/>
    <n v="210330.04"/>
    <n v="0"/>
    <n v="0"/>
    <n v="210330.04"/>
    <s v="Cancelled"/>
    <s v="Pending"/>
  </r>
  <r>
    <s v="INV-2026-02208"/>
    <x v="63"/>
    <s v="West"/>
    <s v="Surat"/>
    <s v="Retail Store"/>
    <s v="Vijay Singh"/>
    <s v="Smart Systems"/>
    <x v="2"/>
    <s v="Cricket Bat"/>
    <n v="11"/>
    <n v="9700.2999999999993"/>
    <n v="106703.3"/>
    <n v="13317.04"/>
    <n v="0"/>
    <n v="93386.26"/>
    <s v="Pending"/>
    <s v="Pending"/>
  </r>
  <r>
    <s v="INV-2026-02209"/>
    <x v="71"/>
    <s v="Central"/>
    <s v="Bhopal"/>
    <s v="Direct Sales"/>
    <s v="Suresh Gupta"/>
    <s v="ABC Corp"/>
    <x v="5"/>
    <s v="Refrigerator"/>
    <n v="30"/>
    <n v="36053.07"/>
    <n v="1081592.1000000001"/>
    <n v="0"/>
    <n v="0"/>
    <n v="1081592.1000000001"/>
    <s v="Processing"/>
    <s v="Pending"/>
  </r>
  <r>
    <s v="INV-2026-02210"/>
    <x v="2"/>
    <s v="Central"/>
    <s v="Raipur"/>
    <s v="Retail Store"/>
    <s v="Priya Patel"/>
    <s v="Urban Store"/>
    <x v="0"/>
    <s v="Desk Organizer"/>
    <n v="3"/>
    <n v="25731.32"/>
    <n v="77193.960000000006"/>
    <n v="0"/>
    <n v="0"/>
    <n v="77193.960000000006"/>
    <s v="Completed"/>
    <s v="Paid"/>
  </r>
  <r>
    <s v="INV-2026-02211"/>
    <x v="36"/>
    <s v="East"/>
    <s v="Kolkata"/>
    <s v="Distributor"/>
    <s v="Sneha Reddy"/>
    <s v="Prime Retail"/>
    <x v="2"/>
    <s v="Tennis Racket"/>
    <n v="6"/>
    <n v="38155.599999999999"/>
    <n v="228933.6"/>
    <n v="0"/>
    <n v="0"/>
    <n v="228933.6"/>
    <s v="Cancelled"/>
    <s v="Pending"/>
  </r>
  <r>
    <s v="INV-2026-02212"/>
    <x v="79"/>
    <s v="South"/>
    <s v="Chennai"/>
    <s v="Direct Sales"/>
    <s v="Meera Joshi"/>
    <s v="Skyline Corp"/>
    <x v="1"/>
    <s v="Desk"/>
    <n v="42"/>
    <n v="42333.9"/>
    <n v="1778023.8"/>
    <n v="90884.63"/>
    <n v="0"/>
    <n v="1687139.17"/>
    <s v="Completed"/>
    <s v="Paid"/>
  </r>
  <r>
    <s v="INV-2026-02213"/>
    <x v="64"/>
    <s v="Central"/>
    <s v="Bhopal"/>
    <s v="Distributor"/>
    <s v="Amit Kumar"/>
    <s v="Future Tech"/>
    <x v="0"/>
    <s v="Whiteboard"/>
    <n v="29"/>
    <n v="40876.160000000003"/>
    <n v="1185408.6399999999"/>
    <n v="217636.62"/>
    <n v="0"/>
    <n v="967772.02"/>
    <s v="Cancelled"/>
    <s v="Pending"/>
  </r>
  <r>
    <s v="INV-2026-02214"/>
    <x v="70"/>
    <s v="South"/>
    <s v="Bangalore"/>
    <s v="Distributor"/>
    <s v="Rajesh Verma"/>
    <s v="Digital Hub"/>
    <x v="5"/>
    <s v="TV"/>
    <n v="9"/>
    <n v="40031.24"/>
    <n v="360281.16"/>
    <n v="33441.07"/>
    <n v="17557.599999999999"/>
    <n v="309282.49"/>
    <s v="Completed"/>
    <s v="Paid"/>
  </r>
  <r>
    <s v="INV-2026-02215"/>
    <x v="59"/>
    <s v="North"/>
    <s v="Delhi"/>
    <s v="Distributor"/>
    <s v="Rahul Sharma"/>
    <s v="Elite Enterprises"/>
    <x v="5"/>
    <s v="Refrigerator"/>
    <n v="30"/>
    <n v="23520.080000000002"/>
    <n v="705602.4"/>
    <n v="138789.19"/>
    <n v="0"/>
    <n v="566813.21"/>
    <s v="Processing"/>
    <s v="Pending"/>
  </r>
  <r>
    <s v="INV-2026-02216"/>
    <x v="64"/>
    <s v="West"/>
    <s v="Mumbai"/>
    <s v="Online"/>
    <s v="Kavita Nair"/>
    <s v="Omega Stores"/>
    <x v="4"/>
    <s v="Jacket"/>
    <n v="16"/>
    <n v="15364.64"/>
    <n v="245834.23999999999"/>
    <n v="0"/>
    <n v="0"/>
    <n v="245834.23999999999"/>
    <s v="Completed"/>
    <s v="Paid"/>
  </r>
  <r>
    <s v="INV-2026-02217"/>
    <x v="5"/>
    <s v="West"/>
    <s v="Pune"/>
    <s v="Distributor"/>
    <s v="Priya Patel"/>
    <s v="Global Traders"/>
    <x v="0"/>
    <s v="Printer Paper"/>
    <n v="25"/>
    <n v="41740.31"/>
    <n v="1043507.75"/>
    <n v="0"/>
    <n v="0"/>
    <n v="1043507.75"/>
    <s v="Cancelled"/>
    <s v="Pending"/>
  </r>
  <r>
    <s v="INV-2026-02218"/>
    <x v="61"/>
    <s v="East"/>
    <s v="Kolkata"/>
    <s v="Distributor"/>
    <s v="Rajesh Verma"/>
    <s v="Prime Retail"/>
    <x v="5"/>
    <s v="Refrigerator"/>
    <n v="12"/>
    <n v="45365.29"/>
    <n v="544383.48"/>
    <n v="70753.08"/>
    <n v="0"/>
    <n v="473630.4"/>
    <s v="Completed"/>
    <s v="Paid"/>
  </r>
  <r>
    <s v="INV-2026-02219"/>
    <x v="11"/>
    <s v="North"/>
    <s v="Lucknow"/>
    <s v="Distributor"/>
    <s v="Priya Patel"/>
    <s v="Global Traders"/>
    <x v="2"/>
    <s v="Bicycle"/>
    <n v="49"/>
    <n v="24480.02"/>
    <n v="1199520.98"/>
    <n v="111186.35"/>
    <n v="135899.13"/>
    <n v="952435.5"/>
    <s v="Completed"/>
    <s v="Paid"/>
  </r>
  <r>
    <s v="INV-2026-02220"/>
    <x v="61"/>
    <s v="Central"/>
    <s v="Raipur"/>
    <s v="Direct Sales"/>
    <s v="Anita Desai"/>
    <s v="Alpha Trading"/>
    <x v="4"/>
    <s v="Jacket"/>
    <n v="3"/>
    <n v="46242.68"/>
    <n v="138728.04"/>
    <n v="0"/>
    <n v="0"/>
    <n v="138728.04"/>
    <s v="Pending"/>
    <s v="Pending"/>
  </r>
  <r>
    <s v="INV-2026-02221"/>
    <x v="8"/>
    <s v="Central"/>
    <s v="Indore"/>
    <s v="Direct Sales"/>
    <s v="Rajesh Verma"/>
    <s v="Prime Retail"/>
    <x v="2"/>
    <s v="Cricket Bat"/>
    <n v="50"/>
    <n v="24292.55"/>
    <n v="1214627.5"/>
    <n v="93909.98"/>
    <n v="0"/>
    <n v="1120717.52"/>
    <s v="Cancelled"/>
    <s v="Pending"/>
  </r>
  <r>
    <s v="INV-2026-02222"/>
    <x v="32"/>
    <s v="North"/>
    <s v="Lucknow"/>
    <s v="Online"/>
    <s v="Rahul Sharma"/>
    <s v="Skyline Corp"/>
    <x v="1"/>
    <s v="Desk"/>
    <n v="50"/>
    <n v="13993.57"/>
    <n v="699678.5"/>
    <n v="0"/>
    <n v="0"/>
    <n v="699678.5"/>
    <s v="Completed"/>
    <s v="Paid"/>
  </r>
  <r>
    <s v="INV-2026-02223"/>
    <x v="20"/>
    <s v="East"/>
    <s v="Guwahati"/>
    <s v="Direct Sales"/>
    <s v="Rahul Sharma"/>
    <s v="Omega Stores"/>
    <x v="2"/>
    <s v="Gym Equipment"/>
    <n v="19"/>
    <n v="46203.77"/>
    <n v="877871.63"/>
    <n v="91496.99"/>
    <n v="0"/>
    <n v="786374.64"/>
    <s v="Completed"/>
    <s v="Paid"/>
  </r>
  <r>
    <s v="INV-2026-02224"/>
    <x v="17"/>
    <s v="West"/>
    <s v="Mumbai"/>
    <s v="Online"/>
    <s v="Rahul Sharma"/>
    <s v="Elite Enterprises"/>
    <x v="1"/>
    <s v="Desk"/>
    <n v="14"/>
    <n v="44884.81"/>
    <n v="628387.34"/>
    <n v="105502.81"/>
    <n v="0"/>
    <n v="522884.53"/>
    <s v="Processing"/>
    <s v="Pending"/>
  </r>
  <r>
    <s v="INV-2026-02225"/>
    <x v="79"/>
    <s v="East"/>
    <s v="Bhubaneswar"/>
    <s v="Online"/>
    <s v="Suresh Gupta"/>
    <s v="Prime Retail"/>
    <x v="2"/>
    <s v="Yoga Mat"/>
    <n v="29"/>
    <n v="25978.99"/>
    <n v="753390.71"/>
    <n v="41780.46"/>
    <n v="0"/>
    <n v="711610.25"/>
    <s v="Completed"/>
    <s v="Paid"/>
  </r>
  <r>
    <s v="INV-2026-02226"/>
    <x v="55"/>
    <s v="South"/>
    <s v="Hyderabad"/>
    <s v="Direct Sales"/>
    <s v="Amit Kumar"/>
    <s v="Alpha Trading"/>
    <x v="0"/>
    <s v="Desk Organizer"/>
    <n v="32"/>
    <n v="19458.05"/>
    <n v="622657.6"/>
    <n v="38287.07"/>
    <n v="0"/>
    <n v="584370.53"/>
    <s v="Pending"/>
    <s v="Paid"/>
  </r>
  <r>
    <s v="INV-2026-02227"/>
    <x v="82"/>
    <s v="Central"/>
    <s v="Raipur"/>
    <s v="Direct Sales"/>
    <s v="Anita Desai"/>
    <s v="XYZ Ltd"/>
    <x v="5"/>
    <s v="TV"/>
    <n v="48"/>
    <n v="33851.550000000003"/>
    <n v="1624874.4"/>
    <n v="0"/>
    <n v="0"/>
    <n v="1624874.4"/>
    <s v="Pending"/>
    <s v="Paid"/>
  </r>
  <r>
    <s v="INV-2026-02228"/>
    <x v="19"/>
    <s v="East"/>
    <s v="Kolkata"/>
    <s v="Direct Sales"/>
    <s v="Sneha Reddy"/>
    <s v="Urban Store"/>
    <x v="1"/>
    <s v="Desk"/>
    <n v="35"/>
    <n v="21878.86"/>
    <n v="765760.1"/>
    <n v="71077.84"/>
    <n v="0"/>
    <n v="694682.26"/>
    <s v="Processing"/>
    <s v="Pending"/>
  </r>
  <r>
    <s v="INV-2026-02229"/>
    <x v="77"/>
    <s v="West"/>
    <s v="Pune"/>
    <s v="Retail Store"/>
    <s v="Amit Kumar"/>
    <s v="Smart Systems"/>
    <x v="3"/>
    <s v="Headphones"/>
    <n v="27"/>
    <n v="34043.53"/>
    <n v="919175.31"/>
    <n v="145484.93"/>
    <n v="0"/>
    <n v="773690.38"/>
    <s v="Cancelled"/>
    <s v="Pending"/>
  </r>
  <r>
    <s v="INV-2026-02230"/>
    <x v="56"/>
    <s v="South"/>
    <s v="Chennai"/>
    <s v="Distributor"/>
    <s v="Vijay Singh"/>
    <s v="Alpha Trading"/>
    <x v="0"/>
    <s v="Pen Set"/>
    <n v="21"/>
    <n v="30695.360000000001"/>
    <n v="644602.56000000006"/>
    <n v="57239.97"/>
    <n v="0"/>
    <n v="587362.59"/>
    <s v="Completed"/>
    <s v="Paid"/>
  </r>
  <r>
    <s v="INV-2026-02231"/>
    <x v="33"/>
    <s v="South"/>
    <s v="Bangalore"/>
    <s v="Distributor"/>
    <s v="Vijay Singh"/>
    <s v="Skyline Corp"/>
    <x v="4"/>
    <s v="Jacket"/>
    <n v="4"/>
    <n v="9413.3799999999992"/>
    <n v="37653.519999999997"/>
    <n v="6141.05"/>
    <n v="0"/>
    <n v="31512.47"/>
    <s v="Pending"/>
    <s v="Paid"/>
  </r>
  <r>
    <s v="INV-2026-02232"/>
    <x v="67"/>
    <s v="South"/>
    <s v="Chennai"/>
    <s v="Retail Store"/>
    <s v="Kavita Nair"/>
    <s v="Global Traders"/>
    <x v="3"/>
    <s v="Laptop"/>
    <n v="34"/>
    <n v="49787.92"/>
    <n v="1692789.28"/>
    <n v="0"/>
    <n v="21479.81"/>
    <n v="1671309.47"/>
    <s v="Processing"/>
    <s v="Pending"/>
  </r>
  <r>
    <s v="INV-2026-02233"/>
    <x v="56"/>
    <s v="South"/>
    <s v="Chennai"/>
    <s v="Direct Sales"/>
    <s v="Suresh Gupta"/>
    <s v="Metro Mart"/>
    <x v="1"/>
    <s v="Sofa"/>
    <n v="20"/>
    <n v="47763.03"/>
    <n v="955260.6"/>
    <n v="18179.439999999999"/>
    <n v="0"/>
    <n v="937081.16"/>
    <s v="Pending"/>
    <s v="Pending"/>
  </r>
  <r>
    <s v="INV-2026-02234"/>
    <x v="15"/>
    <s v="East"/>
    <s v="Guwahati"/>
    <s v="Retail Store"/>
    <s v="Priya Patel"/>
    <s v="Future Tech"/>
    <x v="0"/>
    <s v="Notebook"/>
    <n v="26"/>
    <n v="29413.49"/>
    <n v="764750.74"/>
    <n v="53071.58"/>
    <n v="0"/>
    <n v="711679.16"/>
    <s v="Cancelled"/>
    <s v="Pending"/>
  </r>
  <r>
    <s v="INV-2026-02235"/>
    <x v="48"/>
    <s v="South"/>
    <s v="Hyderabad"/>
    <s v="Online"/>
    <s v="Vijay Singh"/>
    <s v="Urban Store"/>
    <x v="4"/>
    <s v="Jacket"/>
    <n v="19"/>
    <n v="4709.95"/>
    <n v="89489.05"/>
    <n v="8042.29"/>
    <n v="0"/>
    <n v="81446.759999999995"/>
    <s v="Cancelled"/>
    <s v="Pending"/>
  </r>
  <r>
    <s v="INV-2026-02236"/>
    <x v="63"/>
    <s v="South"/>
    <s v="Bangalore"/>
    <s v="Distributor"/>
    <s v="Vijay Singh"/>
    <s v="Metro Mart"/>
    <x v="5"/>
    <s v="Air Conditioner"/>
    <n v="48"/>
    <n v="15833.99"/>
    <n v="760031.52"/>
    <n v="10002.42"/>
    <n v="0"/>
    <n v="750029.1"/>
    <s v="Completed"/>
    <s v="Paid"/>
  </r>
  <r>
    <s v="INV-2026-02237"/>
    <x v="79"/>
    <s v="East"/>
    <s v="Guwahati"/>
    <s v="Distributor"/>
    <s v="Rajesh Verma"/>
    <s v="Global Traders"/>
    <x v="1"/>
    <s v="Conference Table"/>
    <n v="4"/>
    <n v="39636.53"/>
    <n v="158546.12"/>
    <n v="18141.55"/>
    <n v="9430.82"/>
    <n v="130973.75"/>
    <s v="Cancelled"/>
    <s v="Pending"/>
  </r>
  <r>
    <s v="INV-2026-02238"/>
    <x v="56"/>
    <s v="North"/>
    <s v="Delhi"/>
    <s v="Online"/>
    <s v="Amit Kumar"/>
    <s v="Prime Retail"/>
    <x v="5"/>
    <s v="Microwave"/>
    <n v="32"/>
    <n v="24187.65"/>
    <n v="774004.8"/>
    <n v="19285.98"/>
    <n v="0"/>
    <n v="754718.82"/>
    <s v="Completed"/>
    <s v="Paid"/>
  </r>
  <r>
    <s v="INV-2026-02239"/>
    <x v="50"/>
    <s v="North"/>
    <s v="Delhi"/>
    <s v="Direct Sales"/>
    <s v="Vijay Singh"/>
    <s v="ABC Corp"/>
    <x v="0"/>
    <s v="Whiteboard"/>
    <n v="25"/>
    <n v="12527.44"/>
    <n v="313186"/>
    <n v="42278.95"/>
    <n v="16361.53"/>
    <n v="254545.52"/>
    <s v="Processing"/>
    <s v="Pending"/>
  </r>
  <r>
    <s v="INV-2026-02240"/>
    <x v="68"/>
    <s v="Central"/>
    <s v="Raipur"/>
    <s v="Distributor"/>
    <s v="Priya Patel"/>
    <s v="Metro Mart"/>
    <x v="0"/>
    <s v="File Folder"/>
    <n v="32"/>
    <n v="1533.34"/>
    <n v="49066.879999999997"/>
    <n v="0"/>
    <n v="0"/>
    <n v="49066.879999999997"/>
    <s v="Completed"/>
    <s v="Paid"/>
  </r>
  <r>
    <s v="INV-2026-02241"/>
    <x v="63"/>
    <s v="West"/>
    <s v="Ahmedabad"/>
    <s v="Direct Sales"/>
    <s v="Anita Desai"/>
    <s v="Digital Hub"/>
    <x v="5"/>
    <s v="Washing Machine"/>
    <n v="35"/>
    <n v="20769.310000000001"/>
    <n v="726925.85"/>
    <n v="0"/>
    <n v="0"/>
    <n v="726925.85"/>
    <s v="Cancelled"/>
    <s v="Pending"/>
  </r>
  <r>
    <s v="INV-2026-02242"/>
    <x v="66"/>
    <s v="West"/>
    <s v="Ahmedabad"/>
    <s v="Online"/>
    <s v="Sneha Reddy"/>
    <s v="Global Traders"/>
    <x v="2"/>
    <s v="Bicycle"/>
    <n v="1"/>
    <n v="1364.64"/>
    <n v="1364.64"/>
    <n v="206.93"/>
    <n v="0"/>
    <n v="1157.71"/>
    <s v="Processing"/>
    <s v="Pending"/>
  </r>
  <r>
    <s v="INV-2026-02243"/>
    <x v="68"/>
    <s v="North"/>
    <s v="Jaipur"/>
    <s v="Retail Store"/>
    <s v="Amit Kumar"/>
    <s v="Urban Store"/>
    <x v="5"/>
    <s v="Washing Machine"/>
    <n v="31"/>
    <n v="32147.11"/>
    <n v="996560.41"/>
    <n v="48131.17"/>
    <n v="0"/>
    <n v="948429.24"/>
    <s v="Processing"/>
    <s v="Pending"/>
  </r>
  <r>
    <s v="INV-2026-02244"/>
    <x v="61"/>
    <s v="North"/>
    <s v="Delhi"/>
    <s v="Direct Sales"/>
    <s v="Rahul Sharma"/>
    <s v="Tech Solutions"/>
    <x v="4"/>
    <s v="Jeans"/>
    <n v="8"/>
    <n v="17888.71"/>
    <n v="143109.68"/>
    <n v="0"/>
    <n v="0"/>
    <n v="143109.68"/>
    <s v="Completed"/>
    <s v="Paid"/>
  </r>
  <r>
    <s v="INV-2026-02245"/>
    <x v="49"/>
    <s v="North"/>
    <s v="Jaipur"/>
    <s v="Distributor"/>
    <s v="Sneha Reddy"/>
    <s v="Skyline Corp"/>
    <x v="5"/>
    <s v="Washing Machine"/>
    <n v="36"/>
    <n v="24799.200000000001"/>
    <n v="892771.2"/>
    <n v="18996.73"/>
    <n v="0"/>
    <n v="873774.47"/>
    <s v="Cancelled"/>
    <s v="Pending"/>
  </r>
  <r>
    <s v="INV-2026-02246"/>
    <x v="4"/>
    <s v="West"/>
    <s v="Ahmedabad"/>
    <s v="Distributor"/>
    <s v="Anita Desai"/>
    <s v="Global Traders"/>
    <x v="5"/>
    <s v="Microwave"/>
    <n v="37"/>
    <n v="18690.46"/>
    <n v="691547.02"/>
    <n v="46701.32"/>
    <n v="0"/>
    <n v="644845.69999999995"/>
    <s v="Cancelled"/>
    <s v="Pending"/>
  </r>
  <r>
    <s v="INV-2026-02247"/>
    <x v="8"/>
    <s v="East"/>
    <s v="Guwahati"/>
    <s v="Direct Sales"/>
    <s v="Sneha Reddy"/>
    <s v="Smart Systems"/>
    <x v="0"/>
    <s v="Printer Paper"/>
    <n v="7"/>
    <n v="6454.03"/>
    <n v="45178.21"/>
    <n v="7044.17"/>
    <n v="0"/>
    <n v="38134.04"/>
    <s v="Cancelled"/>
    <s v="Pending"/>
  </r>
  <r>
    <s v="INV-2026-02248"/>
    <x v="77"/>
    <s v="North"/>
    <s v="Jaipur"/>
    <s v="Retail Store"/>
    <s v="Suresh Gupta"/>
    <s v="Metro Mart"/>
    <x v="0"/>
    <s v="File Folder"/>
    <n v="41"/>
    <n v="20736.66"/>
    <n v="850203.06"/>
    <n v="0"/>
    <n v="0"/>
    <n v="850203.06"/>
    <s v="Processing"/>
    <s v="Paid"/>
  </r>
  <r>
    <s v="INV-2026-02249"/>
    <x v="7"/>
    <s v="Central"/>
    <s v="Nagpur"/>
    <s v="Online"/>
    <s v="Anita Desai"/>
    <s v="Digital Hub"/>
    <x v="4"/>
    <s v="Shoes"/>
    <n v="42"/>
    <n v="7539.48"/>
    <n v="316658.15999999997"/>
    <n v="0"/>
    <n v="0"/>
    <n v="316658.15999999997"/>
    <s v="Pending"/>
    <s v="Pending"/>
  </r>
  <r>
    <s v="INV-2026-02250"/>
    <x v="45"/>
    <s v="West"/>
    <s v="Ahmedabad"/>
    <s v="Direct Sales"/>
    <s v="Sneha Reddy"/>
    <s v="Elite Enterprises"/>
    <x v="2"/>
    <s v="Bicycle"/>
    <n v="39"/>
    <n v="42418.29"/>
    <n v="1654313.31"/>
    <n v="113529.5"/>
    <n v="0"/>
    <n v="1540783.81"/>
    <s v="Processing"/>
    <s v="Pending"/>
  </r>
  <r>
    <s v="INV-2026-02251"/>
    <x v="91"/>
    <s v="North"/>
    <s v="Jaipur"/>
    <s v="Distributor"/>
    <s v="Priya Patel"/>
    <s v="Prime Retail"/>
    <x v="4"/>
    <s v="Jacket"/>
    <n v="49"/>
    <n v="4872.43"/>
    <n v="238749.07"/>
    <n v="37971.72"/>
    <n v="0"/>
    <n v="200777.35"/>
    <s v="Processing"/>
    <s v="Paid"/>
  </r>
  <r>
    <s v="INV-2026-02252"/>
    <x v="4"/>
    <s v="East"/>
    <s v="Bhubaneswar"/>
    <s v="Online"/>
    <s v="Kavita Nair"/>
    <s v="ABC Corp"/>
    <x v="5"/>
    <s v="TV"/>
    <n v="11"/>
    <n v="20010.46"/>
    <n v="220115.06"/>
    <n v="41200.269999999997"/>
    <n v="0"/>
    <n v="178914.79"/>
    <s v="Processing"/>
    <s v="Pending"/>
  </r>
  <r>
    <s v="INV-2026-02253"/>
    <x v="24"/>
    <s v="East"/>
    <s v="Guwahati"/>
    <s v="Direct Sales"/>
    <s v="Sneha Reddy"/>
    <s v="Prime Retail"/>
    <x v="5"/>
    <s v="Washing Machine"/>
    <n v="32"/>
    <n v="39534.720000000001"/>
    <n v="1265111.04"/>
    <n v="44156.08"/>
    <n v="0"/>
    <n v="1220954.96"/>
    <s v="Processing"/>
    <s v="Pending"/>
  </r>
  <r>
    <s v="INV-2026-02254"/>
    <x v="9"/>
    <s v="East"/>
    <s v="Kolkata"/>
    <s v="Direct Sales"/>
    <s v="Kavita Nair"/>
    <s v="Smart Systems"/>
    <x v="4"/>
    <s v="Formal Shirt"/>
    <n v="31"/>
    <n v="46557.65"/>
    <n v="1443287.15"/>
    <n v="159967.87"/>
    <n v="0"/>
    <n v="1283319.28"/>
    <s v="Cancelled"/>
    <s v="Pending"/>
  </r>
  <r>
    <s v="INV-2026-02255"/>
    <x v="27"/>
    <s v="South"/>
    <s v="Chennai"/>
    <s v="Direct Sales"/>
    <s v="Amit Kumar"/>
    <s v="Digital Hub"/>
    <x v="2"/>
    <s v="Tennis Racket"/>
    <n v="30"/>
    <n v="1983.34"/>
    <n v="59500.2"/>
    <n v="0"/>
    <n v="0"/>
    <n v="59500.2"/>
    <s v="Pending"/>
    <s v="Pending"/>
  </r>
  <r>
    <s v="INV-2026-02256"/>
    <x v="35"/>
    <s v="Central"/>
    <s v="Raipur"/>
    <s v="Retail Store"/>
    <s v="Amit Kumar"/>
    <s v="Tech Solutions"/>
    <x v="5"/>
    <s v="Air Conditioner"/>
    <n v="41"/>
    <n v="5874.42"/>
    <n v="240851.22"/>
    <n v="548.26"/>
    <n v="0"/>
    <n v="240302.96"/>
    <s v="Processing"/>
    <s v="Pending"/>
  </r>
  <r>
    <s v="INV-2026-02257"/>
    <x v="59"/>
    <s v="North"/>
    <s v="Delhi"/>
    <s v="Online"/>
    <s v="Rahul Sharma"/>
    <s v="Digital Hub"/>
    <x v="2"/>
    <s v="Football"/>
    <n v="37"/>
    <n v="4571"/>
    <n v="169127"/>
    <n v="0"/>
    <n v="0"/>
    <n v="169127"/>
    <s v="Processing"/>
    <s v="Pending"/>
  </r>
  <r>
    <s v="INV-2026-02258"/>
    <x v="59"/>
    <s v="West"/>
    <s v="Pune"/>
    <s v="Online"/>
    <s v="Amit Kumar"/>
    <s v="ABC Corp"/>
    <x v="1"/>
    <s v="Sofa"/>
    <n v="39"/>
    <n v="41478.99"/>
    <n v="1617680.61"/>
    <n v="0"/>
    <n v="0"/>
    <n v="1617680.61"/>
    <s v="Processing"/>
    <s v="Pending"/>
  </r>
  <r>
    <s v="INV-2026-02259"/>
    <x v="5"/>
    <s v="Central"/>
    <s v="Indore"/>
    <s v="Online"/>
    <s v="Suresh Gupta"/>
    <s v="Prime Retail"/>
    <x v="5"/>
    <s v="Refrigerator"/>
    <n v="21"/>
    <n v="35937.06"/>
    <n v="754678.26"/>
    <n v="0"/>
    <n v="177177.29"/>
    <n v="577500.97"/>
    <s v="Cancelled"/>
    <s v="Pending"/>
  </r>
  <r>
    <s v="INV-2026-02260"/>
    <x v="38"/>
    <s v="North"/>
    <s v="Chandigarh"/>
    <s v="Retail Store"/>
    <s v="Priya Patel"/>
    <s v="Digital Hub"/>
    <x v="1"/>
    <s v="Cabinet"/>
    <n v="40"/>
    <n v="24675.51"/>
    <n v="987020.4"/>
    <n v="0"/>
    <n v="0"/>
    <n v="987020.4"/>
    <s v="Cancelled"/>
    <s v="Pending"/>
  </r>
  <r>
    <s v="INV-2026-02261"/>
    <x v="5"/>
    <s v="East"/>
    <s v="Guwahati"/>
    <s v="Online"/>
    <s v="Meera Joshi"/>
    <s v="Skyline Corp"/>
    <x v="3"/>
    <s v="Laptop"/>
    <n v="33"/>
    <n v="27499.9"/>
    <n v="907496.7"/>
    <n v="180150.23"/>
    <n v="0"/>
    <n v="727346.47"/>
    <s v="Cancelled"/>
    <s v="Pending"/>
  </r>
  <r>
    <s v="INV-2026-02262"/>
    <x v="2"/>
    <s v="North"/>
    <s v="Lucknow"/>
    <s v="Online"/>
    <s v="Amit Kumar"/>
    <s v="Skyline Corp"/>
    <x v="1"/>
    <s v="Office Chair"/>
    <n v="47"/>
    <n v="37891.050000000003"/>
    <n v="1780879.35"/>
    <n v="0"/>
    <n v="489270.2"/>
    <n v="1291609.1499999999"/>
    <s v="Cancelled"/>
    <s v="Pending"/>
  </r>
  <r>
    <s v="INV-2026-02263"/>
    <x v="33"/>
    <s v="East"/>
    <s v="Guwahati"/>
    <s v="Online"/>
    <s v="Anita Desai"/>
    <s v="Skyline Corp"/>
    <x v="1"/>
    <s v="Desk"/>
    <n v="26"/>
    <n v="41781.74"/>
    <n v="1086325.24"/>
    <n v="0"/>
    <n v="0"/>
    <n v="1086325.24"/>
    <s v="Processing"/>
    <s v="Pending"/>
  </r>
  <r>
    <s v="INV-2026-02264"/>
    <x v="59"/>
    <s v="South"/>
    <s v="Chennai"/>
    <s v="Online"/>
    <s v="Anita Desai"/>
    <s v="Tech Solutions"/>
    <x v="2"/>
    <s v="Cricket Bat"/>
    <n v="6"/>
    <n v="9364.3700000000008"/>
    <n v="56186.22"/>
    <n v="0"/>
    <n v="0"/>
    <n v="56186.22"/>
    <s v="Cancelled"/>
    <s v="Pending"/>
  </r>
  <r>
    <s v="INV-2026-02265"/>
    <x v="65"/>
    <s v="South"/>
    <s v="Bangalore"/>
    <s v="Distributor"/>
    <s v="Kavita Nair"/>
    <s v="Elite Enterprises"/>
    <x v="2"/>
    <s v="Yoga Mat"/>
    <n v="5"/>
    <n v="49569.06"/>
    <n v="247845.3"/>
    <n v="29492.78"/>
    <n v="0"/>
    <n v="218352.52"/>
    <s v="Completed"/>
    <s v="Paid"/>
  </r>
  <r>
    <s v="INV-2026-02266"/>
    <x v="28"/>
    <s v="South"/>
    <s v="Hyderabad"/>
    <s v="Direct Sales"/>
    <s v="Anita Desai"/>
    <s v="Skyline Corp"/>
    <x v="5"/>
    <s v="Vacuum Cleaner"/>
    <n v="7"/>
    <n v="2334.5300000000002"/>
    <n v="16341.71"/>
    <n v="44.73"/>
    <n v="3638.57"/>
    <n v="12658.41"/>
    <s v="Completed"/>
    <s v="Paid"/>
  </r>
  <r>
    <s v="INV-2026-02267"/>
    <x v="5"/>
    <s v="North"/>
    <s v="Delhi"/>
    <s v="Direct Sales"/>
    <s v="Rahul Sharma"/>
    <s v="Global Traders"/>
    <x v="4"/>
    <s v="Jacket"/>
    <n v="29"/>
    <n v="39622.83"/>
    <n v="1149062.07"/>
    <n v="46523.75"/>
    <n v="0"/>
    <n v="1102538.32"/>
    <s v="Processing"/>
    <s v="Paid"/>
  </r>
  <r>
    <s v="INV-2026-02268"/>
    <x v="6"/>
    <s v="Central"/>
    <s v="Bhopal"/>
    <s v="Online"/>
    <s v="Sneha Reddy"/>
    <s v="Elite Enterprises"/>
    <x v="5"/>
    <s v="Washing Machine"/>
    <n v="19"/>
    <n v="9200.4599999999991"/>
    <n v="174808.74"/>
    <n v="0"/>
    <n v="0"/>
    <n v="174808.74"/>
    <s v="Cancelled"/>
    <s v="Pending"/>
  </r>
  <r>
    <s v="INV-2026-02269"/>
    <x v="34"/>
    <s v="East"/>
    <s v="Guwahati"/>
    <s v="Direct Sales"/>
    <s v="Anita Desai"/>
    <s v="ABC Corp"/>
    <x v="3"/>
    <s v="Camera"/>
    <n v="21"/>
    <n v="24733.599999999999"/>
    <n v="519405.6"/>
    <n v="5148.55"/>
    <n v="0"/>
    <n v="514257.05"/>
    <s v="Cancelled"/>
    <s v="Pending"/>
  </r>
  <r>
    <s v="INV-2026-02270"/>
    <x v="78"/>
    <s v="North"/>
    <s v="Delhi"/>
    <s v="Direct Sales"/>
    <s v="Anita Desai"/>
    <s v="Urban Store"/>
    <x v="0"/>
    <s v="Printer Paper"/>
    <n v="2"/>
    <n v="21740.92"/>
    <n v="43481.84"/>
    <n v="0"/>
    <n v="0"/>
    <n v="43481.84"/>
    <s v="Pending"/>
    <s v="Pending"/>
  </r>
  <r>
    <s v="INV-2026-02271"/>
    <x v="43"/>
    <s v="North"/>
    <s v="Chandigarh"/>
    <s v="Retail Store"/>
    <s v="Kavita Nair"/>
    <s v="Future Tech"/>
    <x v="1"/>
    <s v="Sofa"/>
    <n v="14"/>
    <n v="2334.2600000000002"/>
    <n v="32679.64"/>
    <n v="0"/>
    <n v="0"/>
    <n v="32679.64"/>
    <s v="Cancelled"/>
    <s v="Pending"/>
  </r>
  <r>
    <s v="INV-2026-02272"/>
    <x v="11"/>
    <s v="North"/>
    <s v="Lucknow"/>
    <s v="Online"/>
    <s v="Priya Patel"/>
    <s v="Smart Systems"/>
    <x v="0"/>
    <s v="Whiteboard"/>
    <n v="30"/>
    <n v="15059.24"/>
    <n v="451777.2"/>
    <n v="38282.1"/>
    <n v="0"/>
    <n v="413495.1"/>
    <s v="Cancelled"/>
    <s v="Pending"/>
  </r>
  <r>
    <s v="INV-2026-02273"/>
    <x v="64"/>
    <s v="West"/>
    <s v="Surat"/>
    <s v="Retail Store"/>
    <s v="Anita Desai"/>
    <s v="Urban Store"/>
    <x v="1"/>
    <s v="Cabinet"/>
    <n v="18"/>
    <n v="1022.97"/>
    <n v="18413.46"/>
    <n v="0"/>
    <n v="0"/>
    <n v="18413.46"/>
    <s v="Completed"/>
    <s v="Pending"/>
  </r>
  <r>
    <s v="INV-2026-02274"/>
    <x v="41"/>
    <s v="Central"/>
    <s v="Raipur"/>
    <s v="Direct Sales"/>
    <s v="Amit Kumar"/>
    <s v="Alpha Trading"/>
    <x v="5"/>
    <s v="Microwave"/>
    <n v="12"/>
    <n v="43297.49"/>
    <n v="519569.88"/>
    <n v="61716.58"/>
    <n v="0"/>
    <n v="457853.3"/>
    <s v="Cancelled"/>
    <s v="Pending"/>
  </r>
  <r>
    <s v="INV-2026-02275"/>
    <x v="47"/>
    <s v="Central"/>
    <s v="Raipur"/>
    <s v="Retail Store"/>
    <s v="Anita Desai"/>
    <s v="Nexus Ltd"/>
    <x v="3"/>
    <s v="Camera"/>
    <n v="41"/>
    <n v="1820.69"/>
    <n v="74648.289999999994"/>
    <n v="7459.8"/>
    <n v="0"/>
    <n v="67188.490000000005"/>
    <s v="Cancelled"/>
    <s v="Pending"/>
  </r>
  <r>
    <s v="INV-2026-02276"/>
    <x v="0"/>
    <s v="North"/>
    <s v="Chandigarh"/>
    <s v="Online"/>
    <s v="Kavita Nair"/>
    <s v="Alpha Trading"/>
    <x v="4"/>
    <s v="Shoes"/>
    <n v="39"/>
    <n v="19928.41"/>
    <n v="777207.99"/>
    <n v="102060.87"/>
    <n v="0"/>
    <n v="675147.12"/>
    <s v="Pending"/>
    <s v="Paid"/>
  </r>
  <r>
    <s v="INV-2026-02277"/>
    <x v="1"/>
    <s v="South"/>
    <s v="Kochi"/>
    <s v="Distributor"/>
    <s v="Vijay Singh"/>
    <s v="Metro Mart"/>
    <x v="4"/>
    <s v="Jacket"/>
    <n v="17"/>
    <n v="44216.03"/>
    <n v="751672.51"/>
    <n v="0"/>
    <n v="0"/>
    <n v="751672.51"/>
    <s v="Pending"/>
    <s v="Pending"/>
  </r>
  <r>
    <s v="INV-2026-02278"/>
    <x v="12"/>
    <s v="Central"/>
    <s v="Indore"/>
    <s v="Online"/>
    <s v="Priya Patel"/>
    <s v="Digital Hub"/>
    <x v="0"/>
    <s v="Notebook"/>
    <n v="20"/>
    <n v="18772.169999999998"/>
    <n v="375443.4"/>
    <n v="10724.28"/>
    <n v="93255.039999999994"/>
    <n v="271464.08"/>
    <s v="Processing"/>
    <s v="Pending"/>
  </r>
  <r>
    <s v="INV-2026-02279"/>
    <x v="87"/>
    <s v="West"/>
    <s v="Pune"/>
    <s v="Online"/>
    <s v="Rahul Sharma"/>
    <s v="Omega Stores"/>
    <x v="0"/>
    <s v="Printer Paper"/>
    <n v="21"/>
    <n v="44337.59"/>
    <n v="931089.39"/>
    <n v="96690.73"/>
    <n v="0"/>
    <n v="834398.66"/>
    <s v="Processing"/>
    <s v="Pending"/>
  </r>
  <r>
    <s v="INV-2026-02280"/>
    <x v="79"/>
    <s v="East"/>
    <s v="Kolkata"/>
    <s v="Direct Sales"/>
    <s v="Anita Desai"/>
    <s v="Future Tech"/>
    <x v="3"/>
    <s v="Laptop"/>
    <n v="3"/>
    <n v="43099.839999999997"/>
    <n v="129299.52"/>
    <n v="5739.2"/>
    <n v="33617.339999999997"/>
    <n v="89942.98"/>
    <s v="Pending"/>
    <s v="Pending"/>
  </r>
  <r>
    <s v="INV-2026-02281"/>
    <x v="57"/>
    <s v="South"/>
    <s v="Hyderabad"/>
    <s v="Online"/>
    <s v="Suresh Gupta"/>
    <s v="XYZ Ltd"/>
    <x v="2"/>
    <s v="Football"/>
    <n v="16"/>
    <n v="20213.91"/>
    <n v="323422.56"/>
    <n v="0"/>
    <n v="0"/>
    <n v="323422.56"/>
    <s v="Pending"/>
    <s v="Pending"/>
  </r>
  <r>
    <s v="INV-2026-02282"/>
    <x v="14"/>
    <s v="South"/>
    <s v="Kochi"/>
    <s v="Retail Store"/>
    <s v="Rajesh Verma"/>
    <s v="Omega Stores"/>
    <x v="1"/>
    <s v="Bookshelf"/>
    <n v="15"/>
    <n v="27003.65"/>
    <n v="405054.75"/>
    <n v="0"/>
    <n v="0"/>
    <n v="405054.75"/>
    <s v="Completed"/>
    <s v="Paid"/>
  </r>
  <r>
    <s v="INV-2026-02283"/>
    <x v="80"/>
    <s v="East"/>
    <s v="Bhubaneswar"/>
    <s v="Distributor"/>
    <s v="Kavita Nair"/>
    <s v="Urban Store"/>
    <x v="3"/>
    <s v="Camera"/>
    <n v="39"/>
    <n v="35741.599999999999"/>
    <n v="1393922.4"/>
    <n v="267656.69"/>
    <n v="0"/>
    <n v="1126265.71"/>
    <s v="Pending"/>
    <s v="Pending"/>
  </r>
  <r>
    <s v="INV-2026-02284"/>
    <x v="30"/>
    <s v="North"/>
    <s v="Lucknow"/>
    <s v="Online"/>
    <s v="Anita Desai"/>
    <s v="Alpha Trading"/>
    <x v="5"/>
    <s v="Refrigerator"/>
    <n v="46"/>
    <n v="16867.919999999998"/>
    <n v="775924.32"/>
    <n v="0"/>
    <n v="0"/>
    <n v="775924.32"/>
    <s v="Cancelled"/>
    <s v="Pending"/>
  </r>
  <r>
    <s v="INV-2026-02285"/>
    <x v="2"/>
    <s v="West"/>
    <s v="Surat"/>
    <s v="Direct Sales"/>
    <s v="Amit Kumar"/>
    <s v="Skyline Corp"/>
    <x v="4"/>
    <s v="T-Shirt"/>
    <n v="33"/>
    <n v="22451.9"/>
    <n v="740912.7"/>
    <n v="0"/>
    <n v="51686.68"/>
    <n v="689226.02"/>
    <s v="Completed"/>
    <s v="Overdue"/>
  </r>
  <r>
    <s v="INV-2026-02286"/>
    <x v="57"/>
    <s v="Central"/>
    <s v="Raipur"/>
    <s v="Retail Store"/>
    <s v="Meera Joshi"/>
    <s v="Digital Hub"/>
    <x v="3"/>
    <s v="Headphones"/>
    <n v="15"/>
    <n v="14510.95"/>
    <n v="217664.25"/>
    <n v="40169.53"/>
    <n v="27459.88"/>
    <n v="150034.84"/>
    <s v="Completed"/>
    <s v="Overdue"/>
  </r>
  <r>
    <s v="INV-2026-02287"/>
    <x v="33"/>
    <s v="East"/>
    <s v="Kolkata"/>
    <s v="Retail Store"/>
    <s v="Sneha Reddy"/>
    <s v="Omega Stores"/>
    <x v="1"/>
    <s v="Cabinet"/>
    <n v="33"/>
    <n v="12737.3"/>
    <n v="420330.9"/>
    <n v="73371.47"/>
    <n v="0"/>
    <n v="346959.43"/>
    <s v="Cancelled"/>
    <s v="Pending"/>
  </r>
  <r>
    <s v="INV-2026-02288"/>
    <x v="1"/>
    <s v="North"/>
    <s v="Jaipur"/>
    <s v="Distributor"/>
    <s v="Priya Patel"/>
    <s v="Metro Mart"/>
    <x v="4"/>
    <s v="Jeans"/>
    <n v="17"/>
    <n v="25499.67"/>
    <n v="433494.39"/>
    <n v="0"/>
    <n v="0"/>
    <n v="433494.39"/>
    <s v="Pending"/>
    <s v="Pending"/>
  </r>
  <r>
    <s v="INV-2026-02289"/>
    <x v="36"/>
    <s v="West"/>
    <s v="Mumbai"/>
    <s v="Retail Store"/>
    <s v="Amit Kumar"/>
    <s v="Nexus Ltd"/>
    <x v="2"/>
    <s v="Football"/>
    <n v="5"/>
    <n v="20586.36"/>
    <n v="102931.8"/>
    <n v="12267.66"/>
    <n v="0"/>
    <n v="90664.14"/>
    <s v="Cancelled"/>
    <s v="Pending"/>
  </r>
  <r>
    <s v="INV-2026-02290"/>
    <x v="1"/>
    <s v="South"/>
    <s v="Kochi"/>
    <s v="Distributor"/>
    <s v="Amit Kumar"/>
    <s v="Skyline Corp"/>
    <x v="3"/>
    <s v="Smart Watch"/>
    <n v="29"/>
    <n v="1937.07"/>
    <n v="56175.03"/>
    <n v="3973.5"/>
    <n v="0"/>
    <n v="52201.53"/>
    <s v="Pending"/>
    <s v="Paid"/>
  </r>
  <r>
    <s v="INV-2026-02291"/>
    <x v="13"/>
    <s v="South"/>
    <s v="Bangalore"/>
    <s v="Online"/>
    <s v="Anita Desai"/>
    <s v="Urban Store"/>
    <x v="5"/>
    <s v="Refrigerator"/>
    <n v="19"/>
    <n v="1055.6400000000001"/>
    <n v="20057.16"/>
    <n v="0"/>
    <n v="0"/>
    <n v="20057.16"/>
    <s v="Cancelled"/>
    <s v="Pending"/>
  </r>
  <r>
    <s v="INV-2026-02292"/>
    <x v="76"/>
    <s v="North"/>
    <s v="Lucknow"/>
    <s v="Distributor"/>
    <s v="Rahul Sharma"/>
    <s v="Digital Hub"/>
    <x v="1"/>
    <s v="Desk"/>
    <n v="1"/>
    <n v="20124.2"/>
    <n v="20124.2"/>
    <n v="0"/>
    <n v="0"/>
    <n v="20124.2"/>
    <s v="Cancelled"/>
    <s v="Pending"/>
  </r>
  <r>
    <s v="INV-2026-02293"/>
    <x v="67"/>
    <s v="South"/>
    <s v="Kochi"/>
    <s v="Direct Sales"/>
    <s v="Kavita Nair"/>
    <s v="Future Tech"/>
    <x v="4"/>
    <s v="Jacket"/>
    <n v="12"/>
    <n v="2510.9899999999998"/>
    <n v="30131.88"/>
    <n v="0"/>
    <n v="0"/>
    <n v="30131.88"/>
    <s v="Cancelled"/>
    <s v="Pending"/>
  </r>
  <r>
    <s v="INV-2026-02294"/>
    <x v="62"/>
    <s v="East"/>
    <s v="Patna"/>
    <s v="Online"/>
    <s v="Amit Kumar"/>
    <s v="ABC Corp"/>
    <x v="1"/>
    <s v="Conference Table"/>
    <n v="11"/>
    <n v="14906.69"/>
    <n v="163973.59"/>
    <n v="19680.150000000001"/>
    <n v="0"/>
    <n v="144293.44"/>
    <s v="Pending"/>
    <s v="Pending"/>
  </r>
  <r>
    <s v="INV-2026-02295"/>
    <x v="66"/>
    <s v="Central"/>
    <s v="Indore"/>
    <s v="Distributor"/>
    <s v="Vijay Singh"/>
    <s v="Nexus Ltd"/>
    <x v="5"/>
    <s v="Air Conditioner"/>
    <n v="19"/>
    <n v="25444.89"/>
    <n v="483452.91"/>
    <n v="23489.51"/>
    <n v="0"/>
    <n v="459963.4"/>
    <s v="Pending"/>
    <s v="Pending"/>
  </r>
  <r>
    <s v="INV-2026-02296"/>
    <x v="81"/>
    <s v="West"/>
    <s v="Pune"/>
    <s v="Direct Sales"/>
    <s v="Rahul Sharma"/>
    <s v="ABC Corp"/>
    <x v="2"/>
    <s v="Tennis Racket"/>
    <n v="25"/>
    <n v="18819.27"/>
    <n v="470481.75"/>
    <n v="34599.42"/>
    <n v="0"/>
    <n v="435882.33"/>
    <s v="Pending"/>
    <s v="Pending"/>
  </r>
  <r>
    <s v="INV-2026-02297"/>
    <x v="1"/>
    <s v="North"/>
    <s v="Lucknow"/>
    <s v="Direct Sales"/>
    <s v="Sneha Reddy"/>
    <s v="ABC Corp"/>
    <x v="1"/>
    <s v="Office Chair"/>
    <n v="24"/>
    <n v="49630.53"/>
    <n v="1191132.72"/>
    <n v="151876.49"/>
    <n v="0"/>
    <n v="1039256.23"/>
    <s v="Completed"/>
    <s v="Paid"/>
  </r>
  <r>
    <s v="INV-2026-02298"/>
    <x v="1"/>
    <s v="Central"/>
    <s v="Indore"/>
    <s v="Direct Sales"/>
    <s v="Priya Patel"/>
    <s v="Alpha Trading"/>
    <x v="2"/>
    <s v="Bicycle"/>
    <n v="47"/>
    <n v="23087.21"/>
    <n v="1085098.8700000001"/>
    <n v="6917.85"/>
    <n v="0"/>
    <n v="1078181.02"/>
    <s v="Pending"/>
    <s v="Paid"/>
  </r>
  <r>
    <s v="INV-2026-02299"/>
    <x v="23"/>
    <s v="South"/>
    <s v="Chennai"/>
    <s v="Retail Store"/>
    <s v="Amit Kumar"/>
    <s v="Smart Systems"/>
    <x v="5"/>
    <s v="Vacuum Cleaner"/>
    <n v="32"/>
    <n v="46844.84"/>
    <n v="1499034.88"/>
    <n v="0"/>
    <n v="271089.32"/>
    <n v="1227945.56"/>
    <s v="Processing"/>
    <s v="Pending"/>
  </r>
  <r>
    <s v="INV-2026-02300"/>
    <x v="38"/>
    <s v="East"/>
    <s v="Patna"/>
    <s v="Distributor"/>
    <s v="Rajesh Verma"/>
    <s v="Smart Systems"/>
    <x v="4"/>
    <s v="Shoes"/>
    <n v="41"/>
    <n v="29411.54"/>
    <n v="1205873.1399999999"/>
    <n v="0"/>
    <n v="274742.77"/>
    <n v="931130.37"/>
    <s v="Cancelled"/>
    <s v="Pending"/>
  </r>
  <r>
    <s v="INV-2026-02301"/>
    <x v="54"/>
    <s v="Central"/>
    <s v="Bhopal"/>
    <s v="Online"/>
    <s v="Sneha Reddy"/>
    <s v="Alpha Trading"/>
    <x v="0"/>
    <s v="Pen Set"/>
    <n v="7"/>
    <n v="42951.82"/>
    <n v="300662.74"/>
    <n v="0"/>
    <n v="0"/>
    <n v="300662.74"/>
    <s v="Completed"/>
    <s v="Paid"/>
  </r>
  <r>
    <s v="INV-2026-02302"/>
    <x v="82"/>
    <s v="North"/>
    <s v="Chandigarh"/>
    <s v="Distributor"/>
    <s v="Rahul Sharma"/>
    <s v="Tech Solutions"/>
    <x v="1"/>
    <s v="Bookshelf"/>
    <n v="8"/>
    <n v="20246.98"/>
    <n v="161975.84"/>
    <n v="4224.78"/>
    <n v="19582.72"/>
    <n v="138168.34"/>
    <s v="Completed"/>
    <s v="Paid"/>
  </r>
  <r>
    <s v="INV-2026-02303"/>
    <x v="63"/>
    <s v="North"/>
    <s v="Delhi"/>
    <s v="Retail Store"/>
    <s v="Meera Joshi"/>
    <s v="Nexus Ltd"/>
    <x v="5"/>
    <s v="Microwave"/>
    <n v="34"/>
    <n v="34746.35"/>
    <n v="1181375.8999999999"/>
    <n v="0"/>
    <n v="0"/>
    <n v="1181375.8999999999"/>
    <s v="Cancelled"/>
    <s v="Pending"/>
  </r>
  <r>
    <s v="INV-2026-02304"/>
    <x v="50"/>
    <s v="Central"/>
    <s v="Raipur"/>
    <s v="Distributor"/>
    <s v="Vijay Singh"/>
    <s v="Elite Enterprises"/>
    <x v="3"/>
    <s v="Tablet"/>
    <n v="4"/>
    <n v="34648.269999999997"/>
    <n v="138593.07999999999"/>
    <n v="8429.93"/>
    <n v="0"/>
    <n v="130163.15"/>
    <s v="Processing"/>
    <s v="Pending"/>
  </r>
  <r>
    <s v="INV-2026-02305"/>
    <x v="72"/>
    <s v="Central"/>
    <s v="Indore"/>
    <s v="Online"/>
    <s v="Amit Kumar"/>
    <s v="Alpha Trading"/>
    <x v="0"/>
    <s v="Desk Organizer"/>
    <n v="42"/>
    <n v="32126.14"/>
    <n v="1349297.88"/>
    <n v="156970.72"/>
    <n v="0"/>
    <n v="1192327.1599999999"/>
    <s v="Processing"/>
    <s v="Pending"/>
  </r>
  <r>
    <s v="INV-2026-02306"/>
    <x v="69"/>
    <s v="West"/>
    <s v="Pune"/>
    <s v="Online"/>
    <s v="Meera Joshi"/>
    <s v="Metro Mart"/>
    <x v="2"/>
    <s v="Tennis Racket"/>
    <n v="43"/>
    <n v="36793.81"/>
    <n v="1582133.83"/>
    <n v="90965"/>
    <n v="0"/>
    <n v="1491168.83"/>
    <s v="Completed"/>
    <s v="Paid"/>
  </r>
  <r>
    <s v="INV-2026-02307"/>
    <x v="54"/>
    <s v="North"/>
    <s v="Delhi"/>
    <s v="Retail Store"/>
    <s v="Priya Patel"/>
    <s v="Digital Hub"/>
    <x v="5"/>
    <s v="Air Conditioner"/>
    <n v="41"/>
    <n v="50059.77"/>
    <n v="2052450.57"/>
    <n v="48914.39"/>
    <n v="0"/>
    <n v="2003536.18"/>
    <s v="Processing"/>
    <s v="Paid"/>
  </r>
  <r>
    <s v="INV-2026-02308"/>
    <x v="29"/>
    <s v="West"/>
    <s v="Mumbai"/>
    <s v="Retail Store"/>
    <s v="Anita Desai"/>
    <s v="Tech Solutions"/>
    <x v="0"/>
    <s v="Desk Organizer"/>
    <n v="22"/>
    <n v="43525.120000000003"/>
    <n v="957552.64000000001"/>
    <n v="102707.17"/>
    <n v="90120.21"/>
    <n v="764725.26"/>
    <s v="Cancelled"/>
    <s v="Pending"/>
  </r>
  <r>
    <s v="INV-2026-02309"/>
    <x v="1"/>
    <s v="East"/>
    <s v="Patna"/>
    <s v="Online"/>
    <s v="Priya Patel"/>
    <s v="Elite Enterprises"/>
    <x v="0"/>
    <s v="Desk Organizer"/>
    <n v="9"/>
    <n v="9307.76"/>
    <n v="83769.84"/>
    <n v="0"/>
    <n v="0"/>
    <n v="83769.84"/>
    <s v="Pending"/>
    <s v="Pending"/>
  </r>
  <r>
    <s v="INV-2026-02310"/>
    <x v="51"/>
    <s v="Central"/>
    <s v="Raipur"/>
    <s v="Direct Sales"/>
    <s v="Amit Kumar"/>
    <s v="Omega Stores"/>
    <x v="0"/>
    <s v="Pen Set"/>
    <n v="40"/>
    <n v="47034.8"/>
    <n v="1881392"/>
    <n v="0"/>
    <n v="0"/>
    <n v="1881392"/>
    <s v="Pending"/>
    <s v="Paid"/>
  </r>
  <r>
    <s v="INV-2026-02311"/>
    <x v="24"/>
    <s v="Central"/>
    <s v="Nagpur"/>
    <s v="Online"/>
    <s v="Sneha Reddy"/>
    <s v="Metro Mart"/>
    <x v="4"/>
    <s v="Jacket"/>
    <n v="46"/>
    <n v="10851.63"/>
    <n v="499174.98"/>
    <n v="57806.59"/>
    <n v="0"/>
    <n v="441368.39"/>
    <s v="Completed"/>
    <s v="Paid"/>
  </r>
  <r>
    <s v="INV-2026-02312"/>
    <x v="38"/>
    <s v="East"/>
    <s v="Kolkata"/>
    <s v="Retail Store"/>
    <s v="Sneha Reddy"/>
    <s v="Future Tech"/>
    <x v="0"/>
    <s v="Notebook"/>
    <n v="16"/>
    <n v="31665.29"/>
    <n v="506644.64"/>
    <n v="0"/>
    <n v="0"/>
    <n v="506644.64"/>
    <s v="Processing"/>
    <s v="Pending"/>
  </r>
  <r>
    <s v="INV-2026-02313"/>
    <x v="1"/>
    <s v="North"/>
    <s v="Lucknow"/>
    <s v="Distributor"/>
    <s v="Sneha Reddy"/>
    <s v="Skyline Corp"/>
    <x v="2"/>
    <s v="Tennis Racket"/>
    <n v="50"/>
    <n v="38299.99"/>
    <n v="1914999.5"/>
    <n v="200600.43"/>
    <n v="0"/>
    <n v="1714399.07"/>
    <s v="Cancelled"/>
    <s v="Pending"/>
  </r>
  <r>
    <s v="INV-2026-02314"/>
    <x v="47"/>
    <s v="Central"/>
    <s v="Raipur"/>
    <s v="Direct Sales"/>
    <s v="Priya Patel"/>
    <s v="Prime Retail"/>
    <x v="2"/>
    <s v="Football"/>
    <n v="21"/>
    <n v="44461.46"/>
    <n v="933690.66"/>
    <n v="99266.19"/>
    <n v="0"/>
    <n v="834424.47"/>
    <s v="Completed"/>
    <s v="Overdue"/>
  </r>
  <r>
    <s v="INV-2026-02315"/>
    <x v="8"/>
    <s v="North"/>
    <s v="Jaipur"/>
    <s v="Retail Store"/>
    <s v="Kavita Nair"/>
    <s v="Prime Retail"/>
    <x v="5"/>
    <s v="Vacuum Cleaner"/>
    <n v="18"/>
    <n v="32778.089999999997"/>
    <n v="590005.62"/>
    <n v="103793.85"/>
    <n v="0"/>
    <n v="486211.77"/>
    <s v="Completed"/>
    <s v="Paid"/>
  </r>
  <r>
    <s v="INV-2026-02316"/>
    <x v="27"/>
    <s v="North"/>
    <s v="Lucknow"/>
    <s v="Retail Store"/>
    <s v="Amit Kumar"/>
    <s v="Tech Solutions"/>
    <x v="0"/>
    <s v="Pen Set"/>
    <n v="50"/>
    <n v="26776.16"/>
    <n v="1338808"/>
    <n v="0"/>
    <n v="0"/>
    <n v="1338808"/>
    <s v="Completed"/>
    <s v="Paid"/>
  </r>
  <r>
    <s v="INV-2026-02317"/>
    <x v="51"/>
    <s v="North"/>
    <s v="Lucknow"/>
    <s v="Retail Store"/>
    <s v="Rahul Sharma"/>
    <s v="Metro Mart"/>
    <x v="4"/>
    <s v="Formal Shirt"/>
    <n v="24"/>
    <n v="31464.66"/>
    <n v="755151.84"/>
    <n v="44540.56"/>
    <n v="0"/>
    <n v="710611.28"/>
    <s v="Pending"/>
    <s v="Paid"/>
  </r>
  <r>
    <s v="INV-2026-02318"/>
    <x v="70"/>
    <s v="West"/>
    <s v="Surat"/>
    <s v="Distributor"/>
    <s v="Sneha Reddy"/>
    <s v="Metro Mart"/>
    <x v="2"/>
    <s v="Football"/>
    <n v="25"/>
    <n v="18574.740000000002"/>
    <n v="464368.5"/>
    <n v="0"/>
    <n v="79439.34"/>
    <n v="384929.16"/>
    <s v="Pending"/>
    <s v="Pending"/>
  </r>
  <r>
    <s v="INV-2026-02319"/>
    <x v="82"/>
    <s v="Central"/>
    <s v="Bhopal"/>
    <s v="Direct Sales"/>
    <s v="Rahul Sharma"/>
    <s v="Alpha Trading"/>
    <x v="0"/>
    <s v="Notebook"/>
    <n v="47"/>
    <n v="10760.67"/>
    <n v="505751.49"/>
    <n v="86115.65"/>
    <n v="0"/>
    <n v="419635.84"/>
    <s v="Cancelled"/>
    <s v="Pending"/>
  </r>
  <r>
    <s v="INV-2026-02320"/>
    <x v="3"/>
    <s v="South"/>
    <s v="Bangalore"/>
    <s v="Retail Store"/>
    <s v="Meera Joshi"/>
    <s v="Global Traders"/>
    <x v="3"/>
    <s v="Smartphone"/>
    <n v="23"/>
    <n v="22177.34"/>
    <n v="510078.82"/>
    <n v="0"/>
    <n v="0"/>
    <n v="510078.82"/>
    <s v="Pending"/>
    <s v="Paid"/>
  </r>
  <r>
    <s v="INV-2026-02321"/>
    <x v="42"/>
    <s v="Central"/>
    <s v="Indore"/>
    <s v="Online"/>
    <s v="Meera Joshi"/>
    <s v="Alpha Trading"/>
    <x v="0"/>
    <s v="Whiteboard"/>
    <n v="31"/>
    <n v="1696.86"/>
    <n v="52602.66"/>
    <n v="2616.46"/>
    <n v="0"/>
    <n v="49986.2"/>
    <s v="Processing"/>
    <s v="Pending"/>
  </r>
  <r>
    <s v="INV-2026-02322"/>
    <x v="43"/>
    <s v="West"/>
    <s v="Ahmedabad"/>
    <s v="Distributor"/>
    <s v="Sneha Reddy"/>
    <s v="Future Tech"/>
    <x v="0"/>
    <s v="Desk Organizer"/>
    <n v="31"/>
    <n v="12058.25"/>
    <n v="373805.75"/>
    <n v="0"/>
    <n v="11178.24"/>
    <n v="362627.51"/>
    <s v="Processing"/>
    <s v="Paid"/>
  </r>
  <r>
    <s v="INV-2026-02323"/>
    <x v="36"/>
    <s v="East"/>
    <s v="Guwahati"/>
    <s v="Retail Store"/>
    <s v="Vijay Singh"/>
    <s v="Digital Hub"/>
    <x v="2"/>
    <s v="Bicycle"/>
    <n v="42"/>
    <n v="8124.75"/>
    <n v="341239.5"/>
    <n v="24071.82"/>
    <n v="0"/>
    <n v="317167.68"/>
    <s v="Pending"/>
    <s v="Pending"/>
  </r>
  <r>
    <s v="INV-2026-02324"/>
    <x v="46"/>
    <s v="Central"/>
    <s v="Nagpur"/>
    <s v="Retail Store"/>
    <s v="Kavita Nair"/>
    <s v="Alpha Trading"/>
    <x v="4"/>
    <s v="Formal Shirt"/>
    <n v="30"/>
    <n v="26408.87"/>
    <n v="792266.1"/>
    <n v="36906.400000000001"/>
    <n v="0"/>
    <n v="755359.7"/>
    <s v="Cancelled"/>
    <s v="Pending"/>
  </r>
  <r>
    <s v="INV-2026-02325"/>
    <x v="60"/>
    <s v="Central"/>
    <s v="Indore"/>
    <s v="Distributor"/>
    <s v="Anita Desai"/>
    <s v="Omega Stores"/>
    <x v="1"/>
    <s v="Office Chair"/>
    <n v="20"/>
    <n v="35282.550000000003"/>
    <n v="705651"/>
    <n v="104543.47"/>
    <n v="0"/>
    <n v="601107.53"/>
    <s v="Pending"/>
    <s v="Pending"/>
  </r>
  <r>
    <s v="INV-2026-02326"/>
    <x v="10"/>
    <s v="Central"/>
    <s v="Bhopal"/>
    <s v="Distributor"/>
    <s v="Priya Patel"/>
    <s v="Future Tech"/>
    <x v="1"/>
    <s v="Desk"/>
    <n v="34"/>
    <n v="2745.26"/>
    <n v="93338.84"/>
    <n v="14635.48"/>
    <n v="0"/>
    <n v="78703.360000000001"/>
    <s v="Processing"/>
    <s v="Pending"/>
  </r>
  <r>
    <s v="INV-2026-02327"/>
    <x v="75"/>
    <s v="North"/>
    <s v="Lucknow"/>
    <s v="Online"/>
    <s v="Rajesh Verma"/>
    <s v="ABC Corp"/>
    <x v="4"/>
    <s v="Jeans"/>
    <n v="27"/>
    <n v="34851.39"/>
    <n v="940987.53"/>
    <n v="99884.98"/>
    <n v="0"/>
    <n v="841102.55"/>
    <s v="Pending"/>
    <s v="Pending"/>
  </r>
  <r>
    <s v="INV-2026-02328"/>
    <x v="53"/>
    <s v="West"/>
    <s v="Surat"/>
    <s v="Direct Sales"/>
    <s v="Vijay Singh"/>
    <s v="Elite Enterprises"/>
    <x v="2"/>
    <s v="Cricket Bat"/>
    <n v="45"/>
    <n v="48054.49"/>
    <n v="2162452.0499999998"/>
    <n v="0"/>
    <n v="250796.32"/>
    <n v="1911655.73"/>
    <s v="Pending"/>
    <s v="Pending"/>
  </r>
  <r>
    <s v="INV-2026-02329"/>
    <x v="27"/>
    <s v="Central"/>
    <s v="Raipur"/>
    <s v="Distributor"/>
    <s v="Priya Patel"/>
    <s v="XYZ Ltd"/>
    <x v="3"/>
    <s v="Camera"/>
    <n v="21"/>
    <n v="43145.25"/>
    <n v="906050.25"/>
    <n v="0"/>
    <n v="0"/>
    <n v="906050.25"/>
    <s v="Pending"/>
    <s v="Pending"/>
  </r>
  <r>
    <s v="INV-2026-02330"/>
    <x v="43"/>
    <s v="Central"/>
    <s v="Raipur"/>
    <s v="Online"/>
    <s v="Amit Kumar"/>
    <s v="Nexus Ltd"/>
    <x v="3"/>
    <s v="Laptop"/>
    <n v="22"/>
    <n v="17290.32"/>
    <n v="380387.04"/>
    <n v="14953.62"/>
    <n v="0"/>
    <n v="365433.42"/>
    <s v="Cancelled"/>
    <s v="Pending"/>
  </r>
  <r>
    <s v="INV-2026-02331"/>
    <x v="65"/>
    <s v="South"/>
    <s v="Chennai"/>
    <s v="Online"/>
    <s v="Suresh Gupta"/>
    <s v="Alpha Trading"/>
    <x v="3"/>
    <s v="Tablet"/>
    <n v="40"/>
    <n v="43429.93"/>
    <n v="1737197.2"/>
    <n v="101239.01"/>
    <n v="0"/>
    <n v="1635958.19"/>
    <s v="Cancelled"/>
    <s v="Pending"/>
  </r>
  <r>
    <s v="INV-2026-02332"/>
    <x v="91"/>
    <s v="Central"/>
    <s v="Raipur"/>
    <s v="Online"/>
    <s v="Rajesh Verma"/>
    <s v="Metro Mart"/>
    <x v="0"/>
    <s v="Desk Organizer"/>
    <n v="17"/>
    <n v="31182.35"/>
    <n v="530099.94999999995"/>
    <n v="22826.32"/>
    <n v="0"/>
    <n v="507273.63"/>
    <s v="Completed"/>
    <s v="Paid"/>
  </r>
  <r>
    <s v="INV-2026-02333"/>
    <x v="84"/>
    <s v="Central"/>
    <s v="Raipur"/>
    <s v="Retail Store"/>
    <s v="Rajesh Verma"/>
    <s v="Global Traders"/>
    <x v="3"/>
    <s v="Tablet"/>
    <n v="29"/>
    <n v="9719.32"/>
    <n v="281860.28000000003"/>
    <n v="10231.700000000001"/>
    <n v="0"/>
    <n v="271628.58"/>
    <s v="Cancelled"/>
    <s v="Pending"/>
  </r>
  <r>
    <s v="INV-2026-02334"/>
    <x v="14"/>
    <s v="Central"/>
    <s v="Indore"/>
    <s v="Direct Sales"/>
    <s v="Rajesh Verma"/>
    <s v="Metro Mart"/>
    <x v="5"/>
    <s v="Washing Machine"/>
    <n v="22"/>
    <n v="43463.47"/>
    <n v="956196.34"/>
    <n v="0"/>
    <n v="0"/>
    <n v="956196.34"/>
    <s v="Completed"/>
    <s v="Paid"/>
  </r>
  <r>
    <s v="INV-2026-02335"/>
    <x v="50"/>
    <s v="West"/>
    <s v="Surat"/>
    <s v="Retail Store"/>
    <s v="Amit Kumar"/>
    <s v="Tech Solutions"/>
    <x v="1"/>
    <s v="Sofa"/>
    <n v="14"/>
    <n v="34191.78"/>
    <n v="478684.92"/>
    <n v="22512.67"/>
    <n v="0"/>
    <n v="456172.25"/>
    <s v="Processing"/>
    <s v="Paid"/>
  </r>
  <r>
    <s v="INV-2026-02336"/>
    <x v="75"/>
    <s v="North"/>
    <s v="Lucknow"/>
    <s v="Direct Sales"/>
    <s v="Priya Patel"/>
    <s v="Prime Retail"/>
    <x v="4"/>
    <s v="Jacket"/>
    <n v="43"/>
    <n v="1479.27"/>
    <n v="63608.61"/>
    <n v="11486.2"/>
    <n v="0"/>
    <n v="52122.41"/>
    <s v="Processing"/>
    <s v="Paid"/>
  </r>
  <r>
    <s v="INV-2026-02337"/>
    <x v="82"/>
    <s v="Central"/>
    <s v="Nagpur"/>
    <s v="Retail Store"/>
    <s v="Sneha Reddy"/>
    <s v="Urban Store"/>
    <x v="3"/>
    <s v="Tablet"/>
    <n v="21"/>
    <n v="2292.17"/>
    <n v="48135.57"/>
    <n v="0"/>
    <n v="0"/>
    <n v="48135.57"/>
    <s v="Completed"/>
    <s v="Paid"/>
  </r>
  <r>
    <s v="INV-2026-02338"/>
    <x v="76"/>
    <s v="West"/>
    <s v="Surat"/>
    <s v="Online"/>
    <s v="Vijay Singh"/>
    <s v="Tech Solutions"/>
    <x v="2"/>
    <s v="Cricket Bat"/>
    <n v="21"/>
    <n v="26269.17"/>
    <n v="551652.56999999995"/>
    <n v="0"/>
    <n v="0"/>
    <n v="551652.56999999995"/>
    <s v="Completed"/>
    <s v="Paid"/>
  </r>
  <r>
    <s v="INV-2026-02339"/>
    <x v="54"/>
    <s v="East"/>
    <s v="Kolkata"/>
    <s v="Distributor"/>
    <s v="Suresh Gupta"/>
    <s v="Future Tech"/>
    <x v="2"/>
    <s v="Bicycle"/>
    <n v="8"/>
    <n v="36041.21"/>
    <n v="288329.68"/>
    <n v="20934.29"/>
    <n v="0"/>
    <n v="267395.39"/>
    <s v="Processing"/>
    <s v="Pending"/>
  </r>
  <r>
    <s v="INV-2026-02340"/>
    <x v="54"/>
    <s v="West"/>
    <s v="Mumbai"/>
    <s v="Direct Sales"/>
    <s v="Kavita Nair"/>
    <s v="Global Traders"/>
    <x v="4"/>
    <s v="Dress"/>
    <n v="47"/>
    <n v="16242.49"/>
    <n v="763397.03"/>
    <n v="25476.080000000002"/>
    <n v="0"/>
    <n v="737920.95"/>
    <s v="Completed"/>
    <s v="Overdue"/>
  </r>
  <r>
    <s v="INV-2026-02341"/>
    <x v="73"/>
    <s v="Central"/>
    <s v="Indore"/>
    <s v="Online"/>
    <s v="Vijay Singh"/>
    <s v="Prime Retail"/>
    <x v="0"/>
    <s v="Notebook"/>
    <n v="6"/>
    <n v="10589.66"/>
    <n v="63537.96"/>
    <n v="0"/>
    <n v="0"/>
    <n v="63537.96"/>
    <s v="Cancelled"/>
    <s v="Pending"/>
  </r>
  <r>
    <s v="INV-2026-02342"/>
    <x v="81"/>
    <s v="Central"/>
    <s v="Raipur"/>
    <s v="Direct Sales"/>
    <s v="Amit Kumar"/>
    <s v="ABC Corp"/>
    <x v="5"/>
    <s v="Vacuum Cleaner"/>
    <n v="28"/>
    <n v="3601.6"/>
    <n v="100844.8"/>
    <n v="3831.25"/>
    <n v="0"/>
    <n v="97013.55"/>
    <s v="Pending"/>
    <s v="Paid"/>
  </r>
  <r>
    <s v="INV-2026-02343"/>
    <x v="64"/>
    <s v="West"/>
    <s v="Ahmedabad"/>
    <s v="Distributor"/>
    <s v="Sneha Reddy"/>
    <s v="XYZ Ltd"/>
    <x v="5"/>
    <s v="Microwave"/>
    <n v="40"/>
    <n v="38630.29"/>
    <n v="1545211.6"/>
    <n v="122415.29"/>
    <n v="0"/>
    <n v="1422796.31"/>
    <s v="Cancelled"/>
    <s v="Pending"/>
  </r>
  <r>
    <s v="INV-2026-02344"/>
    <x v="68"/>
    <s v="North"/>
    <s v="Jaipur"/>
    <s v="Direct Sales"/>
    <s v="Kavita Nair"/>
    <s v="Nexus Ltd"/>
    <x v="1"/>
    <s v="Bookshelf"/>
    <n v="9"/>
    <n v="37846.81"/>
    <n v="340621.29"/>
    <n v="25529.06"/>
    <n v="6077.81"/>
    <n v="309014.42"/>
    <s v="Completed"/>
    <s v="Paid"/>
  </r>
  <r>
    <s v="INV-2026-02345"/>
    <x v="22"/>
    <s v="Central"/>
    <s v="Raipur"/>
    <s v="Direct Sales"/>
    <s v="Kavita Nair"/>
    <s v="XYZ Ltd"/>
    <x v="3"/>
    <s v="Smartphone"/>
    <n v="1"/>
    <n v="37001.089999999997"/>
    <n v="37001.089999999997"/>
    <n v="1378.89"/>
    <n v="0"/>
    <n v="35622.199999999997"/>
    <s v="Processing"/>
    <s v="Pending"/>
  </r>
  <r>
    <s v="INV-2026-02346"/>
    <x v="43"/>
    <s v="East"/>
    <s v="Bhubaneswar"/>
    <s v="Retail Store"/>
    <s v="Sneha Reddy"/>
    <s v="Elite Enterprises"/>
    <x v="0"/>
    <s v="Notebook"/>
    <n v="41"/>
    <n v="42426.64"/>
    <n v="1739492.24"/>
    <n v="221529.16"/>
    <n v="0"/>
    <n v="1517963.08"/>
    <s v="Completed"/>
    <s v="Paid"/>
  </r>
  <r>
    <s v="INV-2026-02347"/>
    <x v="74"/>
    <s v="South"/>
    <s v="Hyderabad"/>
    <s v="Online"/>
    <s v="Amit Kumar"/>
    <s v="Future Tech"/>
    <x v="5"/>
    <s v="TV"/>
    <n v="16"/>
    <n v="8947.6200000000008"/>
    <n v="143161.92000000001"/>
    <n v="27258.11"/>
    <n v="0"/>
    <n v="115903.81"/>
    <s v="Processing"/>
    <s v="Pending"/>
  </r>
  <r>
    <s v="INV-2026-02348"/>
    <x v="74"/>
    <s v="East"/>
    <s v="Guwahati"/>
    <s v="Retail Store"/>
    <s v="Anita Desai"/>
    <s v="Elite Enterprises"/>
    <x v="3"/>
    <s v="Smartphone"/>
    <n v="50"/>
    <n v="21243.74"/>
    <n v="1062187"/>
    <n v="178538.6"/>
    <n v="220571.33"/>
    <n v="663077.06999999995"/>
    <s v="Cancelled"/>
    <s v="Pending"/>
  </r>
  <r>
    <s v="INV-2026-02349"/>
    <x v="40"/>
    <s v="North"/>
    <s v="Jaipur"/>
    <s v="Distributor"/>
    <s v="Vijay Singh"/>
    <s v="Prime Retail"/>
    <x v="3"/>
    <s v="Laptop"/>
    <n v="24"/>
    <n v="37309.050000000003"/>
    <n v="895417.2"/>
    <n v="170703.84"/>
    <n v="0"/>
    <n v="724713.36"/>
    <s v="Cancelled"/>
    <s v="Pending"/>
  </r>
  <r>
    <s v="INV-2026-02350"/>
    <x v="25"/>
    <s v="Central"/>
    <s v="Raipur"/>
    <s v="Online"/>
    <s v="Kavita Nair"/>
    <s v="Global Traders"/>
    <x v="0"/>
    <s v="Whiteboard"/>
    <n v="3"/>
    <n v="9332.2000000000007"/>
    <n v="27996.6"/>
    <n v="0"/>
    <n v="0"/>
    <n v="27996.6"/>
    <s v="Completed"/>
    <s v="Paid"/>
  </r>
  <r>
    <s v="INV-2026-02351"/>
    <x v="86"/>
    <s v="North"/>
    <s v="Delhi"/>
    <s v="Online"/>
    <s v="Rahul Sharma"/>
    <s v="Elite Enterprises"/>
    <x v="2"/>
    <s v="Bicycle"/>
    <n v="40"/>
    <n v="6749.53"/>
    <n v="269981.2"/>
    <n v="2883.71"/>
    <n v="61476.49"/>
    <n v="205621"/>
    <s v="Processing"/>
    <s v="Pending"/>
  </r>
  <r>
    <s v="INV-2026-02352"/>
    <x v="19"/>
    <s v="East"/>
    <s v="Bhubaneswar"/>
    <s v="Online"/>
    <s v="Anita Desai"/>
    <s v="Global Traders"/>
    <x v="2"/>
    <s v="Bicycle"/>
    <n v="45"/>
    <n v="48276.79"/>
    <n v="2172455.5499999998"/>
    <n v="182322.27"/>
    <n v="0"/>
    <n v="1990133.28"/>
    <s v="Processing"/>
    <s v="Paid"/>
  </r>
  <r>
    <s v="INV-2026-02353"/>
    <x v="53"/>
    <s v="Central"/>
    <s v="Bhopal"/>
    <s v="Distributor"/>
    <s v="Suresh Gupta"/>
    <s v="Nexus Ltd"/>
    <x v="4"/>
    <s v="Formal Shirt"/>
    <n v="26"/>
    <n v="44993.01"/>
    <n v="1169818.26"/>
    <n v="0"/>
    <n v="0"/>
    <n v="1169818.26"/>
    <s v="Processing"/>
    <s v="Pending"/>
  </r>
  <r>
    <s v="INV-2026-02354"/>
    <x v="39"/>
    <s v="South"/>
    <s v="Hyderabad"/>
    <s v="Retail Store"/>
    <s v="Suresh Gupta"/>
    <s v="Nexus Ltd"/>
    <x v="5"/>
    <s v="TV"/>
    <n v="28"/>
    <n v="4850.3599999999997"/>
    <n v="135810.07999999999"/>
    <n v="22784.29"/>
    <n v="0"/>
    <n v="113025.79"/>
    <s v="Completed"/>
    <s v="Paid"/>
  </r>
  <r>
    <s v="INV-2026-02355"/>
    <x v="69"/>
    <s v="Central"/>
    <s v="Indore"/>
    <s v="Distributor"/>
    <s v="Rahul Sharma"/>
    <s v="Nexus Ltd"/>
    <x v="3"/>
    <s v="Camera"/>
    <n v="9"/>
    <n v="36298.76"/>
    <n v="326688.84000000003"/>
    <n v="0"/>
    <n v="0"/>
    <n v="326688.84000000003"/>
    <s v="Completed"/>
    <s v="Pending"/>
  </r>
  <r>
    <s v="INV-2026-02356"/>
    <x v="20"/>
    <s v="South"/>
    <s v="Hyderabad"/>
    <s v="Direct Sales"/>
    <s v="Amit Kumar"/>
    <s v="ABC Corp"/>
    <x v="4"/>
    <s v="Shoes"/>
    <n v="26"/>
    <n v="38965.75"/>
    <n v="1013109.5"/>
    <n v="0"/>
    <n v="186430.79"/>
    <n v="826678.71"/>
    <s v="Completed"/>
    <s v="Paid"/>
  </r>
  <r>
    <s v="INV-2026-02357"/>
    <x v="88"/>
    <s v="West"/>
    <s v="Mumbai"/>
    <s v="Distributor"/>
    <s v="Anita Desai"/>
    <s v="Global Traders"/>
    <x v="5"/>
    <s v="Washing Machine"/>
    <n v="23"/>
    <n v="28184.67"/>
    <n v="648247.41"/>
    <n v="11555.46"/>
    <n v="0"/>
    <n v="636691.94999999995"/>
    <s v="Completed"/>
    <s v="Paid"/>
  </r>
  <r>
    <s v="INV-2026-02358"/>
    <x v="76"/>
    <s v="Central"/>
    <s v="Raipur"/>
    <s v="Retail Store"/>
    <s v="Sneha Reddy"/>
    <s v="Nexus Ltd"/>
    <x v="5"/>
    <s v="Vacuum Cleaner"/>
    <n v="46"/>
    <n v="28115.040000000001"/>
    <n v="1293291.8400000001"/>
    <n v="206587.6"/>
    <n v="0"/>
    <n v="1086704.24"/>
    <s v="Processing"/>
    <s v="Pending"/>
  </r>
  <r>
    <s v="INV-2026-02359"/>
    <x v="12"/>
    <s v="North"/>
    <s v="Jaipur"/>
    <s v="Distributor"/>
    <s v="Vijay Singh"/>
    <s v="Elite Enterprises"/>
    <x v="3"/>
    <s v="Camera"/>
    <n v="28"/>
    <n v="24701.19"/>
    <n v="691633.32"/>
    <n v="0"/>
    <n v="0"/>
    <n v="691633.32"/>
    <s v="Pending"/>
    <s v="Paid"/>
  </r>
  <r>
    <s v="INV-2026-02360"/>
    <x v="56"/>
    <s v="Central"/>
    <s v="Raipur"/>
    <s v="Distributor"/>
    <s v="Suresh Gupta"/>
    <s v="Prime Retail"/>
    <x v="3"/>
    <s v="Camera"/>
    <n v="32"/>
    <n v="5490.46"/>
    <n v="175694.72"/>
    <n v="0"/>
    <n v="24178.9"/>
    <n v="151515.82"/>
    <s v="Cancelled"/>
    <s v="Pending"/>
  </r>
  <r>
    <s v="INV-2026-02361"/>
    <x v="82"/>
    <s v="West"/>
    <s v="Pune"/>
    <s v="Distributor"/>
    <s v="Vijay Singh"/>
    <s v="ABC Corp"/>
    <x v="5"/>
    <s v="Refrigerator"/>
    <n v="26"/>
    <n v="21336.1"/>
    <n v="554738.6"/>
    <n v="56762.22"/>
    <n v="120859.49"/>
    <n v="377116.89"/>
    <s v="Completed"/>
    <s v="Paid"/>
  </r>
  <r>
    <s v="INV-2026-02362"/>
    <x v="59"/>
    <s v="West"/>
    <s v="Pune"/>
    <s v="Direct Sales"/>
    <s v="Suresh Gupta"/>
    <s v="Metro Mart"/>
    <x v="5"/>
    <s v="Vacuum Cleaner"/>
    <n v="24"/>
    <n v="25608.71"/>
    <n v="614609.04"/>
    <n v="6298.8"/>
    <n v="0"/>
    <n v="608310.24"/>
    <s v="Pending"/>
    <s v="Paid"/>
  </r>
  <r>
    <s v="INV-2026-02363"/>
    <x v="5"/>
    <s v="South"/>
    <s v="Hyderabad"/>
    <s v="Direct Sales"/>
    <s v="Rajesh Verma"/>
    <s v="Omega Stores"/>
    <x v="1"/>
    <s v="Office Chair"/>
    <n v="25"/>
    <n v="21867.66"/>
    <n v="546691.5"/>
    <n v="33218.39"/>
    <n v="140029.12"/>
    <n v="373443.99"/>
    <s v="Completed"/>
    <s v="Paid"/>
  </r>
  <r>
    <s v="INV-2026-02364"/>
    <x v="4"/>
    <s v="West"/>
    <s v="Mumbai"/>
    <s v="Distributor"/>
    <s v="Amit Kumar"/>
    <s v="Digital Hub"/>
    <x v="3"/>
    <s v="Headphones"/>
    <n v="3"/>
    <n v="46510.04"/>
    <n v="139530.12"/>
    <n v="26380.35"/>
    <n v="0"/>
    <n v="113149.77"/>
    <s v="Cancelled"/>
    <s v="Pending"/>
  </r>
  <r>
    <s v="INV-2026-02365"/>
    <x v="25"/>
    <s v="East"/>
    <s v="Guwahati"/>
    <s v="Online"/>
    <s v="Sneha Reddy"/>
    <s v="Prime Retail"/>
    <x v="0"/>
    <s v="Whiteboard"/>
    <n v="35"/>
    <n v="49720.67"/>
    <n v="1740223.45"/>
    <n v="130207.08"/>
    <n v="0"/>
    <n v="1610016.37"/>
    <s v="Cancelled"/>
    <s v="Pending"/>
  </r>
  <r>
    <s v="INV-2026-02366"/>
    <x v="21"/>
    <s v="West"/>
    <s v="Pune"/>
    <s v="Online"/>
    <s v="Rajesh Verma"/>
    <s v="Omega Stores"/>
    <x v="4"/>
    <s v="T-Shirt"/>
    <n v="24"/>
    <n v="25864.06"/>
    <n v="620737.43999999994"/>
    <n v="66133"/>
    <n v="0"/>
    <n v="554604.43999999994"/>
    <s v="Cancelled"/>
    <s v="Pending"/>
  </r>
  <r>
    <s v="INV-2026-02367"/>
    <x v="81"/>
    <s v="North"/>
    <s v="Jaipur"/>
    <s v="Retail Store"/>
    <s v="Kavita Nair"/>
    <s v="Global Traders"/>
    <x v="0"/>
    <s v="Desk Organizer"/>
    <n v="49"/>
    <n v="7647.31"/>
    <n v="374718.19"/>
    <n v="45442.92"/>
    <n v="41456.21"/>
    <n v="287819.06"/>
    <s v="Completed"/>
    <s v="Paid"/>
  </r>
  <r>
    <s v="INV-2026-02368"/>
    <x v="89"/>
    <s v="South"/>
    <s v="Kochi"/>
    <s v="Retail Store"/>
    <s v="Amit Kumar"/>
    <s v="ABC Corp"/>
    <x v="5"/>
    <s v="Vacuum Cleaner"/>
    <n v="17"/>
    <n v="33276.65"/>
    <n v="565703.05000000005"/>
    <n v="0"/>
    <n v="0"/>
    <n v="565703.05000000005"/>
    <s v="Processing"/>
    <s v="Pending"/>
  </r>
  <r>
    <s v="INV-2026-02369"/>
    <x v="18"/>
    <s v="North"/>
    <s v="Delhi"/>
    <s v="Distributor"/>
    <s v="Meera Joshi"/>
    <s v="Tech Solutions"/>
    <x v="1"/>
    <s v="Conference Table"/>
    <n v="2"/>
    <n v="7446.11"/>
    <n v="14892.22"/>
    <n v="0"/>
    <n v="0"/>
    <n v="14892.22"/>
    <s v="Cancelled"/>
    <s v="Pending"/>
  </r>
  <r>
    <s v="INV-2026-02370"/>
    <x v="27"/>
    <s v="North"/>
    <s v="Chandigarh"/>
    <s v="Online"/>
    <s v="Amit Kumar"/>
    <s v="ABC Corp"/>
    <x v="2"/>
    <s v="Gym Equipment"/>
    <n v="32"/>
    <n v="28355.56"/>
    <n v="907377.92"/>
    <n v="142245.93"/>
    <n v="0"/>
    <n v="765131.99"/>
    <s v="Processing"/>
    <s v="Pending"/>
  </r>
  <r>
    <s v="INV-2026-02371"/>
    <x v="64"/>
    <s v="North"/>
    <s v="Chandigarh"/>
    <s v="Direct Sales"/>
    <s v="Rahul Sharma"/>
    <s v="Elite Enterprises"/>
    <x v="0"/>
    <s v="Whiteboard"/>
    <n v="26"/>
    <n v="42939.71"/>
    <n v="1116432.46"/>
    <n v="0"/>
    <n v="0"/>
    <n v="1116432.46"/>
    <s v="Processing"/>
    <s v="Paid"/>
  </r>
  <r>
    <s v="INV-2026-02372"/>
    <x v="12"/>
    <s v="East"/>
    <s v="Guwahati"/>
    <s v="Distributor"/>
    <s v="Anita Desai"/>
    <s v="Omega Stores"/>
    <x v="1"/>
    <s v="Conference Table"/>
    <n v="22"/>
    <n v="40835.78"/>
    <n v="898387.16"/>
    <n v="84591.08"/>
    <n v="0"/>
    <n v="813796.08"/>
    <s v="Cancelled"/>
    <s v="Pending"/>
  </r>
  <r>
    <s v="INV-2026-02373"/>
    <x v="17"/>
    <s v="West"/>
    <s v="Surat"/>
    <s v="Retail Store"/>
    <s v="Amit Kumar"/>
    <s v="Future Tech"/>
    <x v="4"/>
    <s v="Jacket"/>
    <n v="32"/>
    <n v="29730.26"/>
    <n v="951368.32"/>
    <n v="48892.54"/>
    <n v="0"/>
    <n v="902475.78"/>
    <s v="Processing"/>
    <s v="Paid"/>
  </r>
  <r>
    <s v="INV-2026-02374"/>
    <x v="89"/>
    <s v="Central"/>
    <s v="Nagpur"/>
    <s v="Distributor"/>
    <s v="Rajesh Verma"/>
    <s v="Prime Retail"/>
    <x v="0"/>
    <s v="Printer Paper"/>
    <n v="30"/>
    <n v="43054.7"/>
    <n v="1291641"/>
    <n v="0"/>
    <n v="0"/>
    <n v="1291641"/>
    <s v="Processing"/>
    <s v="Paid"/>
  </r>
  <r>
    <s v="INV-2026-02375"/>
    <x v="24"/>
    <s v="West"/>
    <s v="Mumbai"/>
    <s v="Distributor"/>
    <s v="Amit Kumar"/>
    <s v="Omega Stores"/>
    <x v="0"/>
    <s v="Desk Organizer"/>
    <n v="47"/>
    <n v="39682.400000000001"/>
    <n v="1865072.8"/>
    <n v="0"/>
    <n v="0"/>
    <n v="1865072.8"/>
    <s v="Processing"/>
    <s v="Pending"/>
  </r>
  <r>
    <s v="INV-2026-02376"/>
    <x v="32"/>
    <s v="East"/>
    <s v="Guwahati"/>
    <s v="Distributor"/>
    <s v="Kavita Nair"/>
    <s v="Digital Hub"/>
    <x v="0"/>
    <s v="Desk Organizer"/>
    <n v="47"/>
    <n v="40910.79"/>
    <n v="1922807.13"/>
    <n v="0"/>
    <n v="0"/>
    <n v="1922807.13"/>
    <s v="Pending"/>
    <s v="Pending"/>
  </r>
  <r>
    <s v="INV-2026-02377"/>
    <x v="54"/>
    <s v="South"/>
    <s v="Bangalore"/>
    <s v="Direct Sales"/>
    <s v="Priya Patel"/>
    <s v="Alpha Trading"/>
    <x v="2"/>
    <s v="Tennis Racket"/>
    <n v="50"/>
    <n v="23829.11"/>
    <n v="1191455.5"/>
    <n v="0"/>
    <n v="0"/>
    <n v="1191455.5"/>
    <s v="Cancelled"/>
    <s v="Pending"/>
  </r>
  <r>
    <s v="INV-2026-02378"/>
    <x v="46"/>
    <s v="Central"/>
    <s v="Nagpur"/>
    <s v="Online"/>
    <s v="Kavita Nair"/>
    <s v="Nexus Ltd"/>
    <x v="3"/>
    <s v="Headphones"/>
    <n v="30"/>
    <n v="34225.15"/>
    <n v="1026754.5"/>
    <n v="168433.98"/>
    <n v="0"/>
    <n v="858320.52"/>
    <s v="Completed"/>
    <s v="Paid"/>
  </r>
  <r>
    <s v="INV-2026-02379"/>
    <x v="28"/>
    <s v="West"/>
    <s v="Surat"/>
    <s v="Online"/>
    <s v="Rahul Sharma"/>
    <s v="Digital Hub"/>
    <x v="0"/>
    <s v="Desk Organizer"/>
    <n v="1"/>
    <n v="46678.36"/>
    <n v="46678.36"/>
    <n v="8919.9500000000007"/>
    <n v="0"/>
    <n v="37758.410000000003"/>
    <s v="Processing"/>
    <s v="Paid"/>
  </r>
  <r>
    <s v="INV-2026-02380"/>
    <x v="50"/>
    <s v="North"/>
    <s v="Delhi"/>
    <s v="Online"/>
    <s v="Amit Kumar"/>
    <s v="Omega Stores"/>
    <x v="3"/>
    <s v="Smart Watch"/>
    <n v="8"/>
    <n v="36723.089999999997"/>
    <n v="293784.71999999997"/>
    <n v="0"/>
    <n v="0"/>
    <n v="293784.71999999997"/>
    <s v="Pending"/>
    <s v="Pending"/>
  </r>
  <r>
    <s v="INV-2026-02381"/>
    <x v="53"/>
    <s v="North"/>
    <s v="Jaipur"/>
    <s v="Distributor"/>
    <s v="Rahul Sharma"/>
    <s v="Skyline Corp"/>
    <x v="2"/>
    <s v="Football"/>
    <n v="19"/>
    <n v="5737.3"/>
    <n v="109008.7"/>
    <n v="14525.18"/>
    <n v="0"/>
    <n v="94483.520000000004"/>
    <s v="Completed"/>
    <s v="Paid"/>
  </r>
  <r>
    <s v="INV-2026-02382"/>
    <x v="88"/>
    <s v="South"/>
    <s v="Hyderabad"/>
    <s v="Online"/>
    <s v="Rahul Sharma"/>
    <s v="Omega Stores"/>
    <x v="1"/>
    <s v="Bookshelf"/>
    <n v="5"/>
    <n v="6214.75"/>
    <n v="31073.75"/>
    <n v="0"/>
    <n v="0"/>
    <n v="31073.75"/>
    <s v="Pending"/>
    <s v="Pending"/>
  </r>
  <r>
    <s v="INV-2026-02383"/>
    <x v="85"/>
    <s v="East"/>
    <s v="Kolkata"/>
    <s v="Distributor"/>
    <s v="Anita Desai"/>
    <s v="Metro Mart"/>
    <x v="5"/>
    <s v="Refrigerator"/>
    <n v="38"/>
    <n v="39611.269999999997"/>
    <n v="1505228.26"/>
    <n v="0"/>
    <n v="0"/>
    <n v="1505228.26"/>
    <s v="Processing"/>
    <s v="Paid"/>
  </r>
  <r>
    <s v="INV-2026-02384"/>
    <x v="78"/>
    <s v="North"/>
    <s v="Delhi"/>
    <s v="Distributor"/>
    <s v="Meera Joshi"/>
    <s v="Future Tech"/>
    <x v="1"/>
    <s v="Conference Table"/>
    <n v="29"/>
    <n v="36584.949999999997"/>
    <n v="1060963.55"/>
    <n v="0"/>
    <n v="0"/>
    <n v="1060963.55"/>
    <s v="Completed"/>
    <s v="Paid"/>
  </r>
  <r>
    <s v="INV-2026-02385"/>
    <x v="44"/>
    <s v="West"/>
    <s v="Mumbai"/>
    <s v="Distributor"/>
    <s v="Anita Desai"/>
    <s v="ABC Corp"/>
    <x v="5"/>
    <s v="Washing Machine"/>
    <n v="26"/>
    <n v="15934.66"/>
    <n v="414301.16"/>
    <n v="54541.05"/>
    <n v="0"/>
    <n v="359760.11"/>
    <s v="Cancelled"/>
    <s v="Pending"/>
  </r>
  <r>
    <s v="INV-2026-02386"/>
    <x v="23"/>
    <s v="Central"/>
    <s v="Indore"/>
    <s v="Online"/>
    <s v="Amit Kumar"/>
    <s v="ABC Corp"/>
    <x v="4"/>
    <s v="Formal Shirt"/>
    <n v="20"/>
    <n v="10435.879999999999"/>
    <n v="208717.6"/>
    <n v="41335.06"/>
    <n v="0"/>
    <n v="167382.54"/>
    <s v="Cancelled"/>
    <s v="Pending"/>
  </r>
  <r>
    <s v="INV-2026-02387"/>
    <x v="61"/>
    <s v="South"/>
    <s v="Bangalore"/>
    <s v="Online"/>
    <s v="Rahul Sharma"/>
    <s v="Nexus Ltd"/>
    <x v="1"/>
    <s v="Office Chair"/>
    <n v="19"/>
    <n v="40895.089999999997"/>
    <n v="777006.71"/>
    <n v="0"/>
    <n v="0"/>
    <n v="777006.71"/>
    <s v="Cancelled"/>
    <s v="Pending"/>
  </r>
  <r>
    <s v="INV-2026-02388"/>
    <x v="68"/>
    <s v="West"/>
    <s v="Ahmedabad"/>
    <s v="Distributor"/>
    <s v="Suresh Gupta"/>
    <s v="Alpha Trading"/>
    <x v="2"/>
    <s v="Football"/>
    <n v="11"/>
    <n v="17420.36"/>
    <n v="191623.96"/>
    <n v="17425.29"/>
    <n v="0"/>
    <n v="174198.67"/>
    <s v="Completed"/>
    <s v="Paid"/>
  </r>
  <r>
    <s v="INV-2026-02389"/>
    <x v="47"/>
    <s v="East"/>
    <s v="Patna"/>
    <s v="Retail Store"/>
    <s v="Vijay Singh"/>
    <s v="Alpha Trading"/>
    <x v="5"/>
    <s v="Microwave"/>
    <n v="34"/>
    <n v="25434.41"/>
    <n v="864769.94"/>
    <n v="44687.91"/>
    <n v="0"/>
    <n v="820082.03"/>
    <s v="Pending"/>
    <s v="Paid"/>
  </r>
  <r>
    <s v="INV-2026-02390"/>
    <x v="41"/>
    <s v="North"/>
    <s v="Lucknow"/>
    <s v="Retail Store"/>
    <s v="Kavita Nair"/>
    <s v="ABC Corp"/>
    <x v="4"/>
    <s v="Dress"/>
    <n v="34"/>
    <n v="49896.57"/>
    <n v="1696483.38"/>
    <n v="132171.35999999999"/>
    <n v="282618.69"/>
    <n v="1281693.33"/>
    <s v="Completed"/>
    <s v="Paid"/>
  </r>
  <r>
    <s v="INV-2026-02391"/>
    <x v="30"/>
    <s v="West"/>
    <s v="Mumbai"/>
    <s v="Distributor"/>
    <s v="Rahul Sharma"/>
    <s v="Urban Store"/>
    <x v="1"/>
    <s v="Cabinet"/>
    <n v="22"/>
    <n v="36498.980000000003"/>
    <n v="802977.56"/>
    <n v="0"/>
    <n v="0"/>
    <n v="802977.56"/>
    <s v="Cancelled"/>
    <s v="Pending"/>
  </r>
  <r>
    <s v="INV-2026-02392"/>
    <x v="38"/>
    <s v="South"/>
    <s v="Chennai"/>
    <s v="Online"/>
    <s v="Priya Patel"/>
    <s v="Global Traders"/>
    <x v="1"/>
    <s v="Conference Table"/>
    <n v="3"/>
    <n v="48624.75"/>
    <n v="145874.25"/>
    <n v="0"/>
    <n v="0"/>
    <n v="145874.25"/>
    <s v="Completed"/>
    <s v="Paid"/>
  </r>
  <r>
    <s v="INV-2026-02393"/>
    <x v="63"/>
    <s v="North"/>
    <s v="Delhi"/>
    <s v="Retail Store"/>
    <s v="Priya Patel"/>
    <s v="Alpha Trading"/>
    <x v="3"/>
    <s v="Headphones"/>
    <n v="12"/>
    <n v="11920.02"/>
    <n v="143040.24"/>
    <n v="13348.4"/>
    <n v="0"/>
    <n v="129691.84"/>
    <s v="Processing"/>
    <s v="Pending"/>
  </r>
  <r>
    <s v="INV-2026-02394"/>
    <x v="27"/>
    <s v="Central"/>
    <s v="Bhopal"/>
    <s v="Retail Store"/>
    <s v="Rajesh Verma"/>
    <s v="Prime Retail"/>
    <x v="1"/>
    <s v="Cabinet"/>
    <n v="32"/>
    <n v="16838.849999999999"/>
    <n v="538843.19999999995"/>
    <n v="82714.080000000002"/>
    <n v="0"/>
    <n v="456129.12"/>
    <s v="Cancelled"/>
    <s v="Pending"/>
  </r>
  <r>
    <s v="INV-2026-02395"/>
    <x v="7"/>
    <s v="North"/>
    <s v="Delhi"/>
    <s v="Direct Sales"/>
    <s v="Kavita Nair"/>
    <s v="Future Tech"/>
    <x v="0"/>
    <s v="Whiteboard"/>
    <n v="22"/>
    <n v="36292.129999999997"/>
    <n v="798426.86"/>
    <n v="147341.37"/>
    <n v="0"/>
    <n v="651085.49"/>
    <s v="Processing"/>
    <s v="Paid"/>
  </r>
  <r>
    <s v="INV-2026-02396"/>
    <x v="65"/>
    <s v="East"/>
    <s v="Bhubaneswar"/>
    <s v="Distributor"/>
    <s v="Suresh Gupta"/>
    <s v="Skyline Corp"/>
    <x v="2"/>
    <s v="Bicycle"/>
    <n v="4"/>
    <n v="19575.68"/>
    <n v="78302.720000000001"/>
    <n v="230.65"/>
    <n v="0"/>
    <n v="78072.070000000007"/>
    <s v="Completed"/>
    <s v="Paid"/>
  </r>
  <r>
    <s v="INV-2026-02397"/>
    <x v="24"/>
    <s v="West"/>
    <s v="Surat"/>
    <s v="Distributor"/>
    <s v="Amit Kumar"/>
    <s v="Global Traders"/>
    <x v="0"/>
    <s v="Printer Paper"/>
    <n v="49"/>
    <n v="11870.87"/>
    <n v="581672.63"/>
    <n v="72001.289999999994"/>
    <n v="0"/>
    <n v="509671.34"/>
    <s v="Processing"/>
    <s v="Paid"/>
  </r>
  <r>
    <s v="INV-2026-02398"/>
    <x v="72"/>
    <s v="Central"/>
    <s v="Bhopal"/>
    <s v="Distributor"/>
    <s v="Suresh Gupta"/>
    <s v="Tech Solutions"/>
    <x v="5"/>
    <s v="Vacuum Cleaner"/>
    <n v="41"/>
    <n v="14720.57"/>
    <n v="603543.37"/>
    <n v="13511.43"/>
    <n v="0"/>
    <n v="590031.93999999994"/>
    <s v="Processing"/>
    <s v="Pending"/>
  </r>
  <r>
    <s v="INV-2026-02399"/>
    <x v="22"/>
    <s v="East"/>
    <s v="Bhubaneswar"/>
    <s v="Distributor"/>
    <s v="Rajesh Verma"/>
    <s v="Skyline Corp"/>
    <x v="0"/>
    <s v="Desk Organizer"/>
    <n v="35"/>
    <n v="7430.23"/>
    <n v="260058.05"/>
    <n v="26892.52"/>
    <n v="0"/>
    <n v="233165.53"/>
    <s v="Completed"/>
    <s v="Paid"/>
  </r>
  <r>
    <s v="INV-2026-02400"/>
    <x v="62"/>
    <s v="South"/>
    <s v="Bangalore"/>
    <s v="Retail Store"/>
    <s v="Sneha Reddy"/>
    <s v="Elite Enterprises"/>
    <x v="5"/>
    <s v="TV"/>
    <n v="36"/>
    <n v="48891.59"/>
    <n v="1760097.24"/>
    <n v="0"/>
    <n v="355896.45"/>
    <n v="1404200.79"/>
    <s v="Completed"/>
    <s v="Paid"/>
  </r>
  <r>
    <s v="INV-2026-02401"/>
    <x v="20"/>
    <s v="South"/>
    <s v="Chennai"/>
    <s v="Retail Store"/>
    <s v="Sneha Reddy"/>
    <s v="Prime Retail"/>
    <x v="2"/>
    <s v="Football"/>
    <n v="2"/>
    <n v="23537.73"/>
    <n v="47075.46"/>
    <n v="0"/>
    <n v="0"/>
    <n v="47075.46"/>
    <s v="Cancelled"/>
    <s v="Pending"/>
  </r>
  <r>
    <s v="INV-2026-02402"/>
    <x v="77"/>
    <s v="East"/>
    <s v="Bhubaneswar"/>
    <s v="Retail Store"/>
    <s v="Amit Kumar"/>
    <s v="Alpha Trading"/>
    <x v="4"/>
    <s v="Jacket"/>
    <n v="45"/>
    <n v="25631.63"/>
    <n v="1153423.3500000001"/>
    <n v="26114.52"/>
    <n v="0"/>
    <n v="1127308.83"/>
    <s v="Pending"/>
    <s v="Pending"/>
  </r>
  <r>
    <s v="INV-2026-02403"/>
    <x v="18"/>
    <s v="East"/>
    <s v="Kolkata"/>
    <s v="Distributor"/>
    <s v="Anita Desai"/>
    <s v="Prime Retail"/>
    <x v="3"/>
    <s v="Tablet"/>
    <n v="1"/>
    <n v="37583.74"/>
    <n v="37583.74"/>
    <n v="1388.48"/>
    <n v="0"/>
    <n v="36195.26"/>
    <s v="Processing"/>
    <s v="Pending"/>
  </r>
  <r>
    <s v="INV-2026-02404"/>
    <x v="4"/>
    <s v="West"/>
    <s v="Mumbai"/>
    <s v="Distributor"/>
    <s v="Sneha Reddy"/>
    <s v="Future Tech"/>
    <x v="2"/>
    <s v="Football"/>
    <n v="27"/>
    <n v="5969.92"/>
    <n v="161187.84"/>
    <n v="0"/>
    <n v="0"/>
    <n v="161187.84"/>
    <s v="Completed"/>
    <s v="Paid"/>
  </r>
  <r>
    <s v="INV-2026-02405"/>
    <x v="24"/>
    <s v="Central"/>
    <s v="Nagpur"/>
    <s v="Online"/>
    <s v="Anita Desai"/>
    <s v="Global Traders"/>
    <x v="0"/>
    <s v="File Folder"/>
    <n v="11"/>
    <n v="40636.71"/>
    <n v="447003.81"/>
    <n v="73309.929999999993"/>
    <n v="0"/>
    <n v="373693.88"/>
    <s v="Processing"/>
    <s v="Pending"/>
  </r>
  <r>
    <s v="INV-2026-02406"/>
    <x v="7"/>
    <s v="South"/>
    <s v="Chennai"/>
    <s v="Online"/>
    <s v="Suresh Gupta"/>
    <s v="Tech Solutions"/>
    <x v="0"/>
    <s v="File Folder"/>
    <n v="17"/>
    <n v="36908.11"/>
    <n v="627437.87"/>
    <n v="71166.009999999995"/>
    <n v="0"/>
    <n v="556271.86"/>
    <s v="Pending"/>
    <s v="Pending"/>
  </r>
  <r>
    <s v="INV-2026-02407"/>
    <x v="32"/>
    <s v="South"/>
    <s v="Kochi"/>
    <s v="Online"/>
    <s v="Amit Kumar"/>
    <s v="Skyline Corp"/>
    <x v="3"/>
    <s v="Smartphone"/>
    <n v="42"/>
    <n v="38362.14"/>
    <n v="1611209.88"/>
    <n v="7230.44"/>
    <n v="175798.12"/>
    <n v="1428181.32"/>
    <s v="Pending"/>
    <s v="Pending"/>
  </r>
  <r>
    <s v="INV-2026-02408"/>
    <x v="61"/>
    <s v="East"/>
    <s v="Kolkata"/>
    <s v="Online"/>
    <s v="Rahul Sharma"/>
    <s v="ABC Corp"/>
    <x v="3"/>
    <s v="Laptop"/>
    <n v="5"/>
    <n v="37086.730000000003"/>
    <n v="185433.65"/>
    <n v="17932.419999999998"/>
    <n v="23708.93"/>
    <n v="143792.29999999999"/>
    <s v="Processing"/>
    <s v="Pending"/>
  </r>
  <r>
    <s v="INV-2026-02409"/>
    <x v="76"/>
    <s v="North"/>
    <s v="Chandigarh"/>
    <s v="Direct Sales"/>
    <s v="Kavita Nair"/>
    <s v="Future Tech"/>
    <x v="1"/>
    <s v="Conference Table"/>
    <n v="16"/>
    <n v="38444.74"/>
    <n v="615115.84"/>
    <n v="0"/>
    <n v="0"/>
    <n v="615115.84"/>
    <s v="Cancelled"/>
    <s v="Pending"/>
  </r>
  <r>
    <s v="INV-2026-02410"/>
    <x v="29"/>
    <s v="West"/>
    <s v="Mumbai"/>
    <s v="Retail Store"/>
    <s v="Amit Kumar"/>
    <s v="Omega Stores"/>
    <x v="0"/>
    <s v="Pen Set"/>
    <n v="1"/>
    <n v="5558.83"/>
    <n v="5558.83"/>
    <n v="678.58"/>
    <n v="0"/>
    <n v="4880.25"/>
    <s v="Processing"/>
    <s v="Pending"/>
  </r>
  <r>
    <s v="INV-2026-02411"/>
    <x v="52"/>
    <s v="West"/>
    <s v="Ahmedabad"/>
    <s v="Distributor"/>
    <s v="Vijay Singh"/>
    <s v="Digital Hub"/>
    <x v="4"/>
    <s v="Formal Shirt"/>
    <n v="19"/>
    <n v="23186.31"/>
    <n v="440539.89"/>
    <n v="34034.129999999997"/>
    <n v="0"/>
    <n v="406505.76"/>
    <s v="Pending"/>
    <s v="Pending"/>
  </r>
  <r>
    <s v="INV-2026-02412"/>
    <x v="58"/>
    <s v="East"/>
    <s v="Patna"/>
    <s v="Direct Sales"/>
    <s v="Kavita Nair"/>
    <s v="Prime Retail"/>
    <x v="1"/>
    <s v="Bookshelf"/>
    <n v="35"/>
    <n v="31942.32"/>
    <n v="1117981.2"/>
    <n v="150280.51999999999"/>
    <n v="0"/>
    <n v="967700.68"/>
    <s v="Pending"/>
    <s v="Pending"/>
  </r>
  <r>
    <s v="INV-2026-02413"/>
    <x v="4"/>
    <s v="West"/>
    <s v="Ahmedabad"/>
    <s v="Direct Sales"/>
    <s v="Rajesh Verma"/>
    <s v="Elite Enterprises"/>
    <x v="2"/>
    <s v="Gym Equipment"/>
    <n v="2"/>
    <n v="43474.43"/>
    <n v="86948.86"/>
    <n v="0"/>
    <n v="0"/>
    <n v="86948.86"/>
    <s v="Cancelled"/>
    <s v="Pending"/>
  </r>
  <r>
    <s v="INV-2026-02414"/>
    <x v="19"/>
    <s v="North"/>
    <s v="Delhi"/>
    <s v="Direct Sales"/>
    <s v="Vijay Singh"/>
    <s v="Smart Systems"/>
    <x v="4"/>
    <s v="Jacket"/>
    <n v="46"/>
    <n v="49795.87"/>
    <n v="2290610.02"/>
    <n v="327891.3"/>
    <n v="0"/>
    <n v="1962718.72"/>
    <s v="Cancelled"/>
    <s v="Pending"/>
  </r>
  <r>
    <s v="INV-2026-02415"/>
    <x v="65"/>
    <s v="Central"/>
    <s v="Nagpur"/>
    <s v="Retail Store"/>
    <s v="Anita Desai"/>
    <s v="Digital Hub"/>
    <x v="4"/>
    <s v="T-Shirt"/>
    <n v="38"/>
    <n v="41245.86"/>
    <n v="1567342.68"/>
    <n v="0"/>
    <n v="0"/>
    <n v="1567342.68"/>
    <s v="Processing"/>
    <s v="Paid"/>
  </r>
  <r>
    <s v="INV-2026-02416"/>
    <x v="34"/>
    <s v="South"/>
    <s v="Chennai"/>
    <s v="Distributor"/>
    <s v="Rajesh Verma"/>
    <s v="Urban Store"/>
    <x v="3"/>
    <s v="Headphones"/>
    <n v="8"/>
    <n v="45474.86"/>
    <n v="363798.88"/>
    <n v="65363.17"/>
    <n v="0"/>
    <n v="298435.71000000002"/>
    <s v="Pending"/>
    <s v="Pending"/>
  </r>
  <r>
    <s v="INV-2026-02417"/>
    <x v="23"/>
    <s v="South"/>
    <s v="Hyderabad"/>
    <s v="Retail Store"/>
    <s v="Sneha Reddy"/>
    <s v="Tech Solutions"/>
    <x v="4"/>
    <s v="Dress"/>
    <n v="22"/>
    <n v="48105.42"/>
    <n v="1058319.24"/>
    <n v="155411.15"/>
    <n v="0"/>
    <n v="902908.09"/>
    <s v="Pending"/>
    <s v="Pending"/>
  </r>
  <r>
    <s v="INV-2026-02418"/>
    <x v="46"/>
    <s v="West"/>
    <s v="Ahmedabad"/>
    <s v="Direct Sales"/>
    <s v="Meera Joshi"/>
    <s v="Prime Retail"/>
    <x v="1"/>
    <s v="Conference Table"/>
    <n v="44"/>
    <n v="48603.199999999997"/>
    <n v="2138540.7999999998"/>
    <n v="186190.14"/>
    <n v="59020.71"/>
    <n v="1893329.95"/>
    <s v="Pending"/>
    <s v="Pending"/>
  </r>
  <r>
    <s v="INV-2026-02419"/>
    <x v="58"/>
    <s v="East"/>
    <s v="Bhubaneswar"/>
    <s v="Distributor"/>
    <s v="Anita Desai"/>
    <s v="Prime Retail"/>
    <x v="4"/>
    <s v="T-Shirt"/>
    <n v="34"/>
    <n v="37192.85"/>
    <n v="1264556.8999999999"/>
    <n v="76671.44"/>
    <n v="0"/>
    <n v="1187885.46"/>
    <s v="Cancelled"/>
    <s v="Pending"/>
  </r>
  <r>
    <s v="INV-2026-02420"/>
    <x v="2"/>
    <s v="Central"/>
    <s v="Bhopal"/>
    <s v="Retail Store"/>
    <s v="Suresh Gupta"/>
    <s v="Digital Hub"/>
    <x v="2"/>
    <s v="Yoga Mat"/>
    <n v="37"/>
    <n v="17370.78"/>
    <n v="642718.86"/>
    <n v="0"/>
    <n v="0"/>
    <n v="642718.86"/>
    <s v="Pending"/>
    <s v="Pending"/>
  </r>
  <r>
    <s v="INV-2026-02421"/>
    <x v="62"/>
    <s v="East"/>
    <s v="Guwahati"/>
    <s v="Distributor"/>
    <s v="Vijay Singh"/>
    <s v="Smart Systems"/>
    <x v="1"/>
    <s v="Cabinet"/>
    <n v="37"/>
    <n v="1145.08"/>
    <n v="42367.96"/>
    <n v="0"/>
    <n v="0"/>
    <n v="42367.96"/>
    <s v="Completed"/>
    <s v="Paid"/>
  </r>
  <r>
    <s v="INV-2026-02422"/>
    <x v="66"/>
    <s v="East"/>
    <s v="Kolkata"/>
    <s v="Distributor"/>
    <s v="Meera Joshi"/>
    <s v="Future Tech"/>
    <x v="5"/>
    <s v="Microwave"/>
    <n v="35"/>
    <n v="9999.7900000000009"/>
    <n v="349992.65"/>
    <n v="38516.620000000003"/>
    <n v="0"/>
    <n v="311476.03000000003"/>
    <s v="Pending"/>
    <s v="Pending"/>
  </r>
  <r>
    <s v="INV-2026-02423"/>
    <x v="84"/>
    <s v="Central"/>
    <s v="Raipur"/>
    <s v="Retail Store"/>
    <s v="Sneha Reddy"/>
    <s v="Global Traders"/>
    <x v="3"/>
    <s v="Smartphone"/>
    <n v="13"/>
    <n v="18236.509999999998"/>
    <n v="237074.63"/>
    <n v="2421.77"/>
    <n v="44156.23"/>
    <n v="190496.63"/>
    <s v="Cancelled"/>
    <s v="Pending"/>
  </r>
  <r>
    <s v="INV-2026-02424"/>
    <x v="60"/>
    <s v="West"/>
    <s v="Surat"/>
    <s v="Direct Sales"/>
    <s v="Rahul Sharma"/>
    <s v="Smart Systems"/>
    <x v="2"/>
    <s v="Gym Equipment"/>
    <n v="8"/>
    <n v="44429.23"/>
    <n v="355433.84"/>
    <n v="24263.07"/>
    <n v="0"/>
    <n v="331170.77"/>
    <s v="Processing"/>
    <s v="Pending"/>
  </r>
  <r>
    <s v="INV-2026-02425"/>
    <x v="91"/>
    <s v="West"/>
    <s v="Ahmedabad"/>
    <s v="Direct Sales"/>
    <s v="Anita Desai"/>
    <s v="XYZ Ltd"/>
    <x v="1"/>
    <s v="Desk"/>
    <n v="9"/>
    <n v="14052.32"/>
    <n v="126470.88"/>
    <n v="10339.19"/>
    <n v="0"/>
    <n v="116131.69"/>
    <s v="Cancelled"/>
    <s v="Pending"/>
  </r>
  <r>
    <s v="INV-2026-02426"/>
    <x v="43"/>
    <s v="West"/>
    <s v="Surat"/>
    <s v="Retail Store"/>
    <s v="Meera Joshi"/>
    <s v="XYZ Ltd"/>
    <x v="1"/>
    <s v="Office Chair"/>
    <n v="4"/>
    <n v="47249.72"/>
    <n v="188998.88"/>
    <n v="10886.14"/>
    <n v="0"/>
    <n v="178112.74"/>
    <s v="Cancelled"/>
    <s v="Pending"/>
  </r>
  <r>
    <s v="INV-2026-02427"/>
    <x v="31"/>
    <s v="West"/>
    <s v="Surat"/>
    <s v="Distributor"/>
    <s v="Sneha Reddy"/>
    <s v="Alpha Trading"/>
    <x v="4"/>
    <s v="Shoes"/>
    <n v="17"/>
    <n v="19257.150000000001"/>
    <n v="327371.55"/>
    <n v="5954.94"/>
    <n v="58292.25"/>
    <n v="263124.36"/>
    <s v="Cancelled"/>
    <s v="Pending"/>
  </r>
  <r>
    <s v="INV-2026-02428"/>
    <x v="53"/>
    <s v="West"/>
    <s v="Ahmedabad"/>
    <s v="Online"/>
    <s v="Anita Desai"/>
    <s v="Digital Hub"/>
    <x v="3"/>
    <s v="Headphones"/>
    <n v="25"/>
    <n v="23828.75"/>
    <n v="595718.75"/>
    <n v="90062.62"/>
    <n v="140079.35999999999"/>
    <n v="365576.77"/>
    <s v="Pending"/>
    <s v="Paid"/>
  </r>
  <r>
    <s v="INV-2026-02429"/>
    <x v="14"/>
    <s v="South"/>
    <s v="Bangalore"/>
    <s v="Online"/>
    <s v="Priya Patel"/>
    <s v="ABC Corp"/>
    <x v="1"/>
    <s v="Conference Table"/>
    <n v="47"/>
    <n v="40143.370000000003"/>
    <n v="1886738.39"/>
    <n v="112016.84"/>
    <n v="173384.52"/>
    <n v="1601337.03"/>
    <s v="Cancelled"/>
    <s v="Pending"/>
  </r>
  <r>
    <s v="INV-2026-02430"/>
    <x v="32"/>
    <s v="East"/>
    <s v="Guwahati"/>
    <s v="Retail Store"/>
    <s v="Rajesh Verma"/>
    <s v="XYZ Ltd"/>
    <x v="0"/>
    <s v="Whiteboard"/>
    <n v="18"/>
    <n v="50447.41"/>
    <n v="908053.38"/>
    <n v="67797.149999999994"/>
    <n v="0"/>
    <n v="840256.23"/>
    <s v="Completed"/>
    <s v="Paid"/>
  </r>
  <r>
    <s v="INV-2026-02431"/>
    <x v="38"/>
    <s v="South"/>
    <s v="Bangalore"/>
    <s v="Online"/>
    <s v="Sneha Reddy"/>
    <s v="Global Traders"/>
    <x v="0"/>
    <s v="Printer Paper"/>
    <n v="34"/>
    <n v="30944.42"/>
    <n v="1052110.28"/>
    <n v="0"/>
    <n v="0"/>
    <n v="1052110.28"/>
    <s v="Pending"/>
    <s v="Pending"/>
  </r>
  <r>
    <s v="INV-2026-02432"/>
    <x v="0"/>
    <s v="East"/>
    <s v="Bhubaneswar"/>
    <s v="Online"/>
    <s v="Sneha Reddy"/>
    <s v="Elite Enterprises"/>
    <x v="1"/>
    <s v="Conference Table"/>
    <n v="36"/>
    <n v="48361.74"/>
    <n v="1741022.64"/>
    <n v="82235.98"/>
    <n v="0"/>
    <n v="1658786.66"/>
    <s v="Processing"/>
    <s v="Pending"/>
  </r>
  <r>
    <s v="INV-2026-02433"/>
    <x v="60"/>
    <s v="East"/>
    <s v="Kolkata"/>
    <s v="Distributor"/>
    <s v="Amit Kumar"/>
    <s v="ABC Corp"/>
    <x v="1"/>
    <s v="Office Chair"/>
    <n v="20"/>
    <n v="31075.67"/>
    <n v="621513.4"/>
    <n v="65649.240000000005"/>
    <n v="0"/>
    <n v="555864.16"/>
    <s v="Processing"/>
    <s v="Paid"/>
  </r>
  <r>
    <s v="INV-2026-02434"/>
    <x v="65"/>
    <s v="North"/>
    <s v="Chandigarh"/>
    <s v="Direct Sales"/>
    <s v="Kavita Nair"/>
    <s v="ABC Corp"/>
    <x v="3"/>
    <s v="Laptop"/>
    <n v="32"/>
    <n v="49336.28"/>
    <n v="1578760.96"/>
    <n v="61883.93"/>
    <n v="0"/>
    <n v="1516877.03"/>
    <s v="Cancelled"/>
    <s v="Pending"/>
  </r>
  <r>
    <s v="INV-2026-02435"/>
    <x v="38"/>
    <s v="South"/>
    <s v="Bangalore"/>
    <s v="Distributor"/>
    <s v="Sneha Reddy"/>
    <s v="ABC Corp"/>
    <x v="2"/>
    <s v="Yoga Mat"/>
    <n v="21"/>
    <n v="44727.44"/>
    <n v="939276.24"/>
    <n v="63659.34"/>
    <n v="0"/>
    <n v="875616.9"/>
    <s v="Completed"/>
    <s v="Paid"/>
  </r>
  <r>
    <s v="INV-2026-02436"/>
    <x v="4"/>
    <s v="East"/>
    <s v="Patna"/>
    <s v="Online"/>
    <s v="Vijay Singh"/>
    <s v="Tech Solutions"/>
    <x v="2"/>
    <s v="Gym Equipment"/>
    <n v="27"/>
    <n v="2754.93"/>
    <n v="74383.11"/>
    <n v="0"/>
    <n v="0"/>
    <n v="74383.11"/>
    <s v="Pending"/>
    <s v="Paid"/>
  </r>
  <r>
    <s v="INV-2026-02437"/>
    <x v="22"/>
    <s v="North"/>
    <s v="Chandigarh"/>
    <s v="Retail Store"/>
    <s v="Kavita Nair"/>
    <s v="Smart Systems"/>
    <x v="1"/>
    <s v="Desk"/>
    <n v="45"/>
    <n v="1955.51"/>
    <n v="87997.95"/>
    <n v="0"/>
    <n v="14291.18"/>
    <n v="73706.77"/>
    <s v="Cancelled"/>
    <s v="Pending"/>
  </r>
  <r>
    <s v="INV-2026-02438"/>
    <x v="2"/>
    <s v="Central"/>
    <s v="Bhopal"/>
    <s v="Direct Sales"/>
    <s v="Rajesh Verma"/>
    <s v="Alpha Trading"/>
    <x v="2"/>
    <s v="Tennis Racket"/>
    <n v="23"/>
    <n v="3996.82"/>
    <n v="91926.86"/>
    <n v="0"/>
    <n v="0"/>
    <n v="91926.86"/>
    <s v="Cancelled"/>
    <s v="Pending"/>
  </r>
  <r>
    <s v="INV-2026-02439"/>
    <x v="85"/>
    <s v="North"/>
    <s v="Chandigarh"/>
    <s v="Direct Sales"/>
    <s v="Kavita Nair"/>
    <s v="ABC Corp"/>
    <x v="1"/>
    <s v="Conference Table"/>
    <n v="8"/>
    <n v="42478.400000000001"/>
    <n v="339827.20000000001"/>
    <n v="28612.880000000001"/>
    <n v="0"/>
    <n v="311214.32"/>
    <s v="Cancelled"/>
    <s v="Pending"/>
  </r>
  <r>
    <s v="INV-2026-02440"/>
    <x v="31"/>
    <s v="North"/>
    <s v="Delhi"/>
    <s v="Retail Store"/>
    <s v="Meera Joshi"/>
    <s v="Urban Store"/>
    <x v="3"/>
    <s v="Smart Watch"/>
    <n v="25"/>
    <n v="34338.46"/>
    <n v="858461.5"/>
    <n v="118720.31"/>
    <n v="0"/>
    <n v="739741.19"/>
    <s v="Processing"/>
    <s v="Pending"/>
  </r>
  <r>
    <s v="INV-2026-02441"/>
    <x v="78"/>
    <s v="North"/>
    <s v="Lucknow"/>
    <s v="Distributor"/>
    <s v="Sneha Reddy"/>
    <s v="Omega Stores"/>
    <x v="4"/>
    <s v="Jeans"/>
    <n v="17"/>
    <n v="37258.25"/>
    <n v="633390.25"/>
    <n v="39544.959999999999"/>
    <n v="0"/>
    <n v="593845.29"/>
    <s v="Pending"/>
    <s v="Pending"/>
  </r>
  <r>
    <s v="INV-2026-02442"/>
    <x v="18"/>
    <s v="South"/>
    <s v="Bangalore"/>
    <s v="Distributor"/>
    <s v="Rahul Sharma"/>
    <s v="Metro Mart"/>
    <x v="4"/>
    <s v="Formal Shirt"/>
    <n v="34"/>
    <n v="10710.41"/>
    <n v="364153.94"/>
    <n v="0"/>
    <n v="18295.55"/>
    <n v="345858.39"/>
    <s v="Processing"/>
    <s v="Pending"/>
  </r>
  <r>
    <s v="INV-2026-02443"/>
    <x v="5"/>
    <s v="Central"/>
    <s v="Bhopal"/>
    <s v="Direct Sales"/>
    <s v="Priya Patel"/>
    <s v="Future Tech"/>
    <x v="4"/>
    <s v="Formal Shirt"/>
    <n v="6"/>
    <n v="4752.87"/>
    <n v="28517.22"/>
    <n v="2931.77"/>
    <n v="0"/>
    <n v="25585.45"/>
    <s v="Processing"/>
    <s v="Paid"/>
  </r>
  <r>
    <s v="INV-2026-02444"/>
    <x v="86"/>
    <s v="West"/>
    <s v="Ahmedabad"/>
    <s v="Distributor"/>
    <s v="Sneha Reddy"/>
    <s v="Alpha Trading"/>
    <x v="1"/>
    <s v="Conference Table"/>
    <n v="9"/>
    <n v="30655.3"/>
    <n v="275897.7"/>
    <n v="0"/>
    <n v="0"/>
    <n v="275897.7"/>
    <s v="Completed"/>
    <s v="Paid"/>
  </r>
  <r>
    <s v="INV-2026-02445"/>
    <x v="75"/>
    <s v="South"/>
    <s v="Hyderabad"/>
    <s v="Online"/>
    <s v="Rahul Sharma"/>
    <s v="Nexus Ltd"/>
    <x v="3"/>
    <s v="Headphones"/>
    <n v="9"/>
    <n v="27421.39"/>
    <n v="246792.51"/>
    <n v="10820.61"/>
    <n v="0"/>
    <n v="235971.9"/>
    <s v="Processing"/>
    <s v="Paid"/>
  </r>
  <r>
    <s v="INV-2026-02446"/>
    <x v="64"/>
    <s v="East"/>
    <s v="Kolkata"/>
    <s v="Online"/>
    <s v="Sneha Reddy"/>
    <s v="Alpha Trading"/>
    <x v="2"/>
    <s v="Gym Equipment"/>
    <n v="9"/>
    <n v="29365.279999999999"/>
    <n v="264287.52"/>
    <n v="20005"/>
    <n v="0"/>
    <n v="244282.52"/>
    <s v="Cancelled"/>
    <s v="Pending"/>
  </r>
  <r>
    <s v="INV-2026-02447"/>
    <x v="73"/>
    <s v="West"/>
    <s v="Ahmedabad"/>
    <s v="Online"/>
    <s v="Kavita Nair"/>
    <s v="ABC Corp"/>
    <x v="2"/>
    <s v="Bicycle"/>
    <n v="34"/>
    <n v="5529.01"/>
    <n v="187986.34"/>
    <n v="1706.73"/>
    <n v="0"/>
    <n v="186279.61"/>
    <s v="Processing"/>
    <s v="Pending"/>
  </r>
  <r>
    <s v="INV-2026-02448"/>
    <x v="39"/>
    <s v="South"/>
    <s v="Hyderabad"/>
    <s v="Direct Sales"/>
    <s v="Priya Patel"/>
    <s v="Smart Systems"/>
    <x v="1"/>
    <s v="Office Chair"/>
    <n v="18"/>
    <n v="37700.04"/>
    <n v="678600.72"/>
    <n v="61861.27"/>
    <n v="0"/>
    <n v="616739.44999999995"/>
    <s v="Pending"/>
    <s v="Pending"/>
  </r>
  <r>
    <s v="INV-2026-02449"/>
    <x v="38"/>
    <s v="North"/>
    <s v="Chandigarh"/>
    <s v="Distributor"/>
    <s v="Sneha Reddy"/>
    <s v="Alpha Trading"/>
    <x v="5"/>
    <s v="TV"/>
    <n v="27"/>
    <n v="14360.73"/>
    <n v="387739.71"/>
    <n v="7562.24"/>
    <n v="0"/>
    <n v="380177.47"/>
    <s v="Completed"/>
    <s v="Paid"/>
  </r>
  <r>
    <s v="INV-2026-02450"/>
    <x v="76"/>
    <s v="East"/>
    <s v="Kolkata"/>
    <s v="Retail Store"/>
    <s v="Priya Patel"/>
    <s v="Skyline Corp"/>
    <x v="3"/>
    <s v="Laptop"/>
    <n v="2"/>
    <n v="19771.53"/>
    <n v="39543.06"/>
    <n v="927.93"/>
    <n v="0"/>
    <n v="38615.129999999997"/>
    <s v="Cancelled"/>
    <s v="Pending"/>
  </r>
  <r>
    <s v="INV-2026-02451"/>
    <x v="76"/>
    <s v="West"/>
    <s v="Pune"/>
    <s v="Direct Sales"/>
    <s v="Vijay Singh"/>
    <s v="XYZ Ltd"/>
    <x v="4"/>
    <s v="Dress"/>
    <n v="20"/>
    <n v="8258.41"/>
    <n v="165168.20000000001"/>
    <n v="0"/>
    <n v="0"/>
    <n v="165168.20000000001"/>
    <s v="Processing"/>
    <s v="Pending"/>
  </r>
  <r>
    <s v="INV-2026-02452"/>
    <x v="27"/>
    <s v="Central"/>
    <s v="Indore"/>
    <s v="Retail Store"/>
    <s v="Rajesh Verma"/>
    <s v="XYZ Ltd"/>
    <x v="2"/>
    <s v="Football"/>
    <n v="18"/>
    <n v="43152.31"/>
    <n v="776741.58"/>
    <n v="0"/>
    <n v="0"/>
    <n v="776741.58"/>
    <s v="Pending"/>
    <s v="Pending"/>
  </r>
  <r>
    <s v="INV-2026-02453"/>
    <x v="2"/>
    <s v="Central"/>
    <s v="Bhopal"/>
    <s v="Online"/>
    <s v="Kavita Nair"/>
    <s v="XYZ Ltd"/>
    <x v="2"/>
    <s v="Yoga Mat"/>
    <n v="44"/>
    <n v="14277.32"/>
    <n v="628202.07999999996"/>
    <n v="0"/>
    <n v="0"/>
    <n v="628202.07999999996"/>
    <s v="Processing"/>
    <s v="Paid"/>
  </r>
  <r>
    <s v="INV-2026-02454"/>
    <x v="86"/>
    <s v="Central"/>
    <s v="Raipur"/>
    <s v="Online"/>
    <s v="Amit Kumar"/>
    <s v="Global Traders"/>
    <x v="3"/>
    <s v="Camera"/>
    <n v="12"/>
    <n v="1520.1"/>
    <n v="18241.2"/>
    <n v="0"/>
    <n v="0"/>
    <n v="18241.2"/>
    <s v="Cancelled"/>
    <s v="Pending"/>
  </r>
  <r>
    <s v="INV-2026-02455"/>
    <x v="23"/>
    <s v="South"/>
    <s v="Kochi"/>
    <s v="Distributor"/>
    <s v="Priya Patel"/>
    <s v="Skyline Corp"/>
    <x v="4"/>
    <s v="Formal Shirt"/>
    <n v="46"/>
    <n v="17318.03"/>
    <n v="796629.38"/>
    <n v="97918.54"/>
    <n v="0"/>
    <n v="698710.84"/>
    <s v="Processing"/>
    <s v="Paid"/>
  </r>
  <r>
    <s v="INV-2026-02456"/>
    <x v="63"/>
    <s v="South"/>
    <s v="Chennai"/>
    <s v="Direct Sales"/>
    <s v="Vijay Singh"/>
    <s v="Alpha Trading"/>
    <x v="4"/>
    <s v="Shoes"/>
    <n v="13"/>
    <n v="15217.34"/>
    <n v="197825.42"/>
    <n v="0"/>
    <n v="0"/>
    <n v="197825.42"/>
    <s v="Completed"/>
    <s v="Paid"/>
  </r>
  <r>
    <s v="INV-2026-02457"/>
    <x v="74"/>
    <s v="South"/>
    <s v="Bangalore"/>
    <s v="Retail Store"/>
    <s v="Meera Joshi"/>
    <s v="Elite Enterprises"/>
    <x v="4"/>
    <s v="Jacket"/>
    <n v="14"/>
    <n v="44912.7"/>
    <n v="628777.80000000005"/>
    <n v="79839.44"/>
    <n v="0"/>
    <n v="548938.36"/>
    <s v="Cancelled"/>
    <s v="Pending"/>
  </r>
  <r>
    <s v="INV-2026-02458"/>
    <x v="46"/>
    <s v="East"/>
    <s v="Bhubaneswar"/>
    <s v="Retail Store"/>
    <s v="Kavita Nair"/>
    <s v="Nexus Ltd"/>
    <x v="0"/>
    <s v="Pen Set"/>
    <n v="13"/>
    <n v="14176.99"/>
    <n v="184300.87"/>
    <n v="0"/>
    <n v="9929.02"/>
    <n v="174371.85"/>
    <s v="Completed"/>
    <s v="Paid"/>
  </r>
  <r>
    <s v="INV-2026-02459"/>
    <x v="22"/>
    <s v="West"/>
    <s v="Surat"/>
    <s v="Online"/>
    <s v="Meera Joshi"/>
    <s v="Skyline Corp"/>
    <x v="3"/>
    <s v="Tablet"/>
    <n v="47"/>
    <n v="43053.69"/>
    <n v="2023523.43"/>
    <n v="13197.48"/>
    <n v="0"/>
    <n v="2010325.95"/>
    <s v="Cancelled"/>
    <s v="Pending"/>
  </r>
  <r>
    <s v="INV-2026-02460"/>
    <x v="45"/>
    <s v="West"/>
    <s v="Ahmedabad"/>
    <s v="Online"/>
    <s v="Rahul Sharma"/>
    <s v="Alpha Trading"/>
    <x v="4"/>
    <s v="Shoes"/>
    <n v="2"/>
    <n v="39247.93"/>
    <n v="78495.86"/>
    <n v="13427.67"/>
    <n v="0"/>
    <n v="65068.19"/>
    <s v="Completed"/>
    <s v="Paid"/>
  </r>
  <r>
    <s v="INV-2026-02461"/>
    <x v="37"/>
    <s v="East"/>
    <s v="Guwahati"/>
    <s v="Retail Store"/>
    <s v="Kavita Nair"/>
    <s v="Alpha Trading"/>
    <x v="3"/>
    <s v="Camera"/>
    <n v="30"/>
    <n v="39055.599999999999"/>
    <n v="1171668"/>
    <n v="27765.48"/>
    <n v="0"/>
    <n v="1143902.52"/>
    <s v="Completed"/>
    <s v="Paid"/>
  </r>
  <r>
    <s v="INV-2026-02462"/>
    <x v="47"/>
    <s v="North"/>
    <s v="Jaipur"/>
    <s v="Direct Sales"/>
    <s v="Amit Kumar"/>
    <s v="Metro Mart"/>
    <x v="0"/>
    <s v="Whiteboard"/>
    <n v="39"/>
    <n v="6357.69"/>
    <n v="247949.91"/>
    <n v="15856.66"/>
    <n v="0"/>
    <n v="232093.25"/>
    <s v="Processing"/>
    <s v="Pending"/>
  </r>
  <r>
    <s v="INV-2026-02463"/>
    <x v="68"/>
    <s v="South"/>
    <s v="Hyderabad"/>
    <s v="Direct Sales"/>
    <s v="Kavita Nair"/>
    <s v="Digital Hub"/>
    <x v="1"/>
    <s v="Conference Table"/>
    <n v="21"/>
    <n v="29804.63"/>
    <n v="625897.23"/>
    <n v="0"/>
    <n v="0"/>
    <n v="625897.23"/>
    <s v="Cancelled"/>
    <s v="Pending"/>
  </r>
  <r>
    <s v="INV-2026-02464"/>
    <x v="80"/>
    <s v="West"/>
    <s v="Mumbai"/>
    <s v="Online"/>
    <s v="Anita Desai"/>
    <s v="Omega Stores"/>
    <x v="0"/>
    <s v="Pen Set"/>
    <n v="41"/>
    <n v="48966.16"/>
    <n v="2007612.56"/>
    <n v="352778.81"/>
    <n v="0"/>
    <n v="1654833.75"/>
    <s v="Processing"/>
    <s v="Pending"/>
  </r>
  <r>
    <s v="INV-2026-02465"/>
    <x v="20"/>
    <s v="Central"/>
    <s v="Bhopal"/>
    <s v="Distributor"/>
    <s v="Priya Patel"/>
    <s v="Omega Stores"/>
    <x v="3"/>
    <s v="Smart Watch"/>
    <n v="44"/>
    <n v="34498.18"/>
    <n v="1517919.92"/>
    <n v="109844.54"/>
    <n v="0"/>
    <n v="1408075.38"/>
    <s v="Completed"/>
    <s v="Paid"/>
  </r>
  <r>
    <s v="INV-2026-02466"/>
    <x v="60"/>
    <s v="South"/>
    <s v="Bangalore"/>
    <s v="Distributor"/>
    <s v="Sneha Reddy"/>
    <s v="Future Tech"/>
    <x v="2"/>
    <s v="Gym Equipment"/>
    <n v="21"/>
    <n v="5270.54"/>
    <n v="110681.34"/>
    <n v="10602.38"/>
    <n v="0"/>
    <n v="100078.96"/>
    <s v="Completed"/>
    <s v="Overdue"/>
  </r>
  <r>
    <s v="INV-2026-02467"/>
    <x v="12"/>
    <s v="North"/>
    <s v="Jaipur"/>
    <s v="Online"/>
    <s v="Vijay Singh"/>
    <s v="Omega Stores"/>
    <x v="0"/>
    <s v="Printer Paper"/>
    <n v="29"/>
    <n v="2542.42"/>
    <n v="73730.179999999993"/>
    <n v="0"/>
    <n v="0"/>
    <n v="73730.179999999993"/>
    <s v="Cancelled"/>
    <s v="Pending"/>
  </r>
  <r>
    <s v="INV-2026-02468"/>
    <x v="10"/>
    <s v="North"/>
    <s v="Delhi"/>
    <s v="Online"/>
    <s v="Anita Desai"/>
    <s v="Alpha Trading"/>
    <x v="2"/>
    <s v="Bicycle"/>
    <n v="17"/>
    <n v="38104.03"/>
    <n v="647768.51"/>
    <n v="0"/>
    <n v="0"/>
    <n v="647768.51"/>
    <s v="Completed"/>
    <s v="Paid"/>
  </r>
  <r>
    <s v="INV-2026-02469"/>
    <x v="52"/>
    <s v="South"/>
    <s v="Bangalore"/>
    <s v="Direct Sales"/>
    <s v="Sneha Reddy"/>
    <s v="Metro Mart"/>
    <x v="1"/>
    <s v="Office Chair"/>
    <n v="44"/>
    <n v="3915.32"/>
    <n v="172274.08"/>
    <n v="0"/>
    <n v="0"/>
    <n v="172274.08"/>
    <s v="Completed"/>
    <s v="Paid"/>
  </r>
  <r>
    <s v="INV-2026-02470"/>
    <x v="62"/>
    <s v="Central"/>
    <s v="Raipur"/>
    <s v="Direct Sales"/>
    <s v="Suresh Gupta"/>
    <s v="Tech Solutions"/>
    <x v="1"/>
    <s v="Desk"/>
    <n v="20"/>
    <n v="35199.410000000003"/>
    <n v="703988.2"/>
    <n v="105301.92"/>
    <n v="0"/>
    <n v="598686.28"/>
    <s v="Cancelled"/>
    <s v="Pending"/>
  </r>
  <r>
    <s v="INV-2026-02471"/>
    <x v="78"/>
    <s v="East"/>
    <s v="Patna"/>
    <s v="Retail Store"/>
    <s v="Rajesh Verma"/>
    <s v="Skyline Corp"/>
    <x v="3"/>
    <s v="Headphones"/>
    <n v="6"/>
    <n v="2063.91"/>
    <n v="12383.46"/>
    <n v="0"/>
    <n v="0"/>
    <n v="12383.46"/>
    <s v="Pending"/>
    <s v="Pending"/>
  </r>
  <r>
    <s v="INV-2026-02472"/>
    <x v="87"/>
    <s v="East"/>
    <s v="Guwahati"/>
    <s v="Retail Store"/>
    <s v="Suresh Gupta"/>
    <s v="Skyline Corp"/>
    <x v="2"/>
    <s v="Cricket Bat"/>
    <n v="20"/>
    <n v="2161.37"/>
    <n v="43227.4"/>
    <n v="0"/>
    <n v="0"/>
    <n v="43227.4"/>
    <s v="Completed"/>
    <s v="Paid"/>
  </r>
  <r>
    <s v="INV-2026-02473"/>
    <x v="40"/>
    <s v="North"/>
    <s v="Delhi"/>
    <s v="Distributor"/>
    <s v="Vijay Singh"/>
    <s v="ABC Corp"/>
    <x v="0"/>
    <s v="Notebook"/>
    <n v="9"/>
    <n v="49318.16"/>
    <n v="443863.44"/>
    <n v="48208.54"/>
    <n v="0"/>
    <n v="395654.9"/>
    <s v="Completed"/>
    <s v="Pending"/>
  </r>
  <r>
    <s v="INV-2026-02474"/>
    <x v="81"/>
    <s v="Central"/>
    <s v="Indore"/>
    <s v="Retail Store"/>
    <s v="Rajesh Verma"/>
    <s v="Smart Systems"/>
    <x v="5"/>
    <s v="Microwave"/>
    <n v="7"/>
    <n v="23411.55"/>
    <n v="163880.85"/>
    <n v="30368.51"/>
    <n v="0"/>
    <n v="133512.34"/>
    <s v="Completed"/>
    <s v="Paid"/>
  </r>
  <r>
    <s v="INV-2026-02475"/>
    <x v="20"/>
    <s v="South"/>
    <s v="Hyderabad"/>
    <s v="Retail Store"/>
    <s v="Vijay Singh"/>
    <s v="Nexus Ltd"/>
    <x v="3"/>
    <s v="Smartphone"/>
    <n v="33"/>
    <n v="3903.58"/>
    <n v="128818.14"/>
    <n v="4371.7"/>
    <n v="0"/>
    <n v="124446.44"/>
    <s v="Processing"/>
    <s v="Pending"/>
  </r>
  <r>
    <s v="INV-2026-02476"/>
    <x v="21"/>
    <s v="West"/>
    <s v="Mumbai"/>
    <s v="Retail Store"/>
    <s v="Meera Joshi"/>
    <s v="Smart Systems"/>
    <x v="5"/>
    <s v="Vacuum Cleaner"/>
    <n v="32"/>
    <n v="7415.45"/>
    <n v="237294.4"/>
    <n v="0"/>
    <n v="0"/>
    <n v="237294.4"/>
    <s v="Completed"/>
    <s v="Paid"/>
  </r>
  <r>
    <s v="INV-2026-02477"/>
    <x v="56"/>
    <s v="East"/>
    <s v="Patna"/>
    <s v="Online"/>
    <s v="Rajesh Verma"/>
    <s v="Metro Mart"/>
    <x v="0"/>
    <s v="Desk Organizer"/>
    <n v="13"/>
    <n v="7164.79"/>
    <n v="93142.27"/>
    <n v="0"/>
    <n v="0"/>
    <n v="93142.27"/>
    <s v="Cancelled"/>
    <s v="Pending"/>
  </r>
  <r>
    <s v="INV-2026-02478"/>
    <x v="66"/>
    <s v="North"/>
    <s v="Jaipur"/>
    <s v="Online"/>
    <s v="Kavita Nair"/>
    <s v="Nexus Ltd"/>
    <x v="2"/>
    <s v="Cricket Bat"/>
    <n v="48"/>
    <n v="11148.25"/>
    <n v="535116"/>
    <n v="70744.820000000007"/>
    <n v="0"/>
    <n v="464371.18"/>
    <s v="Pending"/>
    <s v="Paid"/>
  </r>
  <r>
    <s v="INV-2026-02479"/>
    <x v="88"/>
    <s v="South"/>
    <s v="Bangalore"/>
    <s v="Retail Store"/>
    <s v="Priya Patel"/>
    <s v="Urban Store"/>
    <x v="0"/>
    <s v="Pen Set"/>
    <n v="7"/>
    <n v="24040.43"/>
    <n v="168283.01"/>
    <n v="0"/>
    <n v="0"/>
    <n v="168283.01"/>
    <s v="Processing"/>
    <s v="Pending"/>
  </r>
  <r>
    <s v="INV-2026-02480"/>
    <x v="49"/>
    <s v="South"/>
    <s v="Hyderabad"/>
    <s v="Distributor"/>
    <s v="Amit Kumar"/>
    <s v="Metro Mart"/>
    <x v="4"/>
    <s v="Formal Shirt"/>
    <n v="25"/>
    <n v="40034.199999999997"/>
    <n v="1000855"/>
    <n v="196313.04"/>
    <n v="0"/>
    <n v="804541.96"/>
    <s v="Processing"/>
    <s v="Pending"/>
  </r>
  <r>
    <s v="INV-2026-02481"/>
    <x v="43"/>
    <s v="Central"/>
    <s v="Nagpur"/>
    <s v="Online"/>
    <s v="Kavita Nair"/>
    <s v="Urban Store"/>
    <x v="1"/>
    <s v="Conference Table"/>
    <n v="34"/>
    <n v="23835.68"/>
    <n v="810413.12"/>
    <n v="0"/>
    <n v="182951.98"/>
    <n v="627461.14"/>
    <s v="Processing"/>
    <s v="Pending"/>
  </r>
  <r>
    <s v="INV-2026-02482"/>
    <x v="74"/>
    <s v="South"/>
    <s v="Bangalore"/>
    <s v="Retail Store"/>
    <s v="Priya Patel"/>
    <s v="Urban Store"/>
    <x v="5"/>
    <s v="Air Conditioner"/>
    <n v="2"/>
    <n v="42630"/>
    <n v="85260"/>
    <n v="0"/>
    <n v="0"/>
    <n v="85260"/>
    <s v="Completed"/>
    <s v="Paid"/>
  </r>
  <r>
    <s v="INV-2026-02483"/>
    <x v="53"/>
    <s v="East"/>
    <s v="Kolkata"/>
    <s v="Direct Sales"/>
    <s v="Anita Desai"/>
    <s v="Metro Mart"/>
    <x v="4"/>
    <s v="Formal Shirt"/>
    <n v="17"/>
    <n v="48441.55"/>
    <n v="823506.35"/>
    <n v="17524.2"/>
    <n v="0"/>
    <n v="805982.15"/>
    <s v="Pending"/>
    <s v="Pending"/>
  </r>
  <r>
    <s v="INV-2026-02484"/>
    <x v="26"/>
    <s v="North"/>
    <s v="Lucknow"/>
    <s v="Online"/>
    <s v="Sneha Reddy"/>
    <s v="Metro Mart"/>
    <x v="1"/>
    <s v="Cabinet"/>
    <n v="27"/>
    <n v="18920.5"/>
    <n v="510853.5"/>
    <n v="0"/>
    <n v="0"/>
    <n v="510853.5"/>
    <s v="Pending"/>
    <s v="Pending"/>
  </r>
  <r>
    <s v="INV-2026-02485"/>
    <x v="38"/>
    <s v="East"/>
    <s v="Guwahati"/>
    <s v="Distributor"/>
    <s v="Meera Joshi"/>
    <s v="Digital Hub"/>
    <x v="0"/>
    <s v="Desk Organizer"/>
    <n v="23"/>
    <n v="4282.66"/>
    <n v="98501.18"/>
    <n v="696.58"/>
    <n v="0"/>
    <n v="97804.6"/>
    <s v="Processing"/>
    <s v="Pending"/>
  </r>
  <r>
    <s v="INV-2026-02486"/>
    <x v="41"/>
    <s v="North"/>
    <s v="Jaipur"/>
    <s v="Retail Store"/>
    <s v="Kavita Nair"/>
    <s v="Metro Mart"/>
    <x v="0"/>
    <s v="File Folder"/>
    <n v="50"/>
    <n v="25851.4"/>
    <n v="1292570"/>
    <n v="227875.57"/>
    <n v="0"/>
    <n v="1064694.43"/>
    <s v="Cancelled"/>
    <s v="Pending"/>
  </r>
  <r>
    <s v="INV-2026-02487"/>
    <x v="46"/>
    <s v="East"/>
    <s v="Patna"/>
    <s v="Distributor"/>
    <s v="Suresh Gupta"/>
    <s v="Omega Stores"/>
    <x v="3"/>
    <s v="Laptop"/>
    <n v="6"/>
    <n v="21643.42"/>
    <n v="129860.52"/>
    <n v="21070.1"/>
    <n v="0"/>
    <n v="108790.42"/>
    <s v="Processing"/>
    <s v="Pending"/>
  </r>
  <r>
    <s v="INV-2026-02488"/>
    <x v="25"/>
    <s v="East"/>
    <s v="Kolkata"/>
    <s v="Retail Store"/>
    <s v="Suresh Gupta"/>
    <s v="Prime Retail"/>
    <x v="2"/>
    <s v="Tennis Racket"/>
    <n v="3"/>
    <n v="20550.45"/>
    <n v="61651.35"/>
    <n v="8721.48"/>
    <n v="0"/>
    <n v="52929.87"/>
    <s v="Cancelled"/>
    <s v="Pending"/>
  </r>
  <r>
    <s v="INV-2026-02489"/>
    <x v="42"/>
    <s v="West"/>
    <s v="Surat"/>
    <s v="Retail Store"/>
    <s v="Vijay Singh"/>
    <s v="XYZ Ltd"/>
    <x v="4"/>
    <s v="Formal Shirt"/>
    <n v="16"/>
    <n v="12948.31"/>
    <n v="207172.96"/>
    <n v="31787.84"/>
    <n v="30977.22"/>
    <n v="144407.9"/>
    <s v="Pending"/>
    <s v="Pending"/>
  </r>
  <r>
    <s v="INV-2026-02490"/>
    <x v="84"/>
    <s v="West"/>
    <s v="Mumbai"/>
    <s v="Retail Store"/>
    <s v="Vijay Singh"/>
    <s v="XYZ Ltd"/>
    <x v="3"/>
    <s v="Smartphone"/>
    <n v="31"/>
    <n v="45905.73"/>
    <n v="1423077.63"/>
    <n v="0"/>
    <n v="0"/>
    <n v="1423077.63"/>
    <s v="Processing"/>
    <s v="Pending"/>
  </r>
  <r>
    <s v="INV-2026-02491"/>
    <x v="77"/>
    <s v="Central"/>
    <s v="Nagpur"/>
    <s v="Distributor"/>
    <s v="Vijay Singh"/>
    <s v="XYZ Ltd"/>
    <x v="0"/>
    <s v="File Folder"/>
    <n v="19"/>
    <n v="38699.22"/>
    <n v="735285.18"/>
    <n v="82530.5"/>
    <n v="0"/>
    <n v="652754.68000000005"/>
    <s v="Pending"/>
    <s v="Pending"/>
  </r>
  <r>
    <s v="INV-2026-02492"/>
    <x v="11"/>
    <s v="East"/>
    <s v="Kolkata"/>
    <s v="Distributor"/>
    <s v="Meera Joshi"/>
    <s v="Tech Solutions"/>
    <x v="3"/>
    <s v="Camera"/>
    <n v="43"/>
    <n v="29560.14"/>
    <n v="1271086.02"/>
    <n v="12726.26"/>
    <n v="117491.24"/>
    <n v="1140868.52"/>
    <s v="Pending"/>
    <s v="Pending"/>
  </r>
  <r>
    <s v="INV-2026-02493"/>
    <x v="11"/>
    <s v="Central"/>
    <s v="Indore"/>
    <s v="Retail Store"/>
    <s v="Amit Kumar"/>
    <s v="Alpha Trading"/>
    <x v="2"/>
    <s v="Gym Equipment"/>
    <n v="30"/>
    <n v="2474.33"/>
    <n v="74229.899999999994"/>
    <n v="6140.44"/>
    <n v="0"/>
    <n v="68089.460000000006"/>
    <s v="Completed"/>
    <s v="Paid"/>
  </r>
  <r>
    <s v="INV-2026-02494"/>
    <x v="87"/>
    <s v="South"/>
    <s v="Chennai"/>
    <s v="Online"/>
    <s v="Sneha Reddy"/>
    <s v="Omega Stores"/>
    <x v="2"/>
    <s v="Cricket Bat"/>
    <n v="7"/>
    <n v="17715.419999999998"/>
    <n v="124007.94"/>
    <n v="4041.59"/>
    <n v="0"/>
    <n v="119966.35"/>
    <s v="Processing"/>
    <s v="Pending"/>
  </r>
  <r>
    <s v="INV-2026-02495"/>
    <x v="19"/>
    <s v="Central"/>
    <s v="Nagpur"/>
    <s v="Online"/>
    <s v="Rajesh Verma"/>
    <s v="Digital Hub"/>
    <x v="1"/>
    <s v="Conference Table"/>
    <n v="23"/>
    <n v="40256.06"/>
    <n v="925889.38"/>
    <n v="0"/>
    <n v="0"/>
    <n v="925889.38"/>
    <s v="Completed"/>
    <s v="Paid"/>
  </r>
  <r>
    <s v="INV-2026-02496"/>
    <x v="63"/>
    <s v="East"/>
    <s v="Guwahati"/>
    <s v="Direct Sales"/>
    <s v="Kavita Nair"/>
    <s v="Prime Retail"/>
    <x v="0"/>
    <s v="Desk Organizer"/>
    <n v="16"/>
    <n v="10937.48"/>
    <n v="174999.67999999999"/>
    <n v="0"/>
    <n v="0"/>
    <n v="174999.67999999999"/>
    <s v="Cancelled"/>
    <s v="Pending"/>
  </r>
  <r>
    <s v="INV-2026-02497"/>
    <x v="7"/>
    <s v="North"/>
    <s v="Chandigarh"/>
    <s v="Online"/>
    <s v="Kavita Nair"/>
    <s v="ABC Corp"/>
    <x v="0"/>
    <s v="Printer Paper"/>
    <n v="13"/>
    <n v="15568.45"/>
    <n v="202389.85"/>
    <n v="0"/>
    <n v="0"/>
    <n v="202389.85"/>
    <s v="Completed"/>
    <s v="Paid"/>
  </r>
  <r>
    <s v="INV-2026-02498"/>
    <x v="31"/>
    <s v="Central"/>
    <s v="Raipur"/>
    <s v="Retail Store"/>
    <s v="Sneha Reddy"/>
    <s v="ABC Corp"/>
    <x v="2"/>
    <s v="Gym Equipment"/>
    <n v="43"/>
    <n v="31350.68"/>
    <n v="1348079.24"/>
    <n v="0"/>
    <n v="0"/>
    <n v="1348079.24"/>
    <s v="Pending"/>
    <s v="Pending"/>
  </r>
  <r>
    <s v="INV-2026-02499"/>
    <x v="74"/>
    <s v="North"/>
    <s v="Jaipur"/>
    <s v="Online"/>
    <s v="Rahul Sharma"/>
    <s v="Digital Hub"/>
    <x v="0"/>
    <s v="Pen Set"/>
    <n v="50"/>
    <n v="20305.45"/>
    <n v="1015272.5"/>
    <n v="132214.43"/>
    <n v="0"/>
    <n v="883058.07"/>
    <s v="Pending"/>
    <s v="Pending"/>
  </r>
  <r>
    <s v="INV-2026-02500"/>
    <x v="45"/>
    <s v="Central"/>
    <s v="Raipur"/>
    <s v="Distributor"/>
    <s v="Kavita Nair"/>
    <s v="Tech Solutions"/>
    <x v="4"/>
    <s v="Dress"/>
    <n v="5"/>
    <n v="32134.66"/>
    <n v="160673.29999999999"/>
    <n v="6196.71"/>
    <n v="0"/>
    <n v="154476.59"/>
    <s v="Pending"/>
    <s v="Paid"/>
  </r>
  <r>
    <s v="INV-2026-02501"/>
    <x v="3"/>
    <s v="South"/>
    <s v="Hyderabad"/>
    <s v="Online"/>
    <s v="Anita Desai"/>
    <s v="Future Tech"/>
    <x v="2"/>
    <s v="Cricket Bat"/>
    <n v="37"/>
    <n v="25473.96"/>
    <n v="942536.52"/>
    <n v="0"/>
    <n v="0"/>
    <n v="942536.52"/>
    <s v="Completed"/>
    <s v="Paid"/>
  </r>
  <r>
    <s v="INV-2026-02502"/>
    <x v="10"/>
    <s v="East"/>
    <s v="Bhubaneswar"/>
    <s v="Direct Sales"/>
    <s v="Anita Desai"/>
    <s v="Omega Stores"/>
    <x v="4"/>
    <s v="Jeans"/>
    <n v="23"/>
    <n v="25323.45"/>
    <n v="582439.35"/>
    <n v="75535.61"/>
    <n v="150939.01999999999"/>
    <n v="355964.72"/>
    <s v="Processing"/>
    <s v="Pending"/>
  </r>
  <r>
    <s v="INV-2026-02503"/>
    <x v="42"/>
    <s v="East"/>
    <s v="Kolkata"/>
    <s v="Direct Sales"/>
    <s v="Amit Kumar"/>
    <s v="Digital Hub"/>
    <x v="3"/>
    <s v="Tablet"/>
    <n v="36"/>
    <n v="10602.61"/>
    <n v="381693.96"/>
    <n v="10110.200000000001"/>
    <n v="110097.88"/>
    <n v="261485.88"/>
    <s v="Cancelled"/>
    <s v="Pending"/>
  </r>
  <r>
    <s v="INV-2026-02504"/>
    <x v="13"/>
    <s v="East"/>
    <s v="Bhubaneswar"/>
    <s v="Retail Store"/>
    <s v="Rajesh Verma"/>
    <s v="Global Traders"/>
    <x v="3"/>
    <s v="Laptop"/>
    <n v="19"/>
    <n v="1783.37"/>
    <n v="33884.03"/>
    <n v="0"/>
    <n v="0"/>
    <n v="33884.03"/>
    <s v="Completed"/>
    <s v="Paid"/>
  </r>
  <r>
    <s v="INV-2026-02505"/>
    <x v="73"/>
    <s v="Central"/>
    <s v="Indore"/>
    <s v="Online"/>
    <s v="Kavita Nair"/>
    <s v="Skyline Corp"/>
    <x v="1"/>
    <s v="Conference Table"/>
    <n v="41"/>
    <n v="29380.34"/>
    <n v="1204593.94"/>
    <n v="92220.31"/>
    <n v="0"/>
    <n v="1112373.6299999999"/>
    <s v="Pending"/>
    <s v="Paid"/>
  </r>
  <r>
    <s v="INV-2026-02506"/>
    <x v="67"/>
    <s v="West"/>
    <s v="Surat"/>
    <s v="Direct Sales"/>
    <s v="Rajesh Verma"/>
    <s v="Elite Enterprises"/>
    <x v="4"/>
    <s v="Jacket"/>
    <n v="13"/>
    <n v="10801.29"/>
    <n v="140416.76999999999"/>
    <n v="0"/>
    <n v="0"/>
    <n v="140416.76999999999"/>
    <s v="Completed"/>
    <s v="Paid"/>
  </r>
  <r>
    <s v="INV-2026-02507"/>
    <x v="73"/>
    <s v="East"/>
    <s v="Guwahati"/>
    <s v="Distributor"/>
    <s v="Anita Desai"/>
    <s v="Skyline Corp"/>
    <x v="1"/>
    <s v="Sofa"/>
    <n v="50"/>
    <n v="49131.199999999997"/>
    <n v="2456560"/>
    <n v="0"/>
    <n v="438115.04"/>
    <n v="2018444.96"/>
    <s v="Cancelled"/>
    <s v="Pending"/>
  </r>
  <r>
    <s v="INV-2026-02508"/>
    <x v="5"/>
    <s v="South"/>
    <s v="Chennai"/>
    <s v="Retail Store"/>
    <s v="Anita Desai"/>
    <s v="Tech Solutions"/>
    <x v="3"/>
    <s v="Smartphone"/>
    <n v="45"/>
    <n v="38192.730000000003"/>
    <n v="1718672.85"/>
    <n v="0"/>
    <n v="0"/>
    <n v="1718672.85"/>
    <s v="Completed"/>
    <s v="Paid"/>
  </r>
  <r>
    <s v="INV-2026-02509"/>
    <x v="84"/>
    <s v="East"/>
    <s v="Patna"/>
    <s v="Online"/>
    <s v="Amit Kumar"/>
    <s v="Nexus Ltd"/>
    <x v="0"/>
    <s v="File Folder"/>
    <n v="38"/>
    <n v="29755.65"/>
    <n v="1130714.7"/>
    <n v="0"/>
    <n v="0"/>
    <n v="1130714.7"/>
    <s v="Completed"/>
    <s v="Overdue"/>
  </r>
  <r>
    <s v="INV-2026-02510"/>
    <x v="18"/>
    <s v="South"/>
    <s v="Bangalore"/>
    <s v="Retail Store"/>
    <s v="Vijay Singh"/>
    <s v="XYZ Ltd"/>
    <x v="3"/>
    <s v="Laptop"/>
    <n v="32"/>
    <n v="20420.75"/>
    <n v="653464"/>
    <n v="120854.71"/>
    <n v="0"/>
    <n v="532609.29"/>
    <s v="Processing"/>
    <s v="Pending"/>
  </r>
  <r>
    <s v="INV-2026-02511"/>
    <x v="68"/>
    <s v="South"/>
    <s v="Chennai"/>
    <s v="Distributor"/>
    <s v="Meera Joshi"/>
    <s v="Alpha Trading"/>
    <x v="1"/>
    <s v="Cabinet"/>
    <n v="31"/>
    <n v="10769.2"/>
    <n v="333845.2"/>
    <n v="45177.04"/>
    <n v="64726.65"/>
    <n v="223941.51"/>
    <s v="Completed"/>
    <s v="Paid"/>
  </r>
  <r>
    <s v="INV-2026-02512"/>
    <x v="86"/>
    <s v="North"/>
    <s v="Chandigarh"/>
    <s v="Direct Sales"/>
    <s v="Kavita Nair"/>
    <s v="Elite Enterprises"/>
    <x v="4"/>
    <s v="Jeans"/>
    <n v="24"/>
    <n v="23957.85"/>
    <n v="574988.4"/>
    <n v="0"/>
    <n v="121859.81"/>
    <n v="453128.59"/>
    <s v="Cancelled"/>
    <s v="Pending"/>
  </r>
  <r>
    <s v="INV-2026-02513"/>
    <x v="30"/>
    <s v="East"/>
    <s v="Kolkata"/>
    <s v="Distributor"/>
    <s v="Priya Patel"/>
    <s v="Elite Enterprises"/>
    <x v="3"/>
    <s v="Headphones"/>
    <n v="38"/>
    <n v="32844.35"/>
    <n v="1248085.3"/>
    <n v="0"/>
    <n v="0"/>
    <n v="1248085.3"/>
    <s v="Processing"/>
    <s v="Pending"/>
  </r>
  <r>
    <s v="INV-2026-02514"/>
    <x v="88"/>
    <s v="North"/>
    <s v="Jaipur"/>
    <s v="Retail Store"/>
    <s v="Suresh Gupta"/>
    <s v="Alpha Trading"/>
    <x v="4"/>
    <s v="Jeans"/>
    <n v="34"/>
    <n v="7556.39"/>
    <n v="256917.26"/>
    <n v="40246.379999999997"/>
    <n v="0"/>
    <n v="216670.88"/>
    <s v="Processing"/>
    <s v="Pending"/>
  </r>
  <r>
    <s v="INV-2026-02515"/>
    <x v="63"/>
    <s v="Central"/>
    <s v="Bhopal"/>
    <s v="Distributor"/>
    <s v="Kavita Nair"/>
    <s v="Omega Stores"/>
    <x v="2"/>
    <s v="Football"/>
    <n v="6"/>
    <n v="44949.3"/>
    <n v="269695.8"/>
    <n v="27764.13"/>
    <n v="0"/>
    <n v="241931.67"/>
    <s v="Processing"/>
    <s v="Paid"/>
  </r>
  <r>
    <s v="INV-2026-02516"/>
    <x v="7"/>
    <s v="Central"/>
    <s v="Indore"/>
    <s v="Distributor"/>
    <s v="Rajesh Verma"/>
    <s v="Smart Systems"/>
    <x v="2"/>
    <s v="Tennis Racket"/>
    <n v="49"/>
    <n v="37160.61"/>
    <n v="1820869.89"/>
    <n v="71777.72"/>
    <n v="0"/>
    <n v="1749092.17"/>
    <s v="Pending"/>
    <s v="Paid"/>
  </r>
  <r>
    <s v="INV-2026-02517"/>
    <x v="9"/>
    <s v="East"/>
    <s v="Patna"/>
    <s v="Online"/>
    <s v="Vijay Singh"/>
    <s v="XYZ Ltd"/>
    <x v="3"/>
    <s v="Smart Watch"/>
    <n v="38"/>
    <n v="42641.17"/>
    <n v="1620364.46"/>
    <n v="226940.07"/>
    <n v="0"/>
    <n v="1393424.39"/>
    <s v="Processing"/>
    <s v="Pending"/>
  </r>
  <r>
    <s v="INV-2026-02518"/>
    <x v="88"/>
    <s v="East"/>
    <s v="Bhubaneswar"/>
    <s v="Direct Sales"/>
    <s v="Vijay Singh"/>
    <s v="Elite Enterprises"/>
    <x v="5"/>
    <s v="Air Conditioner"/>
    <n v="21"/>
    <n v="28553.15"/>
    <n v="599616.15"/>
    <n v="51662.76"/>
    <n v="0"/>
    <n v="547953.39"/>
    <s v="Completed"/>
    <s v="Paid"/>
  </r>
  <r>
    <s v="INV-2026-02519"/>
    <x v="9"/>
    <s v="North"/>
    <s v="Chandigarh"/>
    <s v="Direct Sales"/>
    <s v="Amit Kumar"/>
    <s v="Nexus Ltd"/>
    <x v="0"/>
    <s v="Notebook"/>
    <n v="43"/>
    <n v="40111.89"/>
    <n v="1724811.27"/>
    <n v="269130.07"/>
    <n v="0"/>
    <n v="1455681.2"/>
    <s v="Pending"/>
    <s v="Paid"/>
  </r>
  <r>
    <s v="INV-2026-02520"/>
    <x v="9"/>
    <s v="North"/>
    <s v="Delhi"/>
    <s v="Distributor"/>
    <s v="Vijay Singh"/>
    <s v="Metro Mart"/>
    <x v="4"/>
    <s v="Formal Shirt"/>
    <n v="5"/>
    <n v="22992.65"/>
    <n v="114963.25"/>
    <n v="16591.150000000001"/>
    <n v="0"/>
    <n v="98372.1"/>
    <s v="Processing"/>
    <s v="Paid"/>
  </r>
  <r>
    <s v="INV-2026-02521"/>
    <x v="28"/>
    <s v="Central"/>
    <s v="Raipur"/>
    <s v="Retail Store"/>
    <s v="Meera Joshi"/>
    <s v="Nexus Ltd"/>
    <x v="3"/>
    <s v="Camera"/>
    <n v="2"/>
    <n v="39951.25"/>
    <n v="79902.5"/>
    <n v="0"/>
    <n v="0"/>
    <n v="79902.5"/>
    <s v="Cancelled"/>
    <s v="Pending"/>
  </r>
  <r>
    <s v="INV-2026-02522"/>
    <x v="90"/>
    <s v="South"/>
    <s v="Hyderabad"/>
    <s v="Distributor"/>
    <s v="Rahul Sharma"/>
    <s v="XYZ Ltd"/>
    <x v="4"/>
    <s v="Formal Shirt"/>
    <n v="49"/>
    <n v="36597.480000000003"/>
    <n v="1793276.52"/>
    <n v="201884.06"/>
    <n v="0"/>
    <n v="1591392.46"/>
    <s v="Processing"/>
    <s v="Pending"/>
  </r>
  <r>
    <s v="INV-2026-02523"/>
    <x v="31"/>
    <s v="East"/>
    <s v="Kolkata"/>
    <s v="Direct Sales"/>
    <s v="Rajesh Verma"/>
    <s v="Nexus Ltd"/>
    <x v="2"/>
    <s v="Gym Equipment"/>
    <n v="49"/>
    <n v="36779.760000000002"/>
    <n v="1802208.24"/>
    <n v="148576.16"/>
    <n v="0"/>
    <n v="1653632.08"/>
    <s v="Processing"/>
    <s v="Paid"/>
  </r>
  <r>
    <s v="INV-2026-02524"/>
    <x v="50"/>
    <s v="South"/>
    <s v="Kochi"/>
    <s v="Online"/>
    <s v="Meera Joshi"/>
    <s v="Skyline Corp"/>
    <x v="0"/>
    <s v="Whiteboard"/>
    <n v="41"/>
    <n v="49219.83"/>
    <n v="2018013.03"/>
    <n v="0"/>
    <n v="0"/>
    <n v="2018013.03"/>
    <s v="Processing"/>
    <s v="Pending"/>
  </r>
  <r>
    <s v="INV-2026-02525"/>
    <x v="73"/>
    <s v="North"/>
    <s v="Lucknow"/>
    <s v="Online"/>
    <s v="Priya Patel"/>
    <s v="Prime Retail"/>
    <x v="3"/>
    <s v="Tablet"/>
    <n v="35"/>
    <n v="1408.59"/>
    <n v="49300.65"/>
    <n v="0"/>
    <n v="0"/>
    <n v="49300.65"/>
    <s v="Pending"/>
    <s v="Paid"/>
  </r>
  <r>
    <s v="INV-2026-02526"/>
    <x v="49"/>
    <s v="Central"/>
    <s v="Nagpur"/>
    <s v="Retail Store"/>
    <s v="Rahul Sharma"/>
    <s v="Skyline Corp"/>
    <x v="3"/>
    <s v="Smartphone"/>
    <n v="17"/>
    <n v="9266.92"/>
    <n v="157537.64000000001"/>
    <n v="17024.04"/>
    <n v="0"/>
    <n v="140513.60000000001"/>
    <s v="Completed"/>
    <s v="Paid"/>
  </r>
  <r>
    <s v="INV-2026-02527"/>
    <x v="49"/>
    <s v="South"/>
    <s v="Chennai"/>
    <s v="Distributor"/>
    <s v="Amit Kumar"/>
    <s v="Skyline Corp"/>
    <x v="1"/>
    <s v="Sofa"/>
    <n v="16"/>
    <n v="39841.089999999997"/>
    <n v="637457.43999999994"/>
    <n v="49553.97"/>
    <n v="77429.210000000006"/>
    <n v="510474.26"/>
    <s v="Cancelled"/>
    <s v="Pending"/>
  </r>
  <r>
    <s v="INV-2026-02528"/>
    <x v="59"/>
    <s v="West"/>
    <s v="Mumbai"/>
    <s v="Direct Sales"/>
    <s v="Suresh Gupta"/>
    <s v="Future Tech"/>
    <x v="0"/>
    <s v="Notebook"/>
    <n v="15"/>
    <n v="17179.150000000001"/>
    <n v="257687.25"/>
    <n v="31967.13"/>
    <n v="44846.65"/>
    <n v="180873.47"/>
    <s v="Processing"/>
    <s v="Pending"/>
  </r>
  <r>
    <s v="INV-2026-02529"/>
    <x v="91"/>
    <s v="East"/>
    <s v="Kolkata"/>
    <s v="Distributor"/>
    <s v="Meera Joshi"/>
    <s v="Digital Hub"/>
    <x v="2"/>
    <s v="Football"/>
    <n v="44"/>
    <n v="12508.66"/>
    <n v="550381.04"/>
    <n v="88497.919999999998"/>
    <n v="0"/>
    <n v="461883.12"/>
    <s v="Processing"/>
    <s v="Paid"/>
  </r>
  <r>
    <s v="INV-2026-02530"/>
    <x v="38"/>
    <s v="South"/>
    <s v="Hyderabad"/>
    <s v="Retail Store"/>
    <s v="Suresh Gupta"/>
    <s v="Urban Store"/>
    <x v="4"/>
    <s v="T-Shirt"/>
    <n v="37"/>
    <n v="9126"/>
    <n v="337662"/>
    <n v="22265.15"/>
    <n v="0"/>
    <n v="315396.84999999998"/>
    <s v="Processing"/>
    <s v="Paid"/>
  </r>
  <r>
    <s v="INV-2026-02531"/>
    <x v="56"/>
    <s v="Central"/>
    <s v="Nagpur"/>
    <s v="Retail Store"/>
    <s v="Sneha Reddy"/>
    <s v="Nexus Ltd"/>
    <x v="5"/>
    <s v="Air Conditioner"/>
    <n v="39"/>
    <n v="37067.74"/>
    <n v="1445641.86"/>
    <n v="161667.94"/>
    <n v="358294.29"/>
    <n v="925679.63"/>
    <s v="Pending"/>
    <s v="Pending"/>
  </r>
  <r>
    <s v="INV-2026-02532"/>
    <x v="45"/>
    <s v="East"/>
    <s v="Kolkata"/>
    <s v="Online"/>
    <s v="Priya Patel"/>
    <s v="Elite Enterprises"/>
    <x v="2"/>
    <s v="Football"/>
    <n v="30"/>
    <n v="38576.21"/>
    <n v="1157286.3"/>
    <n v="0"/>
    <n v="0"/>
    <n v="1157286.3"/>
    <s v="Completed"/>
    <s v="Overdue"/>
  </r>
  <r>
    <s v="INV-2026-02533"/>
    <x v="40"/>
    <s v="South"/>
    <s v="Chennai"/>
    <s v="Distributor"/>
    <s v="Rahul Sharma"/>
    <s v="Nexus Ltd"/>
    <x v="0"/>
    <s v="File Folder"/>
    <n v="38"/>
    <n v="36810.75"/>
    <n v="1398808.5"/>
    <n v="0"/>
    <n v="0"/>
    <n v="1398808.5"/>
    <s v="Completed"/>
    <s v="Paid"/>
  </r>
  <r>
    <s v="INV-2026-02534"/>
    <x v="44"/>
    <s v="West"/>
    <s v="Mumbai"/>
    <s v="Online"/>
    <s v="Rajesh Verma"/>
    <s v="Alpha Trading"/>
    <x v="1"/>
    <s v="Conference Table"/>
    <n v="30"/>
    <n v="40226.1"/>
    <n v="1206783"/>
    <n v="0"/>
    <n v="0"/>
    <n v="1206783"/>
    <s v="Pending"/>
    <s v="Pending"/>
  </r>
  <r>
    <s v="INV-2026-02535"/>
    <x v="89"/>
    <s v="Central"/>
    <s v="Raipur"/>
    <s v="Online"/>
    <s v="Vijay Singh"/>
    <s v="Future Tech"/>
    <x v="0"/>
    <s v="Pen Set"/>
    <n v="41"/>
    <n v="24677.93"/>
    <n v="1011795.13"/>
    <n v="0"/>
    <n v="23799.06"/>
    <n v="987996.07"/>
    <s v="Pending"/>
    <s v="Pending"/>
  </r>
  <r>
    <s v="INV-2026-02536"/>
    <x v="73"/>
    <s v="South"/>
    <s v="Chennai"/>
    <s v="Online"/>
    <s v="Amit Kumar"/>
    <s v="Prime Retail"/>
    <x v="2"/>
    <s v="Yoga Mat"/>
    <n v="32"/>
    <n v="9904.52"/>
    <n v="316944.64000000001"/>
    <n v="0"/>
    <n v="0"/>
    <n v="316944.64000000001"/>
    <s v="Processing"/>
    <s v="Pending"/>
  </r>
  <r>
    <s v="INV-2026-02537"/>
    <x v="75"/>
    <s v="South"/>
    <s v="Hyderabad"/>
    <s v="Distributor"/>
    <s v="Suresh Gupta"/>
    <s v="Future Tech"/>
    <x v="2"/>
    <s v="Bicycle"/>
    <n v="7"/>
    <n v="22863.68"/>
    <n v="160045.76000000001"/>
    <n v="17683.89"/>
    <n v="0"/>
    <n v="142361.87"/>
    <s v="Pending"/>
    <s v="Pending"/>
  </r>
  <r>
    <s v="INV-2026-02538"/>
    <x v="42"/>
    <s v="North"/>
    <s v="Delhi"/>
    <s v="Retail Store"/>
    <s v="Suresh Gupta"/>
    <s v="XYZ Ltd"/>
    <x v="4"/>
    <s v="Dress"/>
    <n v="42"/>
    <n v="968.34"/>
    <n v="40670.28"/>
    <n v="1376.46"/>
    <n v="0"/>
    <n v="39293.82"/>
    <s v="Processing"/>
    <s v="Paid"/>
  </r>
  <r>
    <s v="INV-2026-02539"/>
    <x v="51"/>
    <s v="West"/>
    <s v="Pune"/>
    <s v="Retail Store"/>
    <s v="Suresh Gupta"/>
    <s v="Nexus Ltd"/>
    <x v="2"/>
    <s v="Cricket Bat"/>
    <n v="3"/>
    <n v="18367.919999999998"/>
    <n v="55103.76"/>
    <n v="3166.98"/>
    <n v="0"/>
    <n v="51936.78"/>
    <s v="Completed"/>
    <s v="Paid"/>
  </r>
  <r>
    <s v="INV-2026-02540"/>
    <x v="86"/>
    <s v="East"/>
    <s v="Bhubaneswar"/>
    <s v="Retail Store"/>
    <s v="Anita Desai"/>
    <s v="Alpha Trading"/>
    <x v="5"/>
    <s v="Vacuum Cleaner"/>
    <n v="26"/>
    <n v="42273.19"/>
    <n v="1099102.94"/>
    <n v="32861.839999999997"/>
    <n v="0"/>
    <n v="1066241.1000000001"/>
    <s v="Pending"/>
    <s v="Paid"/>
  </r>
  <r>
    <s v="INV-2026-02541"/>
    <x v="74"/>
    <s v="East"/>
    <s v="Patna"/>
    <s v="Distributor"/>
    <s v="Priya Patel"/>
    <s v="XYZ Ltd"/>
    <x v="3"/>
    <s v="Laptop"/>
    <n v="8"/>
    <n v="45431.26"/>
    <n v="363450.08"/>
    <n v="46382.8"/>
    <n v="0"/>
    <n v="317067.28000000003"/>
    <s v="Processing"/>
    <s v="Pending"/>
  </r>
  <r>
    <s v="INV-2026-02542"/>
    <x v="37"/>
    <s v="South"/>
    <s v="Kochi"/>
    <s v="Retail Store"/>
    <s v="Suresh Gupta"/>
    <s v="XYZ Ltd"/>
    <x v="0"/>
    <s v="Desk Organizer"/>
    <n v="17"/>
    <n v="22682.61"/>
    <n v="385604.37"/>
    <n v="75984.91"/>
    <n v="0"/>
    <n v="309619.46000000002"/>
    <s v="Pending"/>
    <s v="Pending"/>
  </r>
  <r>
    <s v="INV-2026-02543"/>
    <x v="62"/>
    <s v="West"/>
    <s v="Mumbai"/>
    <s v="Direct Sales"/>
    <s v="Rahul Sharma"/>
    <s v="Elite Enterprises"/>
    <x v="3"/>
    <s v="Laptop"/>
    <n v="21"/>
    <n v="33024.269999999997"/>
    <n v="693509.67"/>
    <n v="117186.19"/>
    <n v="155261.95000000001"/>
    <n v="421061.53"/>
    <s v="Completed"/>
    <s v="Paid"/>
  </r>
  <r>
    <s v="INV-2026-02544"/>
    <x v="7"/>
    <s v="North"/>
    <s v="Delhi"/>
    <s v="Direct Sales"/>
    <s v="Vijay Singh"/>
    <s v="Tech Solutions"/>
    <x v="2"/>
    <s v="Tennis Racket"/>
    <n v="36"/>
    <n v="44992.53"/>
    <n v="1619731.08"/>
    <n v="0"/>
    <n v="406232.16"/>
    <n v="1213498.92"/>
    <s v="Pending"/>
    <s v="Pending"/>
  </r>
  <r>
    <s v="INV-2026-02545"/>
    <x v="39"/>
    <s v="South"/>
    <s v="Kochi"/>
    <s v="Online"/>
    <s v="Rahul Sharma"/>
    <s v="Future Tech"/>
    <x v="2"/>
    <s v="Gym Equipment"/>
    <n v="14"/>
    <n v="27032.14"/>
    <n v="378449.96"/>
    <n v="53052.480000000003"/>
    <n v="0"/>
    <n v="325397.48"/>
    <s v="Completed"/>
    <s v="Paid"/>
  </r>
  <r>
    <s v="INV-2026-02546"/>
    <x v="86"/>
    <s v="Central"/>
    <s v="Raipur"/>
    <s v="Online"/>
    <s v="Amit Kumar"/>
    <s v="Nexus Ltd"/>
    <x v="3"/>
    <s v="Camera"/>
    <n v="17"/>
    <n v="4057.57"/>
    <n v="68978.69"/>
    <n v="9950.08"/>
    <n v="0"/>
    <n v="59028.61"/>
    <s v="Completed"/>
    <s v="Paid"/>
  </r>
  <r>
    <s v="INV-2026-02547"/>
    <x v="45"/>
    <s v="North"/>
    <s v="Jaipur"/>
    <s v="Distributor"/>
    <s v="Anita Desai"/>
    <s v="Skyline Corp"/>
    <x v="5"/>
    <s v="Air Conditioner"/>
    <n v="47"/>
    <n v="37697.89"/>
    <n v="1771800.83"/>
    <n v="120838.82"/>
    <n v="0"/>
    <n v="1650962.01"/>
    <s v="Cancelled"/>
    <s v="Pending"/>
  </r>
  <r>
    <s v="INV-2026-02548"/>
    <x v="84"/>
    <s v="West"/>
    <s v="Mumbai"/>
    <s v="Distributor"/>
    <s v="Rajesh Verma"/>
    <s v="Smart Systems"/>
    <x v="1"/>
    <s v="Sofa"/>
    <n v="35"/>
    <n v="29613.200000000001"/>
    <n v="1036462"/>
    <n v="52900.6"/>
    <n v="0"/>
    <n v="983561.4"/>
    <s v="Cancelled"/>
    <s v="Pending"/>
  </r>
  <r>
    <s v="INV-2026-02549"/>
    <x v="86"/>
    <s v="West"/>
    <s v="Pune"/>
    <s v="Direct Sales"/>
    <s v="Anita Desai"/>
    <s v="Tech Solutions"/>
    <x v="5"/>
    <s v="Washing Machine"/>
    <n v="30"/>
    <n v="34078.31"/>
    <n v="1022349.3"/>
    <n v="59326.02"/>
    <n v="0"/>
    <n v="963023.28"/>
    <s v="Completed"/>
    <s v="Paid"/>
  </r>
  <r>
    <s v="INV-2026-02550"/>
    <x v="69"/>
    <s v="West"/>
    <s v="Surat"/>
    <s v="Distributor"/>
    <s v="Anita Desai"/>
    <s v="Skyline Corp"/>
    <x v="1"/>
    <s v="Bookshelf"/>
    <n v="9"/>
    <n v="28923.61"/>
    <n v="260312.49"/>
    <n v="0"/>
    <n v="0"/>
    <n v="260312.49"/>
    <s v="Completed"/>
    <s v="Paid"/>
  </r>
  <r>
    <s v="INV-2026-02551"/>
    <x v="33"/>
    <s v="South"/>
    <s v="Hyderabad"/>
    <s v="Direct Sales"/>
    <s v="Meera Joshi"/>
    <s v="Smart Systems"/>
    <x v="1"/>
    <s v="Bookshelf"/>
    <n v="7"/>
    <n v="13288.11"/>
    <n v="93016.77"/>
    <n v="7733.06"/>
    <n v="0"/>
    <n v="85283.71"/>
    <s v="Pending"/>
    <s v="Pending"/>
  </r>
  <r>
    <s v="INV-2026-02552"/>
    <x v="59"/>
    <s v="West"/>
    <s v="Surat"/>
    <s v="Distributor"/>
    <s v="Sneha Reddy"/>
    <s v="XYZ Ltd"/>
    <x v="3"/>
    <s v="Tablet"/>
    <n v="8"/>
    <n v="26133.21"/>
    <n v="209065.68"/>
    <n v="32316.5"/>
    <n v="0"/>
    <n v="176749.18"/>
    <s v="Completed"/>
    <s v="Paid"/>
  </r>
  <r>
    <s v="INV-2026-02553"/>
    <x v="81"/>
    <s v="South"/>
    <s v="Hyderabad"/>
    <s v="Direct Sales"/>
    <s v="Anita Desai"/>
    <s v="Nexus Ltd"/>
    <x v="1"/>
    <s v="Bookshelf"/>
    <n v="8"/>
    <n v="50141.25"/>
    <n v="401130"/>
    <n v="20245"/>
    <n v="0"/>
    <n v="380885"/>
    <s v="Processing"/>
    <s v="Pending"/>
  </r>
  <r>
    <s v="INV-2026-02554"/>
    <x v="63"/>
    <s v="South"/>
    <s v="Kochi"/>
    <s v="Online"/>
    <s v="Rajesh Verma"/>
    <s v="Future Tech"/>
    <x v="1"/>
    <s v="Bookshelf"/>
    <n v="47"/>
    <n v="30758.25"/>
    <n v="1445637.75"/>
    <n v="0"/>
    <n v="0"/>
    <n v="1445637.75"/>
    <s v="Cancelled"/>
    <s v="Pending"/>
  </r>
  <r>
    <s v="INV-2026-02555"/>
    <x v="90"/>
    <s v="North"/>
    <s v="Chandigarh"/>
    <s v="Retail Store"/>
    <s v="Anita Desai"/>
    <s v="Tech Solutions"/>
    <x v="4"/>
    <s v="T-Shirt"/>
    <n v="25"/>
    <n v="38554.120000000003"/>
    <n v="963853"/>
    <n v="0"/>
    <n v="0"/>
    <n v="963853"/>
    <s v="Processing"/>
    <s v="Pending"/>
  </r>
  <r>
    <s v="INV-2026-02556"/>
    <x v="86"/>
    <s v="North"/>
    <s v="Delhi"/>
    <s v="Distributor"/>
    <s v="Suresh Gupta"/>
    <s v="Skyline Corp"/>
    <x v="5"/>
    <s v="Microwave"/>
    <n v="43"/>
    <n v="29616.27"/>
    <n v="1273499.6100000001"/>
    <n v="152944.54999999999"/>
    <n v="0"/>
    <n v="1120555.06"/>
    <s v="Pending"/>
    <s v="Pending"/>
  </r>
  <r>
    <s v="INV-2026-02557"/>
    <x v="77"/>
    <s v="South"/>
    <s v="Kochi"/>
    <s v="Direct Sales"/>
    <s v="Kavita Nair"/>
    <s v="Elite Enterprises"/>
    <x v="0"/>
    <s v="Pen Set"/>
    <n v="41"/>
    <n v="25336.84"/>
    <n v="1038810.44"/>
    <n v="0"/>
    <n v="0"/>
    <n v="1038810.44"/>
    <s v="Cancelled"/>
    <s v="Pending"/>
  </r>
  <r>
    <s v="INV-2026-02558"/>
    <x v="16"/>
    <s v="North"/>
    <s v="Chandigarh"/>
    <s v="Online"/>
    <s v="Meera Joshi"/>
    <s v="Smart Systems"/>
    <x v="2"/>
    <s v="Football"/>
    <n v="37"/>
    <n v="43826.98"/>
    <n v="1621598.26"/>
    <n v="236026.27"/>
    <n v="0"/>
    <n v="1385571.99"/>
    <s v="Pending"/>
    <s v="Pending"/>
  </r>
  <r>
    <s v="INV-2026-02559"/>
    <x v="36"/>
    <s v="East"/>
    <s v="Kolkata"/>
    <s v="Direct Sales"/>
    <s v="Amit Kumar"/>
    <s v="Nexus Ltd"/>
    <x v="2"/>
    <s v="Tennis Racket"/>
    <n v="37"/>
    <n v="20130.55"/>
    <n v="744830.35"/>
    <n v="0"/>
    <n v="0"/>
    <n v="744830.35"/>
    <s v="Cancelled"/>
    <s v="Pending"/>
  </r>
  <r>
    <s v="INV-2026-02560"/>
    <x v="59"/>
    <s v="North"/>
    <s v="Delhi"/>
    <s v="Distributor"/>
    <s v="Amit Kumar"/>
    <s v="Global Traders"/>
    <x v="5"/>
    <s v="TV"/>
    <n v="37"/>
    <n v="40876.379999999997"/>
    <n v="1512426.06"/>
    <n v="117727.75"/>
    <n v="0"/>
    <n v="1394698.31"/>
    <s v="Cancelled"/>
    <s v="Pending"/>
  </r>
  <r>
    <s v="INV-2026-02561"/>
    <x v="45"/>
    <s v="South"/>
    <s v="Kochi"/>
    <s v="Online"/>
    <s v="Priya Patel"/>
    <s v="Prime Retail"/>
    <x v="0"/>
    <s v="Notebook"/>
    <n v="47"/>
    <n v="21200.83"/>
    <n v="996439.01"/>
    <n v="54950.09"/>
    <n v="0"/>
    <n v="941488.92"/>
    <s v="Cancelled"/>
    <s v="Pending"/>
  </r>
  <r>
    <s v="INV-2026-02562"/>
    <x v="10"/>
    <s v="Central"/>
    <s v="Nagpur"/>
    <s v="Online"/>
    <s v="Amit Kumar"/>
    <s v="XYZ Ltd"/>
    <x v="4"/>
    <s v="Jeans"/>
    <n v="26"/>
    <n v="7279.13"/>
    <n v="189257.38"/>
    <n v="34296.46"/>
    <n v="0"/>
    <n v="154960.92000000001"/>
    <s v="Processing"/>
    <s v="Pending"/>
  </r>
  <r>
    <s v="INV-2026-02563"/>
    <x v="13"/>
    <s v="East"/>
    <s v="Kolkata"/>
    <s v="Direct Sales"/>
    <s v="Amit Kumar"/>
    <s v="ABC Corp"/>
    <x v="5"/>
    <s v="TV"/>
    <n v="42"/>
    <n v="27710.77"/>
    <n v="1163852.3400000001"/>
    <n v="0"/>
    <n v="0"/>
    <n v="1163852.3400000001"/>
    <s v="Cancelled"/>
    <s v="Pending"/>
  </r>
  <r>
    <s v="INV-2026-02564"/>
    <x v="48"/>
    <s v="South"/>
    <s v="Hyderabad"/>
    <s v="Retail Store"/>
    <s v="Sneha Reddy"/>
    <s v="Elite Enterprises"/>
    <x v="3"/>
    <s v="Smartphone"/>
    <n v="13"/>
    <n v="29746.97"/>
    <n v="386710.61"/>
    <n v="0"/>
    <n v="0"/>
    <n v="386710.61"/>
    <s v="Cancelled"/>
    <s v="Pending"/>
  </r>
  <r>
    <s v="INV-2026-02565"/>
    <x v="53"/>
    <s v="West"/>
    <s v="Mumbai"/>
    <s v="Online"/>
    <s v="Priya Patel"/>
    <s v="ABC Corp"/>
    <x v="2"/>
    <s v="Bicycle"/>
    <n v="3"/>
    <n v="35786.25"/>
    <n v="107358.75"/>
    <n v="2361.5100000000002"/>
    <n v="0"/>
    <n v="104997.24"/>
    <s v="Processing"/>
    <s v="Pending"/>
  </r>
  <r>
    <s v="INV-2026-02566"/>
    <x v="72"/>
    <s v="East"/>
    <s v="Bhubaneswar"/>
    <s v="Retail Store"/>
    <s v="Suresh Gupta"/>
    <s v="Alpha Trading"/>
    <x v="5"/>
    <s v="Refrigerator"/>
    <n v="19"/>
    <n v="47404.18"/>
    <n v="900679.42"/>
    <n v="169617.94"/>
    <n v="0"/>
    <n v="731061.48"/>
    <s v="Pending"/>
    <s v="Pending"/>
  </r>
  <r>
    <s v="INV-2026-02567"/>
    <x v="86"/>
    <s v="East"/>
    <s v="Patna"/>
    <s v="Online"/>
    <s v="Rahul Sharma"/>
    <s v="Nexus Ltd"/>
    <x v="0"/>
    <s v="Notebook"/>
    <n v="23"/>
    <n v="8100.44"/>
    <n v="186310.12"/>
    <n v="10948.6"/>
    <n v="0"/>
    <n v="175361.52"/>
    <s v="Completed"/>
    <s v="Paid"/>
  </r>
  <r>
    <s v="INV-2026-02568"/>
    <x v="40"/>
    <s v="Central"/>
    <s v="Nagpur"/>
    <s v="Retail Store"/>
    <s v="Amit Kumar"/>
    <s v="Future Tech"/>
    <x v="5"/>
    <s v="TV"/>
    <n v="35"/>
    <n v="23018.5"/>
    <n v="805647.5"/>
    <n v="86375.33"/>
    <n v="0"/>
    <n v="719272.17"/>
    <s v="Processing"/>
    <s v="Pending"/>
  </r>
  <r>
    <s v="INV-2026-02569"/>
    <x v="48"/>
    <s v="East"/>
    <s v="Bhubaneswar"/>
    <s v="Online"/>
    <s v="Priya Patel"/>
    <s v="Nexus Ltd"/>
    <x v="1"/>
    <s v="Cabinet"/>
    <n v="24"/>
    <n v="37851.79"/>
    <n v="908442.96"/>
    <n v="166068"/>
    <n v="0"/>
    <n v="742374.96"/>
    <s v="Processing"/>
    <s v="Pending"/>
  </r>
  <r>
    <s v="INV-2026-02570"/>
    <x v="71"/>
    <s v="East"/>
    <s v="Bhubaneswar"/>
    <s v="Retail Store"/>
    <s v="Priya Patel"/>
    <s v="Future Tech"/>
    <x v="0"/>
    <s v="Notebook"/>
    <n v="50"/>
    <n v="22828.82"/>
    <n v="1141441"/>
    <n v="0"/>
    <n v="295257.12"/>
    <n v="846183.88"/>
    <s v="Processing"/>
    <s v="Pending"/>
  </r>
  <r>
    <s v="INV-2026-02571"/>
    <x v="75"/>
    <s v="South"/>
    <s v="Bangalore"/>
    <s v="Distributor"/>
    <s v="Priya Patel"/>
    <s v="Global Traders"/>
    <x v="4"/>
    <s v="Shoes"/>
    <n v="3"/>
    <n v="27047.21"/>
    <n v="81141.63"/>
    <n v="9014"/>
    <n v="0"/>
    <n v="72127.63"/>
    <s v="Pending"/>
    <s v="Pending"/>
  </r>
  <r>
    <s v="INV-2026-02572"/>
    <x v="3"/>
    <s v="East"/>
    <s v="Patna"/>
    <s v="Online"/>
    <s v="Meera Joshi"/>
    <s v="Urban Store"/>
    <x v="2"/>
    <s v="Tennis Racket"/>
    <n v="50"/>
    <n v="46840.23"/>
    <n v="2342011.5"/>
    <n v="278061.94"/>
    <n v="0"/>
    <n v="2063949.56"/>
    <s v="Cancelled"/>
    <s v="Pending"/>
  </r>
  <r>
    <s v="INV-2026-02573"/>
    <x v="89"/>
    <s v="North"/>
    <s v="Chandigarh"/>
    <s v="Distributor"/>
    <s v="Anita Desai"/>
    <s v="Digital Hub"/>
    <x v="1"/>
    <s v="Sofa"/>
    <n v="44"/>
    <n v="18668.849999999999"/>
    <n v="821429.4"/>
    <n v="111647.86"/>
    <n v="0"/>
    <n v="709781.54"/>
    <s v="Pending"/>
    <s v="Paid"/>
  </r>
  <r>
    <s v="INV-2026-02574"/>
    <x v="70"/>
    <s v="West"/>
    <s v="Surat"/>
    <s v="Online"/>
    <s v="Rajesh Verma"/>
    <s v="Digital Hub"/>
    <x v="5"/>
    <s v="Microwave"/>
    <n v="45"/>
    <n v="14701.27"/>
    <n v="661557.15"/>
    <n v="18050.02"/>
    <n v="0"/>
    <n v="643507.13"/>
    <s v="Pending"/>
    <s v="Pending"/>
  </r>
  <r>
    <s v="INV-2026-02575"/>
    <x v="12"/>
    <s v="West"/>
    <s v="Mumbai"/>
    <s v="Direct Sales"/>
    <s v="Rahul Sharma"/>
    <s v="Tech Solutions"/>
    <x v="2"/>
    <s v="Football"/>
    <n v="49"/>
    <n v="18597.37"/>
    <n v="911271.13"/>
    <n v="60776.02"/>
    <n v="10991.64"/>
    <n v="839503.47"/>
    <s v="Pending"/>
    <s v="Paid"/>
  </r>
  <r>
    <s v="INV-2026-02576"/>
    <x v="36"/>
    <s v="East"/>
    <s v="Guwahati"/>
    <s v="Direct Sales"/>
    <s v="Amit Kumar"/>
    <s v="Nexus Ltd"/>
    <x v="2"/>
    <s v="Gym Equipment"/>
    <n v="49"/>
    <n v="27205.69"/>
    <n v="1333078.81"/>
    <n v="217368.17"/>
    <n v="0"/>
    <n v="1115710.6399999999"/>
    <s v="Cancelled"/>
    <s v="Pending"/>
  </r>
  <r>
    <s v="INV-2026-02577"/>
    <x v="8"/>
    <s v="West"/>
    <s v="Mumbai"/>
    <s v="Direct Sales"/>
    <s v="Sneha Reddy"/>
    <s v="Global Traders"/>
    <x v="5"/>
    <s v="Vacuum Cleaner"/>
    <n v="24"/>
    <n v="3080.63"/>
    <n v="73935.12"/>
    <n v="0"/>
    <n v="0"/>
    <n v="73935.12"/>
    <s v="Pending"/>
    <s v="Pending"/>
  </r>
  <r>
    <s v="INV-2026-02578"/>
    <x v="64"/>
    <s v="South"/>
    <s v="Chennai"/>
    <s v="Direct Sales"/>
    <s v="Rajesh Verma"/>
    <s v="Nexus Ltd"/>
    <x v="2"/>
    <s v="Bicycle"/>
    <n v="2"/>
    <n v="40931.64"/>
    <n v="81863.28"/>
    <n v="12249.56"/>
    <n v="0"/>
    <n v="69613.72"/>
    <s v="Completed"/>
    <s v="Paid"/>
  </r>
  <r>
    <s v="INV-2026-02579"/>
    <x v="27"/>
    <s v="East"/>
    <s v="Bhubaneswar"/>
    <s v="Direct Sales"/>
    <s v="Amit Kumar"/>
    <s v="Prime Retail"/>
    <x v="4"/>
    <s v="Jacket"/>
    <n v="16"/>
    <n v="32461.74"/>
    <n v="519387.84"/>
    <n v="0"/>
    <n v="64119.67"/>
    <n v="455268.17"/>
    <s v="Processing"/>
    <s v="Paid"/>
  </r>
  <r>
    <s v="INV-2026-02580"/>
    <x v="18"/>
    <s v="North"/>
    <s v="Delhi"/>
    <s v="Direct Sales"/>
    <s v="Anita Desai"/>
    <s v="Skyline Corp"/>
    <x v="3"/>
    <s v="Laptop"/>
    <n v="9"/>
    <n v="40882.21"/>
    <n v="367939.89"/>
    <n v="64587.040000000001"/>
    <n v="0"/>
    <n v="303352.84999999998"/>
    <s v="Completed"/>
    <s v="Paid"/>
  </r>
  <r>
    <s v="INV-2026-02581"/>
    <x v="87"/>
    <s v="Central"/>
    <s v="Indore"/>
    <s v="Online"/>
    <s v="Kavita Nair"/>
    <s v="Prime Retail"/>
    <x v="1"/>
    <s v="Bookshelf"/>
    <n v="13"/>
    <n v="31335.88"/>
    <n v="407366.44"/>
    <n v="9994.27"/>
    <n v="0"/>
    <n v="397372.17"/>
    <s v="Processing"/>
    <s v="Pending"/>
  </r>
  <r>
    <s v="INV-2026-02582"/>
    <x v="16"/>
    <s v="Central"/>
    <s v="Nagpur"/>
    <s v="Online"/>
    <s v="Anita Desai"/>
    <s v="Future Tech"/>
    <x v="4"/>
    <s v="Shoes"/>
    <n v="15"/>
    <n v="19723"/>
    <n v="295845"/>
    <n v="37883.449999999997"/>
    <n v="0"/>
    <n v="257961.55"/>
    <s v="Cancelled"/>
    <s v="Pending"/>
  </r>
  <r>
    <s v="INV-2026-02583"/>
    <x v="19"/>
    <s v="East"/>
    <s v="Patna"/>
    <s v="Online"/>
    <s v="Amit Kumar"/>
    <s v="Skyline Corp"/>
    <x v="0"/>
    <s v="Notebook"/>
    <n v="33"/>
    <n v="2289.8200000000002"/>
    <n v="75564.06"/>
    <n v="93.49"/>
    <n v="0"/>
    <n v="75470.570000000007"/>
    <s v="Processing"/>
    <s v="Paid"/>
  </r>
  <r>
    <s v="INV-2026-02584"/>
    <x v="48"/>
    <s v="South"/>
    <s v="Bangalore"/>
    <s v="Direct Sales"/>
    <s v="Vijay Singh"/>
    <s v="Skyline Corp"/>
    <x v="3"/>
    <s v="Camera"/>
    <n v="3"/>
    <n v="10053.56"/>
    <n v="30160.68"/>
    <n v="3216.9"/>
    <n v="0"/>
    <n v="26943.78"/>
    <s v="Cancelled"/>
    <s v="Pending"/>
  </r>
  <r>
    <s v="INV-2026-02585"/>
    <x v="38"/>
    <s v="North"/>
    <s v="Jaipur"/>
    <s v="Direct Sales"/>
    <s v="Suresh Gupta"/>
    <s v="Future Tech"/>
    <x v="2"/>
    <s v="Tennis Racket"/>
    <n v="34"/>
    <n v="25349.99"/>
    <n v="861899.66"/>
    <n v="26914.85"/>
    <n v="0"/>
    <n v="834984.81"/>
    <s v="Completed"/>
    <s v="Paid"/>
  </r>
  <r>
    <s v="INV-2026-02586"/>
    <x v="84"/>
    <s v="East"/>
    <s v="Guwahati"/>
    <s v="Online"/>
    <s v="Rajesh Verma"/>
    <s v="Alpha Trading"/>
    <x v="2"/>
    <s v="Yoga Mat"/>
    <n v="32"/>
    <n v="28880.65"/>
    <n v="924180.8"/>
    <n v="50227.05"/>
    <n v="0"/>
    <n v="873953.75"/>
    <s v="Processing"/>
    <s v="Pending"/>
  </r>
  <r>
    <s v="INV-2026-02587"/>
    <x v="66"/>
    <s v="East"/>
    <s v="Kolkata"/>
    <s v="Online"/>
    <s v="Amit Kumar"/>
    <s v="Digital Hub"/>
    <x v="3"/>
    <s v="Smart Watch"/>
    <n v="31"/>
    <n v="1540.65"/>
    <n v="47760.15"/>
    <n v="0"/>
    <n v="0"/>
    <n v="47760.15"/>
    <s v="Pending"/>
    <s v="Paid"/>
  </r>
  <r>
    <s v="INV-2026-02588"/>
    <x v="30"/>
    <s v="North"/>
    <s v="Jaipur"/>
    <s v="Direct Sales"/>
    <s v="Anita Desai"/>
    <s v="Tech Solutions"/>
    <x v="2"/>
    <s v="Yoga Mat"/>
    <n v="49"/>
    <n v="24048.67"/>
    <n v="1178384.83"/>
    <n v="109656.23"/>
    <n v="0"/>
    <n v="1068728.6000000001"/>
    <s v="Pending"/>
    <s v="Pending"/>
  </r>
  <r>
    <s v="INV-2026-02589"/>
    <x v="36"/>
    <s v="East"/>
    <s v="Patna"/>
    <s v="Retail Store"/>
    <s v="Meera Joshi"/>
    <s v="Future Tech"/>
    <x v="3"/>
    <s v="Laptop"/>
    <n v="19"/>
    <n v="4108.12"/>
    <n v="78054.28"/>
    <n v="8382"/>
    <n v="0"/>
    <n v="69672.28"/>
    <s v="Pending"/>
    <s v="Paid"/>
  </r>
  <r>
    <s v="INV-2026-02590"/>
    <x v="70"/>
    <s v="Central"/>
    <s v="Nagpur"/>
    <s v="Direct Sales"/>
    <s v="Rajesh Verma"/>
    <s v="Future Tech"/>
    <x v="5"/>
    <s v="TV"/>
    <n v="42"/>
    <n v="11322.22"/>
    <n v="475533.24"/>
    <n v="74991.45"/>
    <n v="0"/>
    <n v="400541.79"/>
    <s v="Completed"/>
    <s v="Paid"/>
  </r>
  <r>
    <s v="INV-2026-02591"/>
    <x v="64"/>
    <s v="South"/>
    <s v="Hyderabad"/>
    <s v="Retail Store"/>
    <s v="Anita Desai"/>
    <s v="Urban Store"/>
    <x v="1"/>
    <s v="Cabinet"/>
    <n v="42"/>
    <n v="45897.11"/>
    <n v="1927678.62"/>
    <n v="380295.59"/>
    <n v="0"/>
    <n v="1547383.03"/>
    <s v="Cancelled"/>
    <s v="Pending"/>
  </r>
  <r>
    <s v="INV-2026-02592"/>
    <x v="55"/>
    <s v="West"/>
    <s v="Mumbai"/>
    <s v="Distributor"/>
    <s v="Rajesh Verma"/>
    <s v="Urban Store"/>
    <x v="4"/>
    <s v="Jeans"/>
    <n v="5"/>
    <n v="25526.25"/>
    <n v="127631.25"/>
    <n v="0"/>
    <n v="0"/>
    <n v="127631.25"/>
    <s v="Completed"/>
    <s v="Paid"/>
  </r>
  <r>
    <s v="INV-2026-02593"/>
    <x v="83"/>
    <s v="Central"/>
    <s v="Nagpur"/>
    <s v="Retail Store"/>
    <s v="Meera Joshi"/>
    <s v="ABC Corp"/>
    <x v="3"/>
    <s v="Camera"/>
    <n v="48"/>
    <n v="20433"/>
    <n v="980784"/>
    <n v="75419.5"/>
    <n v="0"/>
    <n v="905364.5"/>
    <s v="Processing"/>
    <s v="Pending"/>
  </r>
  <r>
    <s v="INV-2026-02594"/>
    <x v="11"/>
    <s v="North"/>
    <s v="Chandigarh"/>
    <s v="Retail Store"/>
    <s v="Suresh Gupta"/>
    <s v="Future Tech"/>
    <x v="3"/>
    <s v="Smartphone"/>
    <n v="35"/>
    <n v="32990.39"/>
    <n v="1154663.6499999999"/>
    <n v="0"/>
    <n v="343147.66"/>
    <n v="811515.99"/>
    <s v="Processing"/>
    <s v="Pending"/>
  </r>
  <r>
    <s v="INV-2026-02595"/>
    <x v="83"/>
    <s v="East"/>
    <s v="Bhubaneswar"/>
    <s v="Distributor"/>
    <s v="Meera Joshi"/>
    <s v="Prime Retail"/>
    <x v="2"/>
    <s v="Yoga Mat"/>
    <n v="4"/>
    <n v="14268.59"/>
    <n v="57074.36"/>
    <n v="0"/>
    <n v="0"/>
    <n v="57074.36"/>
    <s v="Cancelled"/>
    <s v="Pending"/>
  </r>
  <r>
    <s v="INV-2026-02596"/>
    <x v="78"/>
    <s v="West"/>
    <s v="Surat"/>
    <s v="Direct Sales"/>
    <s v="Rajesh Verma"/>
    <s v="Metro Mart"/>
    <x v="4"/>
    <s v="Shoes"/>
    <n v="1"/>
    <n v="1998.86"/>
    <n v="1998.86"/>
    <n v="262.83"/>
    <n v="0"/>
    <n v="1736.03"/>
    <s v="Pending"/>
    <s v="Pending"/>
  </r>
  <r>
    <s v="INV-2026-02597"/>
    <x v="88"/>
    <s v="East"/>
    <s v="Kolkata"/>
    <s v="Distributor"/>
    <s v="Suresh Gupta"/>
    <s v="ABC Corp"/>
    <x v="2"/>
    <s v="Tennis Racket"/>
    <n v="34"/>
    <n v="37058.93"/>
    <n v="1260003.6200000001"/>
    <n v="0"/>
    <n v="0"/>
    <n v="1260003.6200000001"/>
    <s v="Pending"/>
    <s v="Pending"/>
  </r>
  <r>
    <s v="INV-2026-02598"/>
    <x v="91"/>
    <s v="North"/>
    <s v="Chandigarh"/>
    <s v="Distributor"/>
    <s v="Kavita Nair"/>
    <s v="Metro Mart"/>
    <x v="0"/>
    <s v="Whiteboard"/>
    <n v="24"/>
    <n v="13537.69"/>
    <n v="324904.56"/>
    <n v="53823.88"/>
    <n v="0"/>
    <n v="271080.68"/>
    <s v="Processing"/>
    <s v="Pending"/>
  </r>
  <r>
    <s v="INV-2026-02599"/>
    <x v="46"/>
    <s v="Central"/>
    <s v="Nagpur"/>
    <s v="Distributor"/>
    <s v="Priya Patel"/>
    <s v="Nexus Ltd"/>
    <x v="0"/>
    <s v="Pen Set"/>
    <n v="41"/>
    <n v="40103.949999999997"/>
    <n v="1644261.95"/>
    <n v="216833.45"/>
    <n v="487227.25"/>
    <n v="940201.25"/>
    <s v="Processing"/>
    <s v="Pending"/>
  </r>
  <r>
    <s v="INV-2026-02600"/>
    <x v="74"/>
    <s v="North"/>
    <s v="Jaipur"/>
    <s v="Distributor"/>
    <s v="Kavita Nair"/>
    <s v="Digital Hub"/>
    <x v="4"/>
    <s v="Jacket"/>
    <n v="11"/>
    <n v="46741.88"/>
    <n v="514160.68"/>
    <n v="0"/>
    <n v="0"/>
    <n v="514160.68"/>
    <s v="Completed"/>
    <s v="Paid"/>
  </r>
  <r>
    <s v="INV-2026-02601"/>
    <x v="36"/>
    <s v="South"/>
    <s v="Chennai"/>
    <s v="Online"/>
    <s v="Amit Kumar"/>
    <s v="Omega Stores"/>
    <x v="3"/>
    <s v="Laptop"/>
    <n v="41"/>
    <n v="16832.62"/>
    <n v="690137.42"/>
    <n v="58758.07"/>
    <n v="0"/>
    <n v="631379.35"/>
    <s v="Cancelled"/>
    <s v="Pending"/>
  </r>
  <r>
    <s v="INV-2026-02602"/>
    <x v="51"/>
    <s v="West"/>
    <s v="Surat"/>
    <s v="Retail Store"/>
    <s v="Rajesh Verma"/>
    <s v="Urban Store"/>
    <x v="1"/>
    <s v="Conference Table"/>
    <n v="47"/>
    <n v="11142.2"/>
    <n v="523683.4"/>
    <n v="62990.26"/>
    <n v="0"/>
    <n v="460693.14"/>
    <s v="Pending"/>
    <s v="Pending"/>
  </r>
  <r>
    <s v="INV-2026-02603"/>
    <x v="14"/>
    <s v="West"/>
    <s v="Mumbai"/>
    <s v="Distributor"/>
    <s v="Amit Kumar"/>
    <s v="Global Traders"/>
    <x v="5"/>
    <s v="Washing Machine"/>
    <n v="29"/>
    <n v="28413.99"/>
    <n v="824005.71"/>
    <n v="45703.26"/>
    <n v="5509.76"/>
    <n v="772792.69"/>
    <s v="Completed"/>
    <s v="Paid"/>
  </r>
  <r>
    <s v="INV-2026-02604"/>
    <x v="55"/>
    <s v="North"/>
    <s v="Delhi"/>
    <s v="Online"/>
    <s v="Kavita Nair"/>
    <s v="Prime Retail"/>
    <x v="2"/>
    <s v="Yoga Mat"/>
    <n v="39"/>
    <n v="14683.92"/>
    <n v="572672.88"/>
    <n v="110344.57"/>
    <n v="0"/>
    <n v="462328.31"/>
    <s v="Pending"/>
    <s v="Pending"/>
  </r>
  <r>
    <s v="INV-2026-02605"/>
    <x v="67"/>
    <s v="West"/>
    <s v="Mumbai"/>
    <s v="Online"/>
    <s v="Meera Joshi"/>
    <s v="Alpha Trading"/>
    <x v="1"/>
    <s v="Bookshelf"/>
    <n v="25"/>
    <n v="8282.14"/>
    <n v="207053.5"/>
    <n v="29320"/>
    <n v="0"/>
    <n v="177733.5"/>
    <s v="Pending"/>
    <s v="Paid"/>
  </r>
  <r>
    <s v="INV-2026-02606"/>
    <x v="62"/>
    <s v="East"/>
    <s v="Patna"/>
    <s v="Direct Sales"/>
    <s v="Suresh Gupta"/>
    <s v="Nexus Ltd"/>
    <x v="5"/>
    <s v="Vacuum Cleaner"/>
    <n v="45"/>
    <n v="26599.9"/>
    <n v="1196995.5"/>
    <n v="0"/>
    <n v="0"/>
    <n v="1196995.5"/>
    <s v="Pending"/>
    <s v="Paid"/>
  </r>
  <r>
    <s v="INV-2026-02607"/>
    <x v="53"/>
    <s v="South"/>
    <s v="Bangalore"/>
    <s v="Retail Store"/>
    <s v="Sneha Reddy"/>
    <s v="XYZ Ltd"/>
    <x v="2"/>
    <s v="Bicycle"/>
    <n v="23"/>
    <n v="32459.64"/>
    <n v="746571.72"/>
    <n v="127853.62"/>
    <n v="169611.11"/>
    <n v="449106.99"/>
    <s v="Completed"/>
    <s v="Paid"/>
  </r>
  <r>
    <s v="INV-2026-02608"/>
    <x v="69"/>
    <s v="North"/>
    <s v="Lucknow"/>
    <s v="Retail Store"/>
    <s v="Vijay Singh"/>
    <s v="Smart Systems"/>
    <x v="4"/>
    <s v="Formal Shirt"/>
    <n v="24"/>
    <n v="18410.39"/>
    <n v="441849.36"/>
    <n v="87008.33"/>
    <n v="0"/>
    <n v="354841.03"/>
    <s v="Pending"/>
    <s v="Pending"/>
  </r>
  <r>
    <s v="INV-2026-02609"/>
    <x v="76"/>
    <s v="Central"/>
    <s v="Nagpur"/>
    <s v="Online"/>
    <s v="Rajesh Verma"/>
    <s v="Tech Solutions"/>
    <x v="1"/>
    <s v="Sofa"/>
    <n v="49"/>
    <n v="23760.51"/>
    <n v="1164264.99"/>
    <n v="114444.01"/>
    <n v="0"/>
    <n v="1049820.98"/>
    <s v="Completed"/>
    <s v="Paid"/>
  </r>
  <r>
    <s v="INV-2026-02610"/>
    <x v="16"/>
    <s v="South"/>
    <s v="Chennai"/>
    <s v="Direct Sales"/>
    <s v="Priya Patel"/>
    <s v="Urban Store"/>
    <x v="5"/>
    <s v="Microwave"/>
    <n v="35"/>
    <n v="46785.98"/>
    <n v="1637509.3"/>
    <n v="211463.4"/>
    <n v="0"/>
    <n v="1426045.9"/>
    <s v="Cancelled"/>
    <s v="Pending"/>
  </r>
  <r>
    <s v="INV-2026-02611"/>
    <x v="5"/>
    <s v="Central"/>
    <s v="Indore"/>
    <s v="Distributor"/>
    <s v="Amit Kumar"/>
    <s v="Future Tech"/>
    <x v="5"/>
    <s v="Vacuum Cleaner"/>
    <n v="47"/>
    <n v="11480.86"/>
    <n v="539600.42000000004"/>
    <n v="94146.82"/>
    <n v="0"/>
    <n v="445453.6"/>
    <s v="Pending"/>
    <s v="Paid"/>
  </r>
  <r>
    <s v="INV-2026-02612"/>
    <x v="74"/>
    <s v="Central"/>
    <s v="Nagpur"/>
    <s v="Distributor"/>
    <s v="Rajesh Verma"/>
    <s v="Nexus Ltd"/>
    <x v="3"/>
    <s v="Camera"/>
    <n v="36"/>
    <n v="19813.939999999999"/>
    <n v="713301.84"/>
    <n v="0"/>
    <n v="0"/>
    <n v="713301.84"/>
    <s v="Cancelled"/>
    <s v="Pending"/>
  </r>
  <r>
    <s v="INV-2026-02613"/>
    <x v="74"/>
    <s v="East"/>
    <s v="Bhubaneswar"/>
    <s v="Distributor"/>
    <s v="Rahul Sharma"/>
    <s v="Future Tech"/>
    <x v="5"/>
    <s v="Vacuum Cleaner"/>
    <n v="24"/>
    <n v="34580.720000000001"/>
    <n v="829937.28"/>
    <n v="0"/>
    <n v="0"/>
    <n v="829937.28"/>
    <s v="Completed"/>
    <s v="Paid"/>
  </r>
  <r>
    <s v="INV-2026-02614"/>
    <x v="59"/>
    <s v="South"/>
    <s v="Chennai"/>
    <s v="Direct Sales"/>
    <s v="Priya Patel"/>
    <s v="Future Tech"/>
    <x v="5"/>
    <s v="Washing Machine"/>
    <n v="11"/>
    <n v="45958.12"/>
    <n v="505539.32"/>
    <n v="45500.49"/>
    <n v="0"/>
    <n v="460038.83"/>
    <s v="Processing"/>
    <s v="Paid"/>
  </r>
  <r>
    <s v="INV-2026-02615"/>
    <x v="4"/>
    <s v="Central"/>
    <s v="Nagpur"/>
    <s v="Online"/>
    <s v="Kavita Nair"/>
    <s v="Alpha Trading"/>
    <x v="4"/>
    <s v="Formal Shirt"/>
    <n v="30"/>
    <n v="12777.56"/>
    <n v="383326.8"/>
    <n v="0"/>
    <n v="0"/>
    <n v="383326.8"/>
    <s v="Completed"/>
    <s v="Paid"/>
  </r>
  <r>
    <s v="INV-2026-02616"/>
    <x v="27"/>
    <s v="North"/>
    <s v="Delhi"/>
    <s v="Distributor"/>
    <s v="Vijay Singh"/>
    <s v="Elite Enterprises"/>
    <x v="1"/>
    <s v="Office Chair"/>
    <n v="35"/>
    <n v="13238.3"/>
    <n v="463340.5"/>
    <n v="0"/>
    <n v="0"/>
    <n v="463340.5"/>
    <s v="Pending"/>
    <s v="Paid"/>
  </r>
  <r>
    <s v="INV-2026-02617"/>
    <x v="26"/>
    <s v="South"/>
    <s v="Hyderabad"/>
    <s v="Online"/>
    <s v="Sneha Reddy"/>
    <s v="Smart Systems"/>
    <x v="0"/>
    <s v="Printer Paper"/>
    <n v="37"/>
    <n v="34158.57"/>
    <n v="1263867.0900000001"/>
    <n v="207839.43"/>
    <n v="283650.34000000003"/>
    <n v="772377.32"/>
    <s v="Completed"/>
    <s v="Paid"/>
  </r>
  <r>
    <s v="INV-2026-02618"/>
    <x v="70"/>
    <s v="South"/>
    <s v="Hyderabad"/>
    <s v="Online"/>
    <s v="Priya Patel"/>
    <s v="Skyline Corp"/>
    <x v="0"/>
    <s v="File Folder"/>
    <n v="24"/>
    <n v="34692.629999999997"/>
    <n v="832623.12"/>
    <n v="85537.64"/>
    <n v="174821.23"/>
    <n v="572264.25"/>
    <s v="Completed"/>
    <s v="Paid"/>
  </r>
  <r>
    <s v="INV-2026-02619"/>
    <x v="15"/>
    <s v="Central"/>
    <s v="Nagpur"/>
    <s v="Retail Store"/>
    <s v="Rahul Sharma"/>
    <s v="Alpha Trading"/>
    <x v="3"/>
    <s v="Smart Watch"/>
    <n v="37"/>
    <n v="29752.84"/>
    <n v="1100855.08"/>
    <n v="0"/>
    <n v="0"/>
    <n v="1100855.08"/>
    <s v="Cancelled"/>
    <s v="Pending"/>
  </r>
  <r>
    <s v="INV-2026-02620"/>
    <x v="39"/>
    <s v="East"/>
    <s v="Guwahati"/>
    <s v="Direct Sales"/>
    <s v="Meera Joshi"/>
    <s v="Skyline Corp"/>
    <x v="5"/>
    <s v="Air Conditioner"/>
    <n v="36"/>
    <n v="11457.63"/>
    <n v="412474.68"/>
    <n v="6587.01"/>
    <n v="0"/>
    <n v="405887.67"/>
    <s v="Processing"/>
    <s v="Pending"/>
  </r>
  <r>
    <s v="INV-2026-02621"/>
    <x v="3"/>
    <s v="North"/>
    <s v="Chandigarh"/>
    <s v="Online"/>
    <s v="Rajesh Verma"/>
    <s v="Skyline Corp"/>
    <x v="5"/>
    <s v="Refrigerator"/>
    <n v="13"/>
    <n v="28690.67"/>
    <n v="372978.71"/>
    <n v="19541.57"/>
    <n v="0"/>
    <n v="353437.14"/>
    <s v="Processing"/>
    <s v="Paid"/>
  </r>
  <r>
    <s v="INV-2026-02622"/>
    <x v="82"/>
    <s v="South"/>
    <s v="Chennai"/>
    <s v="Online"/>
    <s v="Anita Desai"/>
    <s v="XYZ Ltd"/>
    <x v="4"/>
    <s v="Formal Shirt"/>
    <n v="2"/>
    <n v="12263.03"/>
    <n v="24526.06"/>
    <n v="0"/>
    <n v="0"/>
    <n v="24526.06"/>
    <s v="Pending"/>
    <s v="Pending"/>
  </r>
  <r>
    <s v="INV-2026-02623"/>
    <x v="18"/>
    <s v="West"/>
    <s v="Mumbai"/>
    <s v="Online"/>
    <s v="Vijay Singh"/>
    <s v="ABC Corp"/>
    <x v="3"/>
    <s v="Laptop"/>
    <n v="48"/>
    <n v="15781.11"/>
    <n v="757493.28"/>
    <n v="0"/>
    <n v="0"/>
    <n v="757493.28"/>
    <s v="Completed"/>
    <s v="Paid"/>
  </r>
  <r>
    <s v="INV-2026-02624"/>
    <x v="46"/>
    <s v="West"/>
    <s v="Pune"/>
    <s v="Distributor"/>
    <s v="Rajesh Verma"/>
    <s v="Elite Enterprises"/>
    <x v="0"/>
    <s v="Whiteboard"/>
    <n v="39"/>
    <n v="735.53"/>
    <n v="28685.67"/>
    <n v="1776.66"/>
    <n v="0"/>
    <n v="26909.01"/>
    <s v="Completed"/>
    <s v="Paid"/>
  </r>
  <r>
    <s v="INV-2026-02625"/>
    <x v="63"/>
    <s v="South"/>
    <s v="Kochi"/>
    <s v="Online"/>
    <s v="Amit Kumar"/>
    <s v="Nexus Ltd"/>
    <x v="3"/>
    <s v="Smart Watch"/>
    <n v="23"/>
    <n v="49793.15"/>
    <n v="1145242.45"/>
    <n v="93767.06"/>
    <n v="0"/>
    <n v="1051475.3899999999"/>
    <s v="Completed"/>
    <s v="Paid"/>
  </r>
  <r>
    <s v="INV-2026-02626"/>
    <x v="48"/>
    <s v="North"/>
    <s v="Chandigarh"/>
    <s v="Online"/>
    <s v="Amit Kumar"/>
    <s v="Global Traders"/>
    <x v="2"/>
    <s v="Tennis Racket"/>
    <n v="49"/>
    <n v="19867.3"/>
    <n v="973497.7"/>
    <n v="0"/>
    <n v="0"/>
    <n v="973497.7"/>
    <s v="Processing"/>
    <s v="Pending"/>
  </r>
  <r>
    <s v="INV-2026-02627"/>
    <x v="66"/>
    <s v="North"/>
    <s v="Jaipur"/>
    <s v="Direct Sales"/>
    <s v="Amit Kumar"/>
    <s v="Prime Retail"/>
    <x v="4"/>
    <s v="Jeans"/>
    <n v="4"/>
    <n v="47731.3"/>
    <n v="190925.2"/>
    <n v="31670.45"/>
    <n v="25537.17"/>
    <n v="133717.57999999999"/>
    <s v="Pending"/>
    <s v="Pending"/>
  </r>
  <r>
    <s v="INV-2026-02628"/>
    <x v="74"/>
    <s v="West"/>
    <s v="Mumbai"/>
    <s v="Distributor"/>
    <s v="Rajesh Verma"/>
    <s v="Urban Store"/>
    <x v="4"/>
    <s v="Dress"/>
    <n v="31"/>
    <n v="36128.83"/>
    <n v="1119993.73"/>
    <n v="123059.4"/>
    <n v="0"/>
    <n v="996934.33"/>
    <s v="Processing"/>
    <s v="Pending"/>
  </r>
  <r>
    <s v="INV-2026-02629"/>
    <x v="45"/>
    <s v="Central"/>
    <s v="Nagpur"/>
    <s v="Retail Store"/>
    <s v="Priya Patel"/>
    <s v="Elite Enterprises"/>
    <x v="1"/>
    <s v="Cabinet"/>
    <n v="19"/>
    <n v="10482.129999999999"/>
    <n v="199160.47"/>
    <n v="0"/>
    <n v="0"/>
    <n v="199160.47"/>
    <s v="Processing"/>
    <s v="Pending"/>
  </r>
  <r>
    <s v="INV-2026-02630"/>
    <x v="10"/>
    <s v="West"/>
    <s v="Ahmedabad"/>
    <s v="Direct Sales"/>
    <s v="Sneha Reddy"/>
    <s v="Future Tech"/>
    <x v="1"/>
    <s v="Desk"/>
    <n v="11"/>
    <n v="12833.26"/>
    <n v="141165.85999999999"/>
    <n v="26105.58"/>
    <n v="0"/>
    <n v="115060.28"/>
    <s v="Completed"/>
    <s v="Pending"/>
  </r>
  <r>
    <s v="INV-2026-02631"/>
    <x v="17"/>
    <s v="Central"/>
    <s v="Raipur"/>
    <s v="Retail Store"/>
    <s v="Meera Joshi"/>
    <s v="Prime Retail"/>
    <x v="5"/>
    <s v="Air Conditioner"/>
    <n v="19"/>
    <n v="5137.34"/>
    <n v="97609.46"/>
    <n v="0"/>
    <n v="0"/>
    <n v="97609.46"/>
    <s v="Cancelled"/>
    <s v="Pending"/>
  </r>
  <r>
    <s v="INV-2026-02632"/>
    <x v="68"/>
    <s v="North"/>
    <s v="Chandigarh"/>
    <s v="Direct Sales"/>
    <s v="Rahul Sharma"/>
    <s v="XYZ Ltd"/>
    <x v="1"/>
    <s v="Cabinet"/>
    <n v="29"/>
    <n v="20992.59"/>
    <n v="608785.11"/>
    <n v="0"/>
    <n v="52945.99"/>
    <n v="555839.12"/>
    <s v="Cancelled"/>
    <s v="Pending"/>
  </r>
  <r>
    <s v="INV-2026-02633"/>
    <x v="65"/>
    <s v="South"/>
    <s v="Bangalore"/>
    <s v="Distributor"/>
    <s v="Vijay Singh"/>
    <s v="Digital Hub"/>
    <x v="3"/>
    <s v="Smartphone"/>
    <n v="32"/>
    <n v="29847.06"/>
    <n v="955105.92"/>
    <n v="0"/>
    <n v="0"/>
    <n v="955105.92"/>
    <s v="Pending"/>
    <s v="Pending"/>
  </r>
  <r>
    <s v="INV-2026-02634"/>
    <x v="46"/>
    <s v="West"/>
    <s v="Mumbai"/>
    <s v="Online"/>
    <s v="Amit Kumar"/>
    <s v="Urban Store"/>
    <x v="3"/>
    <s v="Laptop"/>
    <n v="39"/>
    <n v="45356.47"/>
    <n v="1768902.33"/>
    <n v="0"/>
    <n v="0"/>
    <n v="1768902.33"/>
    <s v="Cancelled"/>
    <s v="Pending"/>
  </r>
  <r>
    <s v="INV-2026-02635"/>
    <x v="31"/>
    <s v="Central"/>
    <s v="Bhopal"/>
    <s v="Retail Store"/>
    <s v="Priya Patel"/>
    <s v="Alpha Trading"/>
    <x v="4"/>
    <s v="Formal Shirt"/>
    <n v="11"/>
    <n v="47981.49"/>
    <n v="527796.39"/>
    <n v="0"/>
    <n v="127103.84"/>
    <n v="400692.55"/>
    <s v="Cancelled"/>
    <s v="Pending"/>
  </r>
  <r>
    <s v="INV-2026-02636"/>
    <x v="80"/>
    <s v="East"/>
    <s v="Patna"/>
    <s v="Retail Store"/>
    <s v="Vijay Singh"/>
    <s v="Nexus Ltd"/>
    <x v="5"/>
    <s v="Air Conditioner"/>
    <n v="17"/>
    <n v="6657.66"/>
    <n v="113180.22"/>
    <n v="0"/>
    <n v="0"/>
    <n v="113180.22"/>
    <s v="Completed"/>
    <s v="Paid"/>
  </r>
  <r>
    <s v="INV-2026-02637"/>
    <x v="45"/>
    <s v="Central"/>
    <s v="Raipur"/>
    <s v="Distributor"/>
    <s v="Sneha Reddy"/>
    <s v="Future Tech"/>
    <x v="4"/>
    <s v="Jeans"/>
    <n v="42"/>
    <n v="6568.37"/>
    <n v="275871.53999999998"/>
    <n v="52186.05"/>
    <n v="55890.07"/>
    <n v="167795.42"/>
    <s v="Completed"/>
    <s v="Paid"/>
  </r>
  <r>
    <s v="INV-2026-02638"/>
    <x v="17"/>
    <s v="North"/>
    <s v="Lucknow"/>
    <s v="Direct Sales"/>
    <s v="Amit Kumar"/>
    <s v="ABC Corp"/>
    <x v="4"/>
    <s v="Dress"/>
    <n v="6"/>
    <n v="12361.82"/>
    <n v="74170.92"/>
    <n v="7319.81"/>
    <n v="0"/>
    <n v="66851.11"/>
    <s v="Processing"/>
    <s v="Pending"/>
  </r>
  <r>
    <s v="INV-2026-02639"/>
    <x v="83"/>
    <s v="South"/>
    <s v="Hyderabad"/>
    <s v="Distributor"/>
    <s v="Sneha Reddy"/>
    <s v="XYZ Ltd"/>
    <x v="4"/>
    <s v="Jacket"/>
    <n v="10"/>
    <n v="35722.76"/>
    <n v="357227.6"/>
    <n v="0"/>
    <n v="0"/>
    <n v="357227.6"/>
    <s v="Completed"/>
    <s v="Paid"/>
  </r>
  <r>
    <s v="INV-2026-02640"/>
    <x v="90"/>
    <s v="North"/>
    <s v="Jaipur"/>
    <s v="Distributor"/>
    <s v="Rahul Sharma"/>
    <s v="Prime Retail"/>
    <x v="2"/>
    <s v="Cricket Bat"/>
    <n v="25"/>
    <n v="31218.5"/>
    <n v="780462.5"/>
    <n v="132869.79999999999"/>
    <n v="0"/>
    <n v="647592.69999999995"/>
    <s v="Processing"/>
    <s v="Pending"/>
  </r>
  <r>
    <s v="INV-2026-02641"/>
    <x v="14"/>
    <s v="East"/>
    <s v="Kolkata"/>
    <s v="Online"/>
    <s v="Sneha Reddy"/>
    <s v="Alpha Trading"/>
    <x v="4"/>
    <s v="Formal Shirt"/>
    <n v="20"/>
    <n v="44296.22"/>
    <n v="885924.4"/>
    <n v="0"/>
    <n v="0"/>
    <n v="885924.4"/>
    <s v="Completed"/>
    <s v="Paid"/>
  </r>
  <r>
    <s v="INV-2026-02642"/>
    <x v="7"/>
    <s v="Central"/>
    <s v="Nagpur"/>
    <s v="Retail Store"/>
    <s v="Rahul Sharma"/>
    <s v="Omega Stores"/>
    <x v="3"/>
    <s v="Tablet"/>
    <n v="20"/>
    <n v="38589.24"/>
    <n v="771784.8"/>
    <n v="20776.54"/>
    <n v="0"/>
    <n v="751008.26"/>
    <s v="Processing"/>
    <s v="Pending"/>
  </r>
  <r>
    <s v="INV-2026-02643"/>
    <x v="3"/>
    <s v="West"/>
    <s v="Ahmedabad"/>
    <s v="Online"/>
    <s v="Vijay Singh"/>
    <s v="XYZ Ltd"/>
    <x v="4"/>
    <s v="Jeans"/>
    <n v="4"/>
    <n v="28524.560000000001"/>
    <n v="114098.24000000001"/>
    <n v="10974.15"/>
    <n v="0"/>
    <n v="103124.09"/>
    <s v="Pending"/>
    <s v="Pending"/>
  </r>
  <r>
    <s v="INV-2026-02644"/>
    <x v="44"/>
    <s v="East"/>
    <s v="Bhubaneswar"/>
    <s v="Distributor"/>
    <s v="Rahul Sharma"/>
    <s v="Urban Store"/>
    <x v="5"/>
    <s v="Refrigerator"/>
    <n v="41"/>
    <n v="19705.689999999999"/>
    <n v="807933.29"/>
    <n v="134186.99"/>
    <n v="136044.16"/>
    <n v="537702.14"/>
    <s v="Cancelled"/>
    <s v="Pending"/>
  </r>
  <r>
    <s v="INV-2026-02645"/>
    <x v="5"/>
    <s v="North"/>
    <s v="Chandigarh"/>
    <s v="Distributor"/>
    <s v="Sneha Reddy"/>
    <s v="Skyline Corp"/>
    <x v="4"/>
    <s v="Jacket"/>
    <n v="28"/>
    <n v="16692.43"/>
    <n v="467388.04"/>
    <n v="0"/>
    <n v="128182.83"/>
    <n v="339205.21"/>
    <s v="Completed"/>
    <s v="Paid"/>
  </r>
  <r>
    <s v="INV-2026-02646"/>
    <x v="81"/>
    <s v="East"/>
    <s v="Patna"/>
    <s v="Online"/>
    <s v="Anita Desai"/>
    <s v="Tech Solutions"/>
    <x v="3"/>
    <s v="Laptop"/>
    <n v="9"/>
    <n v="21425.1"/>
    <n v="192825.9"/>
    <n v="14382.53"/>
    <n v="0"/>
    <n v="178443.37"/>
    <s v="Processing"/>
    <s v="Pending"/>
  </r>
  <r>
    <s v="INV-2026-02647"/>
    <x v="0"/>
    <s v="Central"/>
    <s v="Raipur"/>
    <s v="Online"/>
    <s v="Rajesh Verma"/>
    <s v="Skyline Corp"/>
    <x v="1"/>
    <s v="Desk"/>
    <n v="20"/>
    <n v="21792"/>
    <n v="435840"/>
    <n v="547.58000000000004"/>
    <n v="0"/>
    <n v="435292.42"/>
    <s v="Pending"/>
    <s v="Paid"/>
  </r>
  <r>
    <s v="INV-2026-02648"/>
    <x v="4"/>
    <s v="North"/>
    <s v="Chandigarh"/>
    <s v="Online"/>
    <s v="Anita Desai"/>
    <s v="Omega Stores"/>
    <x v="0"/>
    <s v="Notebook"/>
    <n v="26"/>
    <n v="1986.91"/>
    <n v="51659.66"/>
    <n v="1400.44"/>
    <n v="0"/>
    <n v="50259.22"/>
    <s v="Pending"/>
    <s v="Pending"/>
  </r>
  <r>
    <s v="INV-2026-02649"/>
    <x v="88"/>
    <s v="Central"/>
    <s v="Raipur"/>
    <s v="Direct Sales"/>
    <s v="Meera Joshi"/>
    <s v="Smart Systems"/>
    <x v="2"/>
    <s v="Football"/>
    <n v="26"/>
    <n v="18209.02"/>
    <n v="473434.52"/>
    <n v="0"/>
    <n v="80565.289999999994"/>
    <n v="392869.23"/>
    <s v="Completed"/>
    <s v="Pending"/>
  </r>
  <r>
    <s v="INV-2026-02650"/>
    <x v="64"/>
    <s v="Central"/>
    <s v="Bhopal"/>
    <s v="Retail Store"/>
    <s v="Suresh Gupta"/>
    <s v="Global Traders"/>
    <x v="5"/>
    <s v="Vacuum Cleaner"/>
    <n v="9"/>
    <n v="41041.160000000003"/>
    <n v="369370.44"/>
    <n v="22626.81"/>
    <n v="0"/>
    <n v="346743.63"/>
    <s v="Processing"/>
    <s v="Paid"/>
  </r>
  <r>
    <s v="INV-2026-02651"/>
    <x v="6"/>
    <s v="South"/>
    <s v="Chennai"/>
    <s v="Direct Sales"/>
    <s v="Rajesh Verma"/>
    <s v="Future Tech"/>
    <x v="4"/>
    <s v="Jacket"/>
    <n v="37"/>
    <n v="8524.32"/>
    <n v="315399.84000000003"/>
    <n v="33046.269999999997"/>
    <n v="0"/>
    <n v="282353.57"/>
    <s v="Processing"/>
    <s v="Pending"/>
  </r>
  <r>
    <s v="INV-2026-02652"/>
    <x v="68"/>
    <s v="West"/>
    <s v="Pune"/>
    <s v="Online"/>
    <s v="Kavita Nair"/>
    <s v="Elite Enterprises"/>
    <x v="2"/>
    <s v="Tennis Racket"/>
    <n v="15"/>
    <n v="38215.42"/>
    <n v="573231.30000000005"/>
    <n v="75766.66"/>
    <n v="0"/>
    <n v="497464.64"/>
    <s v="Pending"/>
    <s v="Pending"/>
  </r>
  <r>
    <s v="INV-2026-02653"/>
    <x v="16"/>
    <s v="West"/>
    <s v="Surat"/>
    <s v="Direct Sales"/>
    <s v="Vijay Singh"/>
    <s v="Tech Solutions"/>
    <x v="1"/>
    <s v="Desk"/>
    <n v="34"/>
    <n v="38739.69"/>
    <n v="1317149.46"/>
    <n v="0"/>
    <n v="0"/>
    <n v="1317149.46"/>
    <s v="Cancelled"/>
    <s v="Pending"/>
  </r>
  <r>
    <s v="INV-2026-02654"/>
    <x v="58"/>
    <s v="Central"/>
    <s v="Bhopal"/>
    <s v="Retail Store"/>
    <s v="Rahul Sharma"/>
    <s v="Skyline Corp"/>
    <x v="5"/>
    <s v="Washing Machine"/>
    <n v="39"/>
    <n v="37277.97"/>
    <n v="1453840.83"/>
    <n v="0"/>
    <n v="0"/>
    <n v="1453840.83"/>
    <s v="Completed"/>
    <s v="Paid"/>
  </r>
  <r>
    <s v="INV-2026-02655"/>
    <x v="76"/>
    <s v="South"/>
    <s v="Hyderabad"/>
    <s v="Distributor"/>
    <s v="Suresh Gupta"/>
    <s v="Smart Systems"/>
    <x v="0"/>
    <s v="Desk Organizer"/>
    <n v="34"/>
    <n v="44705.03"/>
    <n v="1519971.02"/>
    <n v="0"/>
    <n v="0"/>
    <n v="1519971.02"/>
    <s v="Completed"/>
    <s v="Paid"/>
  </r>
  <r>
    <s v="INV-2026-02656"/>
    <x v="73"/>
    <s v="South"/>
    <s v="Bangalore"/>
    <s v="Distributor"/>
    <s v="Rajesh Verma"/>
    <s v="Digital Hub"/>
    <x v="5"/>
    <s v="Refrigerator"/>
    <n v="2"/>
    <n v="50340.97"/>
    <n v="100681.94"/>
    <n v="16037.51"/>
    <n v="0"/>
    <n v="84644.43"/>
    <s v="Completed"/>
    <s v="Paid"/>
  </r>
  <r>
    <s v="INV-2026-02657"/>
    <x v="54"/>
    <s v="East"/>
    <s v="Bhubaneswar"/>
    <s v="Retail Store"/>
    <s v="Amit Kumar"/>
    <s v="XYZ Ltd"/>
    <x v="0"/>
    <s v="Notebook"/>
    <n v="23"/>
    <n v="28304.43"/>
    <n v="651001.89"/>
    <n v="95665.89"/>
    <n v="152990.13"/>
    <n v="402345.87"/>
    <s v="Pending"/>
    <s v="Paid"/>
  </r>
  <r>
    <s v="INV-2026-02658"/>
    <x v="78"/>
    <s v="East"/>
    <s v="Guwahati"/>
    <s v="Distributor"/>
    <s v="Rahul Sharma"/>
    <s v="Global Traders"/>
    <x v="3"/>
    <s v="Smart Watch"/>
    <n v="35"/>
    <n v="22392.34"/>
    <n v="783731.9"/>
    <n v="0"/>
    <n v="17012.310000000001"/>
    <n v="766719.59"/>
    <s v="Completed"/>
    <s v="Paid"/>
  </r>
  <r>
    <s v="INV-2026-02659"/>
    <x v="38"/>
    <s v="Central"/>
    <s v="Bhopal"/>
    <s v="Direct Sales"/>
    <s v="Rajesh Verma"/>
    <s v="Elite Enterprises"/>
    <x v="4"/>
    <s v="Shoes"/>
    <n v="15"/>
    <n v="14631.33"/>
    <n v="219469.95"/>
    <n v="29197.26"/>
    <n v="0"/>
    <n v="190272.69"/>
    <s v="Pending"/>
    <s v="Pending"/>
  </r>
  <r>
    <s v="INV-2026-02660"/>
    <x v="64"/>
    <s v="East"/>
    <s v="Patna"/>
    <s v="Distributor"/>
    <s v="Meera Joshi"/>
    <s v="Alpha Trading"/>
    <x v="5"/>
    <s v="Microwave"/>
    <n v="6"/>
    <n v="33696.81"/>
    <n v="202180.86"/>
    <n v="0"/>
    <n v="0"/>
    <n v="202180.86"/>
    <s v="Processing"/>
    <s v="Pending"/>
  </r>
  <r>
    <s v="INV-2026-02661"/>
    <x v="54"/>
    <s v="Central"/>
    <s v="Nagpur"/>
    <s v="Online"/>
    <s v="Meera Joshi"/>
    <s v="Nexus Ltd"/>
    <x v="3"/>
    <s v="Smart Watch"/>
    <n v="20"/>
    <n v="13370.72"/>
    <n v="267414.40000000002"/>
    <n v="28766.84"/>
    <n v="30175.51"/>
    <n v="208472.05"/>
    <s v="Completed"/>
    <s v="Paid"/>
  </r>
  <r>
    <s v="INV-2026-02662"/>
    <x v="69"/>
    <s v="Central"/>
    <s v="Bhopal"/>
    <s v="Retail Store"/>
    <s v="Amit Kumar"/>
    <s v="Skyline Corp"/>
    <x v="3"/>
    <s v="Tablet"/>
    <n v="17"/>
    <n v="36837.839999999997"/>
    <n v="626243.28"/>
    <n v="0"/>
    <n v="8577.93"/>
    <n v="617665.35"/>
    <s v="Cancelled"/>
    <s v="Pending"/>
  </r>
  <r>
    <s v="INV-2026-02663"/>
    <x v="71"/>
    <s v="West"/>
    <s v="Surat"/>
    <s v="Direct Sales"/>
    <s v="Vijay Singh"/>
    <s v="Metro Mart"/>
    <x v="3"/>
    <s v="Smart Watch"/>
    <n v="29"/>
    <n v="2290.8000000000002"/>
    <n v="66433.2"/>
    <n v="0"/>
    <n v="0"/>
    <n v="66433.2"/>
    <s v="Pending"/>
    <s v="Pending"/>
  </r>
  <r>
    <s v="INV-2026-02664"/>
    <x v="76"/>
    <s v="Central"/>
    <s v="Bhopal"/>
    <s v="Distributor"/>
    <s v="Priya Patel"/>
    <s v="Prime Retail"/>
    <x v="2"/>
    <s v="Tennis Racket"/>
    <n v="17"/>
    <n v="4052.14"/>
    <n v="68886.38"/>
    <n v="0"/>
    <n v="0"/>
    <n v="68886.38"/>
    <s v="Processing"/>
    <s v="Pending"/>
  </r>
  <r>
    <s v="INV-2026-02665"/>
    <x v="85"/>
    <s v="East"/>
    <s v="Bhubaneswar"/>
    <s v="Direct Sales"/>
    <s v="Anita Desai"/>
    <s v="Skyline Corp"/>
    <x v="2"/>
    <s v="Cricket Bat"/>
    <n v="49"/>
    <n v="19615.939999999999"/>
    <n v="961181.06"/>
    <n v="0"/>
    <n v="0"/>
    <n v="961181.06"/>
    <s v="Completed"/>
    <s v="Paid"/>
  </r>
  <r>
    <s v="INV-2026-02666"/>
    <x v="73"/>
    <s v="East"/>
    <s v="Guwahati"/>
    <s v="Retail Store"/>
    <s v="Suresh Gupta"/>
    <s v="XYZ Ltd"/>
    <x v="0"/>
    <s v="Pen Set"/>
    <n v="41"/>
    <n v="28165.41"/>
    <n v="1154781.81"/>
    <n v="132789.64000000001"/>
    <n v="0"/>
    <n v="1021992.17"/>
    <s v="Completed"/>
    <s v="Paid"/>
  </r>
  <r>
    <s v="INV-2026-02667"/>
    <x v="11"/>
    <s v="Central"/>
    <s v="Bhopal"/>
    <s v="Direct Sales"/>
    <s v="Rahul Sharma"/>
    <s v="Skyline Corp"/>
    <x v="1"/>
    <s v="Conference Table"/>
    <n v="45"/>
    <n v="20931.990000000002"/>
    <n v="941939.55"/>
    <n v="0"/>
    <n v="188424.78"/>
    <n v="753514.77"/>
    <s v="Pending"/>
    <s v="Pending"/>
  </r>
  <r>
    <s v="INV-2026-02668"/>
    <x v="70"/>
    <s v="East"/>
    <s v="Bhubaneswar"/>
    <s v="Retail Store"/>
    <s v="Rahul Sharma"/>
    <s v="Omega Stores"/>
    <x v="5"/>
    <s v="Washing Machine"/>
    <n v="39"/>
    <n v="9632.5400000000009"/>
    <n v="375669.06"/>
    <n v="0"/>
    <n v="31477.66"/>
    <n v="344191.4"/>
    <s v="Processing"/>
    <s v="Pending"/>
  </r>
  <r>
    <s v="INV-2026-02669"/>
    <x v="14"/>
    <s v="East"/>
    <s v="Patna"/>
    <s v="Retail Store"/>
    <s v="Rahul Sharma"/>
    <s v="Skyline Corp"/>
    <x v="2"/>
    <s v="Football"/>
    <n v="36"/>
    <n v="44044.800000000003"/>
    <n v="1585612.8"/>
    <n v="0"/>
    <n v="0"/>
    <n v="1585612.8"/>
    <s v="Pending"/>
    <s v="Pending"/>
  </r>
  <r>
    <s v="INV-2026-02670"/>
    <x v="23"/>
    <s v="East"/>
    <s v="Kolkata"/>
    <s v="Retail Store"/>
    <s v="Amit Kumar"/>
    <s v="Tech Solutions"/>
    <x v="2"/>
    <s v="Tennis Racket"/>
    <n v="5"/>
    <n v="18877.86"/>
    <n v="94389.3"/>
    <n v="0"/>
    <n v="0"/>
    <n v="94389.3"/>
    <s v="Processing"/>
    <s v="Paid"/>
  </r>
  <r>
    <s v="INV-2026-02671"/>
    <x v="56"/>
    <s v="West"/>
    <s v="Ahmedabad"/>
    <s v="Online"/>
    <s v="Rahul Sharma"/>
    <s v="Urban Store"/>
    <x v="0"/>
    <s v="Notebook"/>
    <n v="29"/>
    <n v="25801.16"/>
    <n v="748233.64"/>
    <n v="99057.01"/>
    <n v="0"/>
    <n v="649176.63"/>
    <s v="Processing"/>
    <s v="Pending"/>
  </r>
  <r>
    <s v="INV-2026-02672"/>
    <x v="24"/>
    <s v="South"/>
    <s v="Chennai"/>
    <s v="Distributor"/>
    <s v="Rahul Sharma"/>
    <s v="Omega Stores"/>
    <x v="3"/>
    <s v="Headphones"/>
    <n v="27"/>
    <n v="44563.63"/>
    <n v="1203218.01"/>
    <n v="0"/>
    <n v="360902.8"/>
    <n v="842315.21"/>
    <s v="Pending"/>
    <s v="Pending"/>
  </r>
  <r>
    <s v="INV-2026-02673"/>
    <x v="51"/>
    <s v="North"/>
    <s v="Jaipur"/>
    <s v="Retail Store"/>
    <s v="Anita Desai"/>
    <s v="Digital Hub"/>
    <x v="5"/>
    <s v="Washing Machine"/>
    <n v="30"/>
    <n v="16637.740000000002"/>
    <n v="499132.2"/>
    <n v="0"/>
    <n v="32388.400000000001"/>
    <n v="466743.8"/>
    <s v="Cancelled"/>
    <s v="Pending"/>
  </r>
  <r>
    <s v="INV-2026-02674"/>
    <x v="2"/>
    <s v="South"/>
    <s v="Bangalore"/>
    <s v="Distributor"/>
    <s v="Anita Desai"/>
    <s v="Smart Systems"/>
    <x v="4"/>
    <s v="Jeans"/>
    <n v="25"/>
    <n v="13880.91"/>
    <n v="347022.75"/>
    <n v="0"/>
    <n v="0"/>
    <n v="347022.75"/>
    <s v="Completed"/>
    <s v="Paid"/>
  </r>
  <r>
    <s v="INV-2026-02675"/>
    <x v="78"/>
    <s v="North"/>
    <s v="Jaipur"/>
    <s v="Online"/>
    <s v="Rajesh Verma"/>
    <s v="Nexus Ltd"/>
    <x v="3"/>
    <s v="Smartphone"/>
    <n v="21"/>
    <n v="11208.49"/>
    <n v="235378.29"/>
    <n v="0"/>
    <n v="51393.87"/>
    <n v="183984.42"/>
    <s v="Cancelled"/>
    <s v="Pending"/>
  </r>
  <r>
    <s v="INV-2026-02676"/>
    <x v="78"/>
    <s v="East"/>
    <s v="Patna"/>
    <s v="Retail Store"/>
    <s v="Priya Patel"/>
    <s v="Alpha Trading"/>
    <x v="1"/>
    <s v="Desk"/>
    <n v="19"/>
    <n v="2692.11"/>
    <n v="51150.09"/>
    <n v="7372.39"/>
    <n v="0"/>
    <n v="43777.7"/>
    <s v="Pending"/>
    <s v="Paid"/>
  </r>
  <r>
    <s v="INV-2026-02677"/>
    <x v="35"/>
    <s v="East"/>
    <s v="Patna"/>
    <s v="Direct Sales"/>
    <s v="Suresh Gupta"/>
    <s v="Alpha Trading"/>
    <x v="4"/>
    <s v="Jacket"/>
    <n v="48"/>
    <n v="31111"/>
    <n v="1493328"/>
    <n v="242528.78"/>
    <n v="0"/>
    <n v="1250799.22"/>
    <s v="Cancelled"/>
    <s v="Pending"/>
  </r>
  <r>
    <s v="INV-2026-02678"/>
    <x v="16"/>
    <s v="East"/>
    <s v="Bhubaneswar"/>
    <s v="Distributor"/>
    <s v="Sneha Reddy"/>
    <s v="Elite Enterprises"/>
    <x v="3"/>
    <s v="Smart Watch"/>
    <n v="34"/>
    <n v="27037.77"/>
    <n v="919284.18"/>
    <n v="0"/>
    <n v="0"/>
    <n v="919284.18"/>
    <s v="Completed"/>
    <s v="Paid"/>
  </r>
  <r>
    <s v="INV-2026-02679"/>
    <x v="24"/>
    <s v="West"/>
    <s v="Mumbai"/>
    <s v="Retail Store"/>
    <s v="Vijay Singh"/>
    <s v="Skyline Corp"/>
    <x v="2"/>
    <s v="Tennis Racket"/>
    <n v="17"/>
    <n v="38409.269999999997"/>
    <n v="652957.59"/>
    <n v="1600.34"/>
    <n v="0"/>
    <n v="651357.25"/>
    <s v="Pending"/>
    <s v="Pending"/>
  </r>
  <r>
    <s v="INV-2026-02680"/>
    <x v="91"/>
    <s v="Central"/>
    <s v="Bhopal"/>
    <s v="Online"/>
    <s v="Meera Joshi"/>
    <s v="Omega Stores"/>
    <x v="1"/>
    <s v="Office Chair"/>
    <n v="26"/>
    <n v="4031.94"/>
    <n v="104830.44"/>
    <n v="6640.79"/>
    <n v="0"/>
    <n v="98189.65"/>
    <s v="Completed"/>
    <s v="Paid"/>
  </r>
  <r>
    <s v="INV-2026-02681"/>
    <x v="10"/>
    <s v="West"/>
    <s v="Pune"/>
    <s v="Retail Store"/>
    <s v="Priya Patel"/>
    <s v="Omega Stores"/>
    <x v="3"/>
    <s v="Tablet"/>
    <n v="13"/>
    <n v="40598.74"/>
    <n v="527783.62"/>
    <n v="67049.06"/>
    <n v="0"/>
    <n v="460734.56"/>
    <s v="Processing"/>
    <s v="Pending"/>
  </r>
  <r>
    <s v="INV-2026-02682"/>
    <x v="29"/>
    <s v="West"/>
    <s v="Ahmedabad"/>
    <s v="Distributor"/>
    <s v="Suresh Gupta"/>
    <s v="Digital Hub"/>
    <x v="1"/>
    <s v="Office Chair"/>
    <n v="28"/>
    <n v="3708.76"/>
    <n v="103845.28"/>
    <n v="15595.25"/>
    <n v="0"/>
    <n v="88250.03"/>
    <s v="Completed"/>
    <s v="Paid"/>
  </r>
  <r>
    <s v="INV-2026-02683"/>
    <x v="52"/>
    <s v="South"/>
    <s v="Bangalore"/>
    <s v="Distributor"/>
    <s v="Suresh Gupta"/>
    <s v="Prime Retail"/>
    <x v="2"/>
    <s v="Cricket Bat"/>
    <n v="3"/>
    <n v="1730.49"/>
    <n v="5191.47"/>
    <n v="0"/>
    <n v="0"/>
    <n v="5191.47"/>
    <s v="Processing"/>
    <s v="Pending"/>
  </r>
  <r>
    <s v="INV-2026-02684"/>
    <x v="55"/>
    <s v="South"/>
    <s v="Chennai"/>
    <s v="Online"/>
    <s v="Priya Patel"/>
    <s v="ABC Corp"/>
    <x v="5"/>
    <s v="Air Conditioner"/>
    <n v="22"/>
    <n v="45133.65"/>
    <n v="992940.3"/>
    <n v="63889.25"/>
    <n v="0"/>
    <n v="929051.05"/>
    <s v="Pending"/>
    <s v="Paid"/>
  </r>
  <r>
    <s v="INV-2026-02685"/>
    <x v="74"/>
    <s v="South"/>
    <s v="Hyderabad"/>
    <s v="Distributor"/>
    <s v="Sneha Reddy"/>
    <s v="Digital Hub"/>
    <x v="5"/>
    <s v="Microwave"/>
    <n v="4"/>
    <n v="44793.34"/>
    <n v="179173.36"/>
    <n v="16470.98"/>
    <n v="19448.68"/>
    <n v="143253.70000000001"/>
    <s v="Processing"/>
    <s v="Pending"/>
  </r>
  <r>
    <s v="INV-2026-02686"/>
    <x v="27"/>
    <s v="West"/>
    <s v="Surat"/>
    <s v="Direct Sales"/>
    <s v="Vijay Singh"/>
    <s v="Global Traders"/>
    <x v="3"/>
    <s v="Tablet"/>
    <n v="24"/>
    <n v="33199.440000000002"/>
    <n v="796786.56"/>
    <n v="101968.01"/>
    <n v="0"/>
    <n v="694818.55"/>
    <s v="Pending"/>
    <s v="Pending"/>
  </r>
  <r>
    <s v="INV-2026-02687"/>
    <x v="90"/>
    <s v="North"/>
    <s v="Jaipur"/>
    <s v="Retail Store"/>
    <s v="Rajesh Verma"/>
    <s v="Future Tech"/>
    <x v="4"/>
    <s v="Jacket"/>
    <n v="47"/>
    <n v="4203.37"/>
    <n v="197558.39"/>
    <n v="0"/>
    <n v="0"/>
    <n v="197558.39"/>
    <s v="Pending"/>
    <s v="Paid"/>
  </r>
  <r>
    <s v="INV-2026-02688"/>
    <x v="28"/>
    <s v="West"/>
    <s v="Mumbai"/>
    <s v="Online"/>
    <s v="Sneha Reddy"/>
    <s v="Future Tech"/>
    <x v="1"/>
    <s v="Desk"/>
    <n v="11"/>
    <n v="26408.26"/>
    <n v="290490.86"/>
    <n v="0"/>
    <n v="0"/>
    <n v="290490.86"/>
    <s v="Pending"/>
    <s v="Paid"/>
  </r>
  <r>
    <s v="INV-2026-02689"/>
    <x v="47"/>
    <s v="North"/>
    <s v="Jaipur"/>
    <s v="Online"/>
    <s v="Kavita Nair"/>
    <s v="Metro Mart"/>
    <x v="3"/>
    <s v="Tablet"/>
    <n v="16"/>
    <n v="30580.61"/>
    <n v="489289.76"/>
    <n v="90857.77"/>
    <n v="0"/>
    <n v="398431.99"/>
    <s v="Pending"/>
    <s v="Pending"/>
  </r>
  <r>
    <s v="INV-2026-02690"/>
    <x v="17"/>
    <s v="South"/>
    <s v="Bangalore"/>
    <s v="Direct Sales"/>
    <s v="Amit Kumar"/>
    <s v="Skyline Corp"/>
    <x v="0"/>
    <s v="Desk Organizer"/>
    <n v="40"/>
    <n v="11471.7"/>
    <n v="458868"/>
    <n v="76117.990000000005"/>
    <n v="0"/>
    <n v="382750.01"/>
    <s v="Cancelled"/>
    <s v="Pending"/>
  </r>
  <r>
    <s v="INV-2026-02691"/>
    <x v="33"/>
    <s v="South"/>
    <s v="Bangalore"/>
    <s v="Retail Store"/>
    <s v="Meera Joshi"/>
    <s v="Omega Stores"/>
    <x v="2"/>
    <s v="Bicycle"/>
    <n v="37"/>
    <n v="37398.800000000003"/>
    <n v="1383755.6"/>
    <n v="84167.83"/>
    <n v="0"/>
    <n v="1299587.77"/>
    <s v="Cancelled"/>
    <s v="Pending"/>
  </r>
  <r>
    <s v="INV-2026-02692"/>
    <x v="65"/>
    <s v="North"/>
    <s v="Jaipur"/>
    <s v="Distributor"/>
    <s v="Anita Desai"/>
    <s v="Metro Mart"/>
    <x v="1"/>
    <s v="Office Chair"/>
    <n v="30"/>
    <n v="11640.18"/>
    <n v="349205.4"/>
    <n v="1245.4000000000001"/>
    <n v="0"/>
    <n v="347960"/>
    <s v="Processing"/>
    <s v="Pending"/>
  </r>
  <r>
    <s v="INV-2026-02693"/>
    <x v="54"/>
    <s v="North"/>
    <s v="Delhi"/>
    <s v="Direct Sales"/>
    <s v="Anita Desai"/>
    <s v="Future Tech"/>
    <x v="5"/>
    <s v="Washing Machine"/>
    <n v="41"/>
    <n v="23604.26"/>
    <n v="967774.66"/>
    <n v="0"/>
    <n v="0"/>
    <n v="967774.66"/>
    <s v="Processing"/>
    <s v="Pending"/>
  </r>
  <r>
    <s v="INV-2026-02694"/>
    <x v="5"/>
    <s v="South"/>
    <s v="Chennai"/>
    <s v="Retail Store"/>
    <s v="Meera Joshi"/>
    <s v="Smart Systems"/>
    <x v="3"/>
    <s v="Laptop"/>
    <n v="35"/>
    <n v="15752.51"/>
    <n v="551337.85"/>
    <n v="0"/>
    <n v="0"/>
    <n v="551337.85"/>
    <s v="Processing"/>
    <s v="Pending"/>
  </r>
  <r>
    <s v="INV-2026-02695"/>
    <x v="79"/>
    <s v="North"/>
    <s v="Jaipur"/>
    <s v="Direct Sales"/>
    <s v="Kavita Nair"/>
    <s v="Metro Mart"/>
    <x v="4"/>
    <s v="Formal Shirt"/>
    <n v="40"/>
    <n v="5139.67"/>
    <n v="205586.8"/>
    <n v="0"/>
    <n v="0"/>
    <n v="205586.8"/>
    <s v="Completed"/>
    <s v="Paid"/>
  </r>
  <r>
    <s v="INV-2026-02696"/>
    <x v="77"/>
    <s v="South"/>
    <s v="Hyderabad"/>
    <s v="Retail Store"/>
    <s v="Kavita Nair"/>
    <s v="XYZ Ltd"/>
    <x v="3"/>
    <s v="Smart Watch"/>
    <n v="17"/>
    <n v="15432.58"/>
    <n v="262353.86"/>
    <n v="17201.330000000002"/>
    <n v="0"/>
    <n v="245152.53"/>
    <s v="Pending"/>
    <s v="Pending"/>
  </r>
  <r>
    <s v="INV-2026-02697"/>
    <x v="44"/>
    <s v="East"/>
    <s v="Kolkata"/>
    <s v="Retail Store"/>
    <s v="Rajesh Verma"/>
    <s v="Nexus Ltd"/>
    <x v="2"/>
    <s v="Tennis Racket"/>
    <n v="10"/>
    <n v="28280.71"/>
    <n v="282807.09999999998"/>
    <n v="44292.87"/>
    <n v="0"/>
    <n v="238514.23"/>
    <s v="Pending"/>
    <s v="Paid"/>
  </r>
  <r>
    <s v="INV-2026-02698"/>
    <x v="80"/>
    <s v="Central"/>
    <s v="Nagpur"/>
    <s v="Direct Sales"/>
    <s v="Vijay Singh"/>
    <s v="ABC Corp"/>
    <x v="1"/>
    <s v="Office Chair"/>
    <n v="46"/>
    <n v="38809.64"/>
    <n v="1785243.44"/>
    <n v="59446.74"/>
    <n v="0"/>
    <n v="1725796.7"/>
    <s v="Processing"/>
    <s v="Paid"/>
  </r>
  <r>
    <s v="INV-2026-02699"/>
    <x v="13"/>
    <s v="South"/>
    <s v="Chennai"/>
    <s v="Distributor"/>
    <s v="Priya Patel"/>
    <s v="Future Tech"/>
    <x v="2"/>
    <s v="Tennis Racket"/>
    <n v="16"/>
    <n v="47915.13"/>
    <n v="766642.08"/>
    <n v="106825.29"/>
    <n v="0"/>
    <n v="659816.79"/>
    <s v="Cancelled"/>
    <s v="Pending"/>
  </r>
  <r>
    <s v="INV-2026-02700"/>
    <x v="57"/>
    <s v="East"/>
    <s v="Guwahati"/>
    <s v="Direct Sales"/>
    <s v="Amit Kumar"/>
    <s v="Urban Store"/>
    <x v="4"/>
    <s v="Jacket"/>
    <n v="28"/>
    <n v="3638.34"/>
    <n v="101873.52"/>
    <n v="0"/>
    <n v="0"/>
    <n v="101873.52"/>
    <s v="Cancelled"/>
    <s v="Pending"/>
  </r>
  <r>
    <s v="INV-2026-02701"/>
    <x v="23"/>
    <s v="Central"/>
    <s v="Raipur"/>
    <s v="Direct Sales"/>
    <s v="Rajesh Verma"/>
    <s v="Skyline Corp"/>
    <x v="5"/>
    <s v="Microwave"/>
    <n v="35"/>
    <n v="44285.84"/>
    <n v="1550004.4"/>
    <n v="0"/>
    <n v="0"/>
    <n v="1550004.4"/>
    <s v="Pending"/>
    <s v="Paid"/>
  </r>
  <r>
    <s v="INV-2026-02702"/>
    <x v="56"/>
    <s v="South"/>
    <s v="Hyderabad"/>
    <s v="Retail Store"/>
    <s v="Meera Joshi"/>
    <s v="Alpha Trading"/>
    <x v="5"/>
    <s v="Refrigerator"/>
    <n v="26"/>
    <n v="18500.66"/>
    <n v="481017.16"/>
    <n v="78497.25"/>
    <n v="56312.91"/>
    <n v="346207"/>
    <s v="Cancelled"/>
    <s v="Pending"/>
  </r>
  <r>
    <s v="INV-2026-02703"/>
    <x v="6"/>
    <s v="South"/>
    <s v="Bangalore"/>
    <s v="Direct Sales"/>
    <s v="Anita Desai"/>
    <s v="XYZ Ltd"/>
    <x v="0"/>
    <s v="Printer Paper"/>
    <n v="15"/>
    <n v="18209.830000000002"/>
    <n v="273147.45"/>
    <n v="37143.230000000003"/>
    <n v="40902.720000000001"/>
    <n v="195101.5"/>
    <s v="Completed"/>
    <s v="Pending"/>
  </r>
  <r>
    <s v="INV-2026-02704"/>
    <x v="16"/>
    <s v="West"/>
    <s v="Pune"/>
    <s v="Online"/>
    <s v="Amit Kumar"/>
    <s v="Global Traders"/>
    <x v="4"/>
    <s v="Jacket"/>
    <n v="34"/>
    <n v="1967.6"/>
    <n v="66898.399999999994"/>
    <n v="0"/>
    <n v="0"/>
    <n v="66898.399999999994"/>
    <s v="Processing"/>
    <s v="Paid"/>
  </r>
  <r>
    <s v="INV-2026-02705"/>
    <x v="79"/>
    <s v="West"/>
    <s v="Ahmedabad"/>
    <s v="Distributor"/>
    <s v="Rahul Sharma"/>
    <s v="Metro Mart"/>
    <x v="5"/>
    <s v="Refrigerator"/>
    <n v="2"/>
    <n v="25511.3"/>
    <n v="51022.6"/>
    <n v="5243.64"/>
    <n v="0"/>
    <n v="45778.96"/>
    <s v="Pending"/>
    <s v="Pending"/>
  </r>
  <r>
    <s v="INV-2026-02706"/>
    <x v="42"/>
    <s v="Central"/>
    <s v="Bhopal"/>
    <s v="Online"/>
    <s v="Suresh Gupta"/>
    <s v="Digital Hub"/>
    <x v="0"/>
    <s v="Pen Set"/>
    <n v="34"/>
    <n v="42281.8"/>
    <n v="1437581.2"/>
    <n v="0"/>
    <n v="415507.18"/>
    <n v="1022074.02"/>
    <s v="Processing"/>
    <s v="Pending"/>
  </r>
  <r>
    <s v="INV-2026-02707"/>
    <x v="74"/>
    <s v="North"/>
    <s v="Chandigarh"/>
    <s v="Distributor"/>
    <s v="Rajesh Verma"/>
    <s v="Prime Retail"/>
    <x v="1"/>
    <s v="Office Chair"/>
    <n v="22"/>
    <n v="10804"/>
    <n v="237688"/>
    <n v="24581.64"/>
    <n v="0"/>
    <n v="213106.36"/>
    <s v="Processing"/>
    <s v="Pending"/>
  </r>
  <r>
    <s v="INV-2026-02708"/>
    <x v="12"/>
    <s v="East"/>
    <s v="Patna"/>
    <s v="Online"/>
    <s v="Suresh Gupta"/>
    <s v="Digital Hub"/>
    <x v="0"/>
    <s v="Notebook"/>
    <n v="5"/>
    <n v="19086.07"/>
    <n v="95430.35"/>
    <n v="17071.52"/>
    <n v="0"/>
    <n v="78358.83"/>
    <s v="Completed"/>
    <s v="Paid"/>
  </r>
  <r>
    <s v="INV-2026-02709"/>
    <x v="10"/>
    <s v="West"/>
    <s v="Surat"/>
    <s v="Direct Sales"/>
    <s v="Kavita Nair"/>
    <s v="Tech Solutions"/>
    <x v="2"/>
    <s v="Tennis Racket"/>
    <n v="20"/>
    <n v="30227.38"/>
    <n v="604547.6"/>
    <n v="9403.36"/>
    <n v="0"/>
    <n v="595144.24"/>
    <s v="Pending"/>
    <s v="Pending"/>
  </r>
  <r>
    <s v="INV-2026-02710"/>
    <x v="80"/>
    <s v="North"/>
    <s v="Jaipur"/>
    <s v="Direct Sales"/>
    <s v="Amit Kumar"/>
    <s v="Metro Mart"/>
    <x v="0"/>
    <s v="Printer Paper"/>
    <n v="5"/>
    <n v="19284.28"/>
    <n v="96421.4"/>
    <n v="0"/>
    <n v="16427.830000000002"/>
    <n v="79993.570000000007"/>
    <s v="Pending"/>
    <s v="Pending"/>
  </r>
  <r>
    <s v="INV-2026-02711"/>
    <x v="71"/>
    <s v="East"/>
    <s v="Kolkata"/>
    <s v="Distributor"/>
    <s v="Vijay Singh"/>
    <s v="Omega Stores"/>
    <x v="1"/>
    <s v="Office Chair"/>
    <n v="28"/>
    <n v="21151.42"/>
    <n v="592239.76"/>
    <n v="0"/>
    <n v="0"/>
    <n v="592239.76"/>
    <s v="Cancelled"/>
    <s v="Pending"/>
  </r>
  <r>
    <s v="INV-2026-02712"/>
    <x v="3"/>
    <s v="North"/>
    <s v="Jaipur"/>
    <s v="Distributor"/>
    <s v="Rajesh Verma"/>
    <s v="Tech Solutions"/>
    <x v="5"/>
    <s v="Air Conditioner"/>
    <n v="20"/>
    <n v="8827.08"/>
    <n v="176541.6"/>
    <n v="0"/>
    <n v="49213.54"/>
    <n v="127328.06"/>
    <s v="Cancelled"/>
    <s v="Pending"/>
  </r>
  <r>
    <s v="INV-2026-02713"/>
    <x v="91"/>
    <s v="West"/>
    <s v="Mumbai"/>
    <s v="Retail Store"/>
    <s v="Vijay Singh"/>
    <s v="Elite Enterprises"/>
    <x v="2"/>
    <s v="Gym Equipment"/>
    <n v="39"/>
    <n v="42605.57"/>
    <n v="1661617.23"/>
    <n v="118688.51"/>
    <n v="0"/>
    <n v="1542928.72"/>
    <s v="Cancelled"/>
    <s v="Pending"/>
  </r>
  <r>
    <s v="INV-2026-02714"/>
    <x v="40"/>
    <s v="West"/>
    <s v="Mumbai"/>
    <s v="Distributor"/>
    <s v="Rajesh Verma"/>
    <s v="Future Tech"/>
    <x v="0"/>
    <s v="Printer Paper"/>
    <n v="26"/>
    <n v="17281.939999999999"/>
    <n v="449330.44"/>
    <n v="66776.56"/>
    <n v="0"/>
    <n v="382553.88"/>
    <s v="Pending"/>
    <s v="Paid"/>
  </r>
  <r>
    <s v="INV-2026-02715"/>
    <x v="66"/>
    <s v="East"/>
    <s v="Guwahati"/>
    <s v="Direct Sales"/>
    <s v="Anita Desai"/>
    <s v="ABC Corp"/>
    <x v="4"/>
    <s v="T-Shirt"/>
    <n v="47"/>
    <n v="18445.810000000001"/>
    <n v="866953.07"/>
    <n v="29247.54"/>
    <n v="0"/>
    <n v="837705.53"/>
    <s v="Completed"/>
    <s v="Paid"/>
  </r>
  <r>
    <s v="INV-2026-02716"/>
    <x v="89"/>
    <s v="West"/>
    <s v="Mumbai"/>
    <s v="Retail Store"/>
    <s v="Rajesh Verma"/>
    <s v="Urban Store"/>
    <x v="4"/>
    <s v="Dress"/>
    <n v="5"/>
    <n v="2899.06"/>
    <n v="14495.3"/>
    <n v="1568.14"/>
    <n v="0"/>
    <n v="12927.16"/>
    <s v="Pending"/>
    <s v="Pending"/>
  </r>
  <r>
    <s v="INV-2026-02717"/>
    <x v="12"/>
    <s v="Central"/>
    <s v="Bhopal"/>
    <s v="Retail Store"/>
    <s v="Kavita Nair"/>
    <s v="XYZ Ltd"/>
    <x v="1"/>
    <s v="Desk"/>
    <n v="49"/>
    <n v="16326.11"/>
    <n v="799979.39"/>
    <n v="0"/>
    <n v="0"/>
    <n v="799979.39"/>
    <s v="Cancelled"/>
    <s v="Pending"/>
  </r>
  <r>
    <s v="INV-2026-02718"/>
    <x v="15"/>
    <s v="Central"/>
    <s v="Nagpur"/>
    <s v="Distributor"/>
    <s v="Rahul Sharma"/>
    <s v="Elite Enterprises"/>
    <x v="5"/>
    <s v="Washing Machine"/>
    <n v="29"/>
    <n v="43565.62"/>
    <n v="1263402.98"/>
    <n v="118922.23"/>
    <n v="0"/>
    <n v="1144480.75"/>
    <s v="Cancelled"/>
    <s v="Pending"/>
  </r>
  <r>
    <s v="INV-2026-02719"/>
    <x v="83"/>
    <s v="South"/>
    <s v="Hyderabad"/>
    <s v="Distributor"/>
    <s v="Sneha Reddy"/>
    <s v="XYZ Ltd"/>
    <x v="3"/>
    <s v="Camera"/>
    <n v="3"/>
    <n v="9051.7999999999993"/>
    <n v="27155.4"/>
    <n v="2252.08"/>
    <n v="0"/>
    <n v="24903.32"/>
    <s v="Pending"/>
    <s v="Pending"/>
  </r>
  <r>
    <s v="INV-2026-02720"/>
    <x v="51"/>
    <s v="West"/>
    <s v="Pune"/>
    <s v="Retail Store"/>
    <s v="Meera Joshi"/>
    <s v="Skyline Corp"/>
    <x v="0"/>
    <s v="Desk Organizer"/>
    <n v="40"/>
    <n v="4160.13"/>
    <n v="166405.20000000001"/>
    <n v="0"/>
    <n v="3153.94"/>
    <n v="163251.26"/>
    <s v="Completed"/>
    <s v="Paid"/>
  </r>
  <r>
    <s v="INV-2026-02721"/>
    <x v="0"/>
    <s v="East"/>
    <s v="Patna"/>
    <s v="Distributor"/>
    <s v="Meera Joshi"/>
    <s v="Skyline Corp"/>
    <x v="4"/>
    <s v="Dress"/>
    <n v="2"/>
    <n v="47719.87"/>
    <n v="95439.74"/>
    <n v="1694.15"/>
    <n v="17107.64"/>
    <n v="76637.95"/>
    <s v="Cancelled"/>
    <s v="Pending"/>
  </r>
  <r>
    <s v="INV-2026-02722"/>
    <x v="2"/>
    <s v="East"/>
    <s v="Patna"/>
    <s v="Online"/>
    <s v="Vijay Singh"/>
    <s v="Skyline Corp"/>
    <x v="3"/>
    <s v="Headphones"/>
    <n v="21"/>
    <n v="16890.86"/>
    <n v="354708.06"/>
    <n v="45646.81"/>
    <n v="0"/>
    <n v="309061.25"/>
    <s v="Processing"/>
    <s v="Paid"/>
  </r>
  <r>
    <s v="INV-2026-02723"/>
    <x v="74"/>
    <s v="South"/>
    <s v="Chennai"/>
    <s v="Distributor"/>
    <s v="Amit Kumar"/>
    <s v="ABC Corp"/>
    <x v="0"/>
    <s v="Printer Paper"/>
    <n v="19"/>
    <n v="43770.73"/>
    <n v="831643.87"/>
    <n v="0"/>
    <n v="0"/>
    <n v="831643.87"/>
    <s v="Processing"/>
    <s v="Paid"/>
  </r>
  <r>
    <s v="INV-2026-02724"/>
    <x v="9"/>
    <s v="Central"/>
    <s v="Raipur"/>
    <s v="Online"/>
    <s v="Meera Joshi"/>
    <s v="Global Traders"/>
    <x v="1"/>
    <s v="Desk"/>
    <n v="28"/>
    <n v="47534.36"/>
    <n v="1330962.08"/>
    <n v="0"/>
    <n v="379472.06"/>
    <n v="951490.02"/>
    <s v="Cancelled"/>
    <s v="Pending"/>
  </r>
  <r>
    <s v="INV-2026-02725"/>
    <x v="23"/>
    <s v="North"/>
    <s v="Lucknow"/>
    <s v="Distributor"/>
    <s v="Vijay Singh"/>
    <s v="Smart Systems"/>
    <x v="0"/>
    <s v="Printer Paper"/>
    <n v="9"/>
    <n v="13196.27"/>
    <n v="118766.43"/>
    <n v="20131.03"/>
    <n v="0"/>
    <n v="98635.4"/>
    <s v="Completed"/>
    <s v="Paid"/>
  </r>
  <r>
    <s v="INV-2026-02726"/>
    <x v="26"/>
    <s v="Central"/>
    <s v="Raipur"/>
    <s v="Distributor"/>
    <s v="Priya Patel"/>
    <s v="Nexus Ltd"/>
    <x v="4"/>
    <s v="Jacket"/>
    <n v="23"/>
    <n v="26057.14"/>
    <n v="599314.22"/>
    <n v="28161.05"/>
    <n v="0"/>
    <n v="571153.17000000004"/>
    <s v="Pending"/>
    <s v="Pending"/>
  </r>
  <r>
    <s v="INV-2026-02727"/>
    <x v="3"/>
    <s v="Central"/>
    <s v="Nagpur"/>
    <s v="Online"/>
    <s v="Amit Kumar"/>
    <s v="Urban Store"/>
    <x v="2"/>
    <s v="Football"/>
    <n v="16"/>
    <n v="32142.22"/>
    <n v="514275.52"/>
    <n v="0"/>
    <n v="133778.9"/>
    <n v="380496.62"/>
    <s v="Completed"/>
    <s v="Paid"/>
  </r>
  <r>
    <s v="INV-2026-02728"/>
    <x v="16"/>
    <s v="West"/>
    <s v="Ahmedabad"/>
    <s v="Direct Sales"/>
    <s v="Meera Joshi"/>
    <s v="Metro Mart"/>
    <x v="0"/>
    <s v="Printer Paper"/>
    <n v="43"/>
    <n v="703.97"/>
    <n v="30270.71"/>
    <n v="0"/>
    <n v="1188.57"/>
    <n v="29082.14"/>
    <s v="Pending"/>
    <s v="Pending"/>
  </r>
  <r>
    <s v="INV-2026-02729"/>
    <x v="6"/>
    <s v="Central"/>
    <s v="Raipur"/>
    <s v="Online"/>
    <s v="Rajesh Verma"/>
    <s v="Elite Enterprises"/>
    <x v="3"/>
    <s v="Headphones"/>
    <n v="50"/>
    <n v="7908.51"/>
    <n v="395425.5"/>
    <n v="0"/>
    <n v="18837.04"/>
    <n v="376588.46"/>
    <s v="Processing"/>
    <s v="Pending"/>
  </r>
  <r>
    <s v="INV-2026-02730"/>
    <x v="44"/>
    <s v="East"/>
    <s v="Bhubaneswar"/>
    <s v="Online"/>
    <s v="Suresh Gupta"/>
    <s v="Alpha Trading"/>
    <x v="5"/>
    <s v="TV"/>
    <n v="39"/>
    <n v="49474"/>
    <n v="1929486"/>
    <n v="0"/>
    <n v="0"/>
    <n v="1929486"/>
    <s v="Pending"/>
    <s v="Pending"/>
  </r>
  <r>
    <s v="INV-2026-02731"/>
    <x v="16"/>
    <s v="North"/>
    <s v="Lucknow"/>
    <s v="Direct Sales"/>
    <s v="Vijay Singh"/>
    <s v="Prime Retail"/>
    <x v="5"/>
    <s v="Vacuum Cleaner"/>
    <n v="42"/>
    <n v="17008.25"/>
    <n v="714346.5"/>
    <n v="0"/>
    <n v="0"/>
    <n v="714346.5"/>
    <s v="Pending"/>
    <s v="Pending"/>
  </r>
  <r>
    <s v="INV-2026-02732"/>
    <x v="28"/>
    <s v="North"/>
    <s v="Chandigarh"/>
    <s v="Online"/>
    <s v="Rajesh Verma"/>
    <s v="Urban Store"/>
    <x v="1"/>
    <s v="Cabinet"/>
    <n v="21"/>
    <n v="5265.28"/>
    <n v="110570.88"/>
    <n v="0"/>
    <n v="0"/>
    <n v="110570.88"/>
    <s v="Processing"/>
    <s v="Paid"/>
  </r>
  <r>
    <s v="INV-2026-02733"/>
    <x v="62"/>
    <s v="West"/>
    <s v="Pune"/>
    <s v="Online"/>
    <s v="Kavita Nair"/>
    <s v="Elite Enterprises"/>
    <x v="3"/>
    <s v="Camera"/>
    <n v="23"/>
    <n v="48475.77"/>
    <n v="1114942.71"/>
    <n v="208275.73"/>
    <n v="0"/>
    <n v="906666.98"/>
    <s v="Processing"/>
    <s v="Pending"/>
  </r>
  <r>
    <s v="INV-2026-02734"/>
    <x v="57"/>
    <s v="West"/>
    <s v="Mumbai"/>
    <s v="Retail Store"/>
    <s v="Rahul Sharma"/>
    <s v="Alpha Trading"/>
    <x v="5"/>
    <s v="Washing Machine"/>
    <n v="34"/>
    <n v="35952.51"/>
    <n v="1222385.3400000001"/>
    <n v="95596.96"/>
    <n v="0"/>
    <n v="1126788.3799999999"/>
    <s v="Completed"/>
    <s v="Paid"/>
  </r>
  <r>
    <s v="INV-2026-02735"/>
    <x v="13"/>
    <s v="East"/>
    <s v="Guwahati"/>
    <s v="Direct Sales"/>
    <s v="Meera Joshi"/>
    <s v="Skyline Corp"/>
    <x v="0"/>
    <s v="Notebook"/>
    <n v="30"/>
    <n v="12001.97"/>
    <n v="360059.1"/>
    <n v="0"/>
    <n v="0"/>
    <n v="360059.1"/>
    <s v="Completed"/>
    <s v="Paid"/>
  </r>
  <r>
    <s v="INV-2026-02736"/>
    <x v="15"/>
    <s v="Central"/>
    <s v="Indore"/>
    <s v="Retail Store"/>
    <s v="Amit Kumar"/>
    <s v="Digital Hub"/>
    <x v="1"/>
    <s v="Cabinet"/>
    <n v="24"/>
    <n v="28008.23"/>
    <n v="672197.52"/>
    <n v="0"/>
    <n v="0"/>
    <n v="672197.52"/>
    <s v="Completed"/>
    <s v="Paid"/>
  </r>
  <r>
    <s v="INV-2026-02737"/>
    <x v="69"/>
    <s v="Central"/>
    <s v="Indore"/>
    <s v="Online"/>
    <s v="Vijay Singh"/>
    <s v="Urban Store"/>
    <x v="4"/>
    <s v="Formal Shirt"/>
    <n v="37"/>
    <n v="35187.64"/>
    <n v="1301942.68"/>
    <n v="134212.09"/>
    <n v="0"/>
    <n v="1167730.5900000001"/>
    <s v="Cancelled"/>
    <s v="Pending"/>
  </r>
  <r>
    <s v="INV-2026-02738"/>
    <x v="32"/>
    <s v="Central"/>
    <s v="Indore"/>
    <s v="Direct Sales"/>
    <s v="Suresh Gupta"/>
    <s v="ABC Corp"/>
    <x v="3"/>
    <s v="Tablet"/>
    <n v="49"/>
    <n v="15161.65"/>
    <n v="742920.85"/>
    <n v="78278.8"/>
    <n v="126330.09"/>
    <n v="538311.96"/>
    <s v="Completed"/>
    <s v="Paid"/>
  </r>
  <r>
    <s v="INV-2026-02739"/>
    <x v="83"/>
    <s v="Central"/>
    <s v="Raipur"/>
    <s v="Direct Sales"/>
    <s v="Vijay Singh"/>
    <s v="Future Tech"/>
    <x v="5"/>
    <s v="Microwave"/>
    <n v="39"/>
    <n v="42783.28"/>
    <n v="1668547.92"/>
    <n v="0"/>
    <n v="0"/>
    <n v="1668547.92"/>
    <s v="Cancelled"/>
    <s v="Pending"/>
  </r>
  <r>
    <s v="INV-2026-02740"/>
    <x v="57"/>
    <s v="Central"/>
    <s v="Raipur"/>
    <s v="Direct Sales"/>
    <s v="Priya Patel"/>
    <s v="Omega Stores"/>
    <x v="3"/>
    <s v="Headphones"/>
    <n v="13"/>
    <n v="42394.33"/>
    <n v="551126.29"/>
    <n v="0"/>
    <n v="5913.29"/>
    <n v="545213"/>
    <s v="Processing"/>
    <s v="Pending"/>
  </r>
  <r>
    <s v="INV-2026-02741"/>
    <x v="44"/>
    <s v="North"/>
    <s v="Lucknow"/>
    <s v="Distributor"/>
    <s v="Meera Joshi"/>
    <s v="ABC Corp"/>
    <x v="3"/>
    <s v="Camera"/>
    <n v="13"/>
    <n v="7287.56"/>
    <n v="94738.28"/>
    <n v="0"/>
    <n v="0"/>
    <n v="94738.28"/>
    <s v="Processing"/>
    <s v="Pending"/>
  </r>
  <r>
    <s v="INV-2026-02742"/>
    <x v="43"/>
    <s v="East"/>
    <s v="Kolkata"/>
    <s v="Retail Store"/>
    <s v="Rajesh Verma"/>
    <s v="XYZ Ltd"/>
    <x v="3"/>
    <s v="Camera"/>
    <n v="48"/>
    <n v="22798.58"/>
    <n v="1094331.8400000001"/>
    <n v="52165.47"/>
    <n v="323219.57"/>
    <n v="718946.8"/>
    <s v="Cancelled"/>
    <s v="Pending"/>
  </r>
  <r>
    <s v="INV-2026-02743"/>
    <x v="39"/>
    <s v="Central"/>
    <s v="Raipur"/>
    <s v="Online"/>
    <s v="Anita Desai"/>
    <s v="Global Traders"/>
    <x v="0"/>
    <s v="Whiteboard"/>
    <n v="23"/>
    <n v="32848.19"/>
    <n v="755508.37"/>
    <n v="135439.6"/>
    <n v="31112.02"/>
    <n v="588956.75"/>
    <s v="Processing"/>
    <s v="Pending"/>
  </r>
  <r>
    <s v="INV-2026-02744"/>
    <x v="55"/>
    <s v="West"/>
    <s v="Surat"/>
    <s v="Distributor"/>
    <s v="Meera Joshi"/>
    <s v="Omega Stores"/>
    <x v="2"/>
    <s v="Tennis Racket"/>
    <n v="37"/>
    <n v="16180.83"/>
    <n v="598690.71"/>
    <n v="88587.57"/>
    <n v="0"/>
    <n v="510103.14"/>
    <s v="Pending"/>
    <s v="Paid"/>
  </r>
  <r>
    <s v="INV-2026-02745"/>
    <x v="91"/>
    <s v="Central"/>
    <s v="Indore"/>
    <s v="Direct Sales"/>
    <s v="Suresh Gupta"/>
    <s v="Global Traders"/>
    <x v="4"/>
    <s v="Formal Shirt"/>
    <n v="42"/>
    <n v="22796.71"/>
    <n v="957461.82"/>
    <n v="0"/>
    <n v="260641.74"/>
    <n v="696820.08"/>
    <s v="Completed"/>
    <s v="Paid"/>
  </r>
  <r>
    <s v="INV-2026-02746"/>
    <x v="29"/>
    <s v="North"/>
    <s v="Delhi"/>
    <s v="Direct Sales"/>
    <s v="Vijay Singh"/>
    <s v="Global Traders"/>
    <x v="4"/>
    <s v="Shoes"/>
    <n v="44"/>
    <n v="45776.36"/>
    <n v="2014159.84"/>
    <n v="227905.4"/>
    <n v="0"/>
    <n v="1786254.44"/>
    <s v="Pending"/>
    <s v="Pending"/>
  </r>
  <r>
    <s v="INV-2026-02747"/>
    <x v="48"/>
    <s v="East"/>
    <s v="Bhubaneswar"/>
    <s v="Direct Sales"/>
    <s v="Priya Patel"/>
    <s v="ABC Corp"/>
    <x v="1"/>
    <s v="Conference Table"/>
    <n v="50"/>
    <n v="29757.86"/>
    <n v="1487893"/>
    <n v="0"/>
    <n v="0"/>
    <n v="1487893"/>
    <s v="Processing"/>
    <s v="Pending"/>
  </r>
  <r>
    <s v="INV-2026-02748"/>
    <x v="70"/>
    <s v="North"/>
    <s v="Lucknow"/>
    <s v="Online"/>
    <s v="Kavita Nair"/>
    <s v="XYZ Ltd"/>
    <x v="5"/>
    <s v="Microwave"/>
    <n v="9"/>
    <n v="39725.050000000003"/>
    <n v="357525.45"/>
    <n v="0"/>
    <n v="0"/>
    <n v="357525.45"/>
    <s v="Pending"/>
    <s v="Pending"/>
  </r>
  <r>
    <s v="INV-2026-02749"/>
    <x v="42"/>
    <s v="West"/>
    <s v="Mumbai"/>
    <s v="Distributor"/>
    <s v="Rahul Sharma"/>
    <s v="Digital Hub"/>
    <x v="1"/>
    <s v="Bookshelf"/>
    <n v="47"/>
    <n v="49724.95"/>
    <n v="2337072.65"/>
    <n v="0"/>
    <n v="0"/>
    <n v="2337072.65"/>
    <s v="Completed"/>
    <s v="Pending"/>
  </r>
  <r>
    <s v="INV-2026-02750"/>
    <x v="89"/>
    <s v="West"/>
    <s v="Ahmedabad"/>
    <s v="Retail Store"/>
    <s v="Sneha Reddy"/>
    <s v="Global Traders"/>
    <x v="1"/>
    <s v="Cabinet"/>
    <n v="36"/>
    <n v="30963.22"/>
    <n v="1114675.92"/>
    <n v="106608.72"/>
    <n v="98177.94"/>
    <n v="909889.26"/>
    <s v="Cancelled"/>
    <s v="Pending"/>
  </r>
  <r>
    <s v="INV-2026-02751"/>
    <x v="35"/>
    <s v="Central"/>
    <s v="Raipur"/>
    <s v="Distributor"/>
    <s v="Meera Joshi"/>
    <s v="Metro Mart"/>
    <x v="1"/>
    <s v="Sofa"/>
    <n v="25"/>
    <n v="39074.480000000003"/>
    <n v="976862"/>
    <n v="89938.65"/>
    <n v="0"/>
    <n v="886923.35"/>
    <s v="Processing"/>
    <s v="Pending"/>
  </r>
  <r>
    <s v="INV-2026-02752"/>
    <x v="21"/>
    <s v="West"/>
    <s v="Pune"/>
    <s v="Distributor"/>
    <s v="Meera Joshi"/>
    <s v="Metro Mart"/>
    <x v="0"/>
    <s v="File Folder"/>
    <n v="34"/>
    <n v="45276.08"/>
    <n v="1539386.72"/>
    <n v="0"/>
    <n v="0"/>
    <n v="1539386.72"/>
    <s v="Completed"/>
    <s v="Paid"/>
  </r>
  <r>
    <s v="INV-2026-02753"/>
    <x v="75"/>
    <s v="North"/>
    <s v="Lucknow"/>
    <s v="Online"/>
    <s v="Amit Kumar"/>
    <s v="Urban Store"/>
    <x v="2"/>
    <s v="Bicycle"/>
    <n v="20"/>
    <n v="43354.12"/>
    <n v="867082.4"/>
    <n v="74241.72"/>
    <n v="0"/>
    <n v="792840.68"/>
    <s v="Completed"/>
    <s v="Overdue"/>
  </r>
  <r>
    <s v="INV-2026-02754"/>
    <x v="13"/>
    <s v="East"/>
    <s v="Guwahati"/>
    <s v="Online"/>
    <s v="Rajesh Verma"/>
    <s v="Tech Solutions"/>
    <x v="4"/>
    <s v="Formal Shirt"/>
    <n v="31"/>
    <n v="1541.57"/>
    <n v="47788.67"/>
    <n v="0"/>
    <n v="0"/>
    <n v="47788.67"/>
    <s v="Completed"/>
    <s v="Paid"/>
  </r>
  <r>
    <s v="INV-2026-02755"/>
    <x v="62"/>
    <s v="Central"/>
    <s v="Bhopal"/>
    <s v="Direct Sales"/>
    <s v="Sneha Reddy"/>
    <s v="Alpha Trading"/>
    <x v="1"/>
    <s v="Office Chair"/>
    <n v="17"/>
    <n v="1259.8699999999999"/>
    <n v="21417.79"/>
    <n v="0"/>
    <n v="0"/>
    <n v="21417.79"/>
    <s v="Completed"/>
    <s v="Pending"/>
  </r>
  <r>
    <s v="INV-2026-02756"/>
    <x v="2"/>
    <s v="West"/>
    <s v="Pune"/>
    <s v="Direct Sales"/>
    <s v="Rahul Sharma"/>
    <s v="Future Tech"/>
    <x v="5"/>
    <s v="Vacuum Cleaner"/>
    <n v="39"/>
    <n v="38125.449999999997"/>
    <n v="1486892.55"/>
    <n v="0"/>
    <n v="0"/>
    <n v="1486892.55"/>
    <s v="Completed"/>
    <s v="Paid"/>
  </r>
  <r>
    <s v="INV-2026-02757"/>
    <x v="45"/>
    <s v="South"/>
    <s v="Bangalore"/>
    <s v="Direct Sales"/>
    <s v="Suresh Gupta"/>
    <s v="Digital Hub"/>
    <x v="4"/>
    <s v="Dress"/>
    <n v="33"/>
    <n v="6312.27"/>
    <n v="208304.91"/>
    <n v="12281.87"/>
    <n v="0"/>
    <n v="196023.04000000001"/>
    <s v="Pending"/>
    <s v="Pending"/>
  </r>
  <r>
    <s v="INV-2026-02758"/>
    <x v="61"/>
    <s v="Central"/>
    <s v="Nagpur"/>
    <s v="Retail Store"/>
    <s v="Rajesh Verma"/>
    <s v="Skyline Corp"/>
    <x v="0"/>
    <s v="Whiteboard"/>
    <n v="10"/>
    <n v="10855.47"/>
    <n v="108554.7"/>
    <n v="18408.59"/>
    <n v="8654.66"/>
    <n v="81491.45"/>
    <s v="Cancelled"/>
    <s v="Pending"/>
  </r>
  <r>
    <s v="INV-2026-02759"/>
    <x v="6"/>
    <s v="South"/>
    <s v="Kochi"/>
    <s v="Online"/>
    <s v="Vijay Singh"/>
    <s v="Omega Stores"/>
    <x v="3"/>
    <s v="Headphones"/>
    <n v="47"/>
    <n v="3374.63"/>
    <n v="158607.60999999999"/>
    <n v="0"/>
    <n v="0"/>
    <n v="158607.60999999999"/>
    <s v="Processing"/>
    <s v="Pending"/>
  </r>
  <r>
    <s v="INV-2026-02760"/>
    <x v="84"/>
    <s v="East"/>
    <s v="Kolkata"/>
    <s v="Retail Store"/>
    <s v="Amit Kumar"/>
    <s v="Digital Hub"/>
    <x v="3"/>
    <s v="Laptop"/>
    <n v="35"/>
    <n v="37861.14"/>
    <n v="1325139.8999999999"/>
    <n v="0"/>
    <n v="0"/>
    <n v="1325139.8999999999"/>
    <s v="Cancelled"/>
    <s v="Pending"/>
  </r>
  <r>
    <s v="INV-2026-02761"/>
    <x v="64"/>
    <s v="Central"/>
    <s v="Bhopal"/>
    <s v="Online"/>
    <s v="Suresh Gupta"/>
    <s v="Prime Retail"/>
    <x v="2"/>
    <s v="Football"/>
    <n v="39"/>
    <n v="12367.2"/>
    <n v="482320.8"/>
    <n v="11318.49"/>
    <n v="0"/>
    <n v="471002.31"/>
    <s v="Processing"/>
    <s v="Pending"/>
  </r>
  <r>
    <s v="INV-2026-02762"/>
    <x v="23"/>
    <s v="East"/>
    <s v="Patna"/>
    <s v="Retail Store"/>
    <s v="Amit Kumar"/>
    <s v="Elite Enterprises"/>
    <x v="4"/>
    <s v="Jeans"/>
    <n v="37"/>
    <n v="27633.98"/>
    <n v="1022457.26"/>
    <n v="20390.72"/>
    <n v="0"/>
    <n v="1002066.54"/>
    <s v="Processing"/>
    <s v="Paid"/>
  </r>
  <r>
    <s v="INV-2026-02763"/>
    <x v="3"/>
    <s v="West"/>
    <s v="Mumbai"/>
    <s v="Direct Sales"/>
    <s v="Sneha Reddy"/>
    <s v="Future Tech"/>
    <x v="1"/>
    <s v="Conference Table"/>
    <n v="25"/>
    <n v="40988.080000000002"/>
    <n v="1024702"/>
    <n v="0"/>
    <n v="0"/>
    <n v="1024702"/>
    <s v="Completed"/>
    <s v="Overdue"/>
  </r>
  <r>
    <s v="INV-2026-02764"/>
    <x v="78"/>
    <s v="North"/>
    <s v="Delhi"/>
    <s v="Distributor"/>
    <s v="Meera Joshi"/>
    <s v="Alpha Trading"/>
    <x v="4"/>
    <s v="Shoes"/>
    <n v="29"/>
    <n v="15165.3"/>
    <n v="439793.7"/>
    <n v="74813.02"/>
    <n v="0"/>
    <n v="364980.68"/>
    <s v="Completed"/>
    <s v="Paid"/>
  </r>
  <r>
    <s v="INV-2026-02765"/>
    <x v="32"/>
    <s v="Central"/>
    <s v="Nagpur"/>
    <s v="Online"/>
    <s v="Rahul Sharma"/>
    <s v="Nexus Ltd"/>
    <x v="3"/>
    <s v="Smartphone"/>
    <n v="42"/>
    <n v="40091.67"/>
    <n v="1683850.14"/>
    <n v="0"/>
    <n v="0"/>
    <n v="1683850.14"/>
    <s v="Cancelled"/>
    <s v="Pending"/>
  </r>
  <r>
    <s v="INV-2026-02766"/>
    <x v="40"/>
    <s v="North"/>
    <s v="Delhi"/>
    <s v="Direct Sales"/>
    <s v="Rajesh Verma"/>
    <s v="XYZ Ltd"/>
    <x v="2"/>
    <s v="Yoga Mat"/>
    <n v="28"/>
    <n v="3802.56"/>
    <n v="106471.67999999999"/>
    <n v="0"/>
    <n v="20400.89"/>
    <n v="86070.79"/>
    <s v="Pending"/>
    <s v="Pending"/>
  </r>
  <r>
    <s v="INV-2026-02767"/>
    <x v="62"/>
    <s v="West"/>
    <s v="Ahmedabad"/>
    <s v="Online"/>
    <s v="Priya Patel"/>
    <s v="Elite Enterprises"/>
    <x v="5"/>
    <s v="Vacuum Cleaner"/>
    <n v="15"/>
    <n v="1344.47"/>
    <n v="20167.05"/>
    <n v="0"/>
    <n v="0"/>
    <n v="20167.05"/>
    <s v="Completed"/>
    <s v="Paid"/>
  </r>
  <r>
    <s v="INV-2026-02768"/>
    <x v="81"/>
    <s v="North"/>
    <s v="Lucknow"/>
    <s v="Direct Sales"/>
    <s v="Vijay Singh"/>
    <s v="Skyline Corp"/>
    <x v="4"/>
    <s v="T-Shirt"/>
    <n v="37"/>
    <n v="22708.92"/>
    <n v="840230.04"/>
    <n v="0"/>
    <n v="0"/>
    <n v="840230.04"/>
    <s v="Cancelled"/>
    <s v="Pending"/>
  </r>
  <r>
    <s v="INV-2026-02769"/>
    <x v="29"/>
    <s v="South"/>
    <s v="Chennai"/>
    <s v="Online"/>
    <s v="Amit Kumar"/>
    <s v="Nexus Ltd"/>
    <x v="2"/>
    <s v="Bicycle"/>
    <n v="35"/>
    <n v="36958.620000000003"/>
    <n v="1293551.7"/>
    <n v="0"/>
    <n v="0"/>
    <n v="1293551.7"/>
    <s v="Processing"/>
    <s v="Pending"/>
  </r>
  <r>
    <s v="INV-2026-02770"/>
    <x v="37"/>
    <s v="North"/>
    <s v="Chandigarh"/>
    <s v="Retail Store"/>
    <s v="Anita Desai"/>
    <s v="Elite Enterprises"/>
    <x v="5"/>
    <s v="Microwave"/>
    <n v="21"/>
    <n v="7325.41"/>
    <n v="153833.60999999999"/>
    <n v="8803.27"/>
    <n v="0"/>
    <n v="145030.34"/>
    <s v="Processing"/>
    <s v="Pending"/>
  </r>
  <r>
    <s v="INV-2026-02771"/>
    <x v="25"/>
    <s v="West"/>
    <s v="Surat"/>
    <s v="Direct Sales"/>
    <s v="Amit Kumar"/>
    <s v="Omega Stores"/>
    <x v="1"/>
    <s v="Sofa"/>
    <n v="39"/>
    <n v="36146.839999999997"/>
    <n v="1409726.76"/>
    <n v="159721.41"/>
    <n v="0"/>
    <n v="1250005.3500000001"/>
    <s v="Pending"/>
    <s v="Pending"/>
  </r>
  <r>
    <s v="INV-2026-02772"/>
    <x v="23"/>
    <s v="South"/>
    <s v="Kochi"/>
    <s v="Distributor"/>
    <s v="Anita Desai"/>
    <s v="Metro Mart"/>
    <x v="1"/>
    <s v="Office Chair"/>
    <n v="13"/>
    <n v="27831.4"/>
    <n v="361808.2"/>
    <n v="0"/>
    <n v="0"/>
    <n v="361808.2"/>
    <s v="Pending"/>
    <s v="Pending"/>
  </r>
  <r>
    <s v="INV-2026-02773"/>
    <x v="4"/>
    <s v="East"/>
    <s v="Patna"/>
    <s v="Direct Sales"/>
    <s v="Rahul Sharma"/>
    <s v="Alpha Trading"/>
    <x v="4"/>
    <s v="Formal Shirt"/>
    <n v="15"/>
    <n v="10312.780000000001"/>
    <n v="154691.70000000001"/>
    <n v="0"/>
    <n v="0"/>
    <n v="154691.70000000001"/>
    <s v="Processing"/>
    <s v="Pending"/>
  </r>
  <r>
    <s v="INV-2026-02774"/>
    <x v="73"/>
    <s v="North"/>
    <s v="Jaipur"/>
    <s v="Retail Store"/>
    <s v="Rajesh Verma"/>
    <s v="Prime Retail"/>
    <x v="3"/>
    <s v="Headphones"/>
    <n v="3"/>
    <n v="37880.410000000003"/>
    <n v="113641.23"/>
    <n v="8136.74"/>
    <n v="0"/>
    <n v="105504.49"/>
    <s v="Pending"/>
    <s v="Paid"/>
  </r>
  <r>
    <s v="INV-2026-02775"/>
    <x v="79"/>
    <s v="Central"/>
    <s v="Raipur"/>
    <s v="Direct Sales"/>
    <s v="Vijay Singh"/>
    <s v="Nexus Ltd"/>
    <x v="1"/>
    <s v="Sofa"/>
    <n v="38"/>
    <n v="29961.99"/>
    <n v="1138555.6200000001"/>
    <n v="108935.47"/>
    <n v="0"/>
    <n v="1029620.15"/>
    <s v="Completed"/>
    <s v="Paid"/>
  </r>
  <r>
    <s v="INV-2026-02776"/>
    <x v="65"/>
    <s v="West"/>
    <s v="Ahmedabad"/>
    <s v="Distributor"/>
    <s v="Vijay Singh"/>
    <s v="Alpha Trading"/>
    <x v="4"/>
    <s v="Formal Shirt"/>
    <n v="5"/>
    <n v="6211.34"/>
    <n v="31056.7"/>
    <n v="0"/>
    <n v="0"/>
    <n v="31056.7"/>
    <s v="Cancelled"/>
    <s v="Pending"/>
  </r>
  <r>
    <s v="INV-2026-02777"/>
    <x v="85"/>
    <s v="South"/>
    <s v="Chennai"/>
    <s v="Retail Store"/>
    <s v="Meera Joshi"/>
    <s v="Urban Store"/>
    <x v="4"/>
    <s v="Dress"/>
    <n v="14"/>
    <n v="803.86"/>
    <n v="11254.04"/>
    <n v="0"/>
    <n v="0"/>
    <n v="11254.04"/>
    <s v="Completed"/>
    <s v="Paid"/>
  </r>
  <r>
    <s v="INV-2026-02778"/>
    <x v="39"/>
    <s v="West"/>
    <s v="Surat"/>
    <s v="Distributor"/>
    <s v="Rahul Sharma"/>
    <s v="Nexus Ltd"/>
    <x v="2"/>
    <s v="Bicycle"/>
    <n v="20"/>
    <n v="3302.88"/>
    <n v="66057.600000000006"/>
    <n v="0"/>
    <n v="0"/>
    <n v="66057.600000000006"/>
    <s v="Processing"/>
    <s v="Paid"/>
  </r>
  <r>
    <s v="INV-2026-02779"/>
    <x v="50"/>
    <s v="Central"/>
    <s v="Bhopal"/>
    <s v="Retail Store"/>
    <s v="Amit Kumar"/>
    <s v="Global Traders"/>
    <x v="5"/>
    <s v="Refrigerator"/>
    <n v="38"/>
    <n v="14689.81"/>
    <n v="558212.78"/>
    <n v="0"/>
    <n v="0"/>
    <n v="558212.78"/>
    <s v="Pending"/>
    <s v="Pending"/>
  </r>
  <r>
    <s v="INV-2026-02780"/>
    <x v="4"/>
    <s v="Central"/>
    <s v="Bhopal"/>
    <s v="Retail Store"/>
    <s v="Vijay Singh"/>
    <s v="Nexus Ltd"/>
    <x v="2"/>
    <s v="Cricket Bat"/>
    <n v="43"/>
    <n v="45332.31"/>
    <n v="1949289.33"/>
    <n v="338644.28"/>
    <n v="0"/>
    <n v="1610645.05"/>
    <s v="Cancelled"/>
    <s v="Pending"/>
  </r>
  <r>
    <s v="INV-2026-02781"/>
    <x v="58"/>
    <s v="South"/>
    <s v="Bangalore"/>
    <s v="Distributor"/>
    <s v="Anita Desai"/>
    <s v="Prime Retail"/>
    <x v="2"/>
    <s v="Yoga Mat"/>
    <n v="33"/>
    <n v="940.63"/>
    <n v="31040.79"/>
    <n v="753.73"/>
    <n v="0"/>
    <n v="30287.06"/>
    <s v="Cancelled"/>
    <s v="Pending"/>
  </r>
  <r>
    <s v="INV-2026-02782"/>
    <x v="27"/>
    <s v="West"/>
    <s v="Mumbai"/>
    <s v="Online"/>
    <s v="Suresh Gupta"/>
    <s v="Skyline Corp"/>
    <x v="4"/>
    <s v="Dress"/>
    <n v="13"/>
    <n v="2756.6"/>
    <n v="35835.800000000003"/>
    <n v="459.36"/>
    <n v="2149.08"/>
    <n v="33227.360000000001"/>
    <s v="Processing"/>
    <s v="Pending"/>
  </r>
  <r>
    <s v="INV-2026-02783"/>
    <x v="8"/>
    <s v="East"/>
    <s v="Patna"/>
    <s v="Direct Sales"/>
    <s v="Rahul Sharma"/>
    <s v="Skyline Corp"/>
    <x v="3"/>
    <s v="Smartphone"/>
    <n v="20"/>
    <n v="31063.09"/>
    <n v="621261.80000000005"/>
    <n v="0"/>
    <n v="150136.64000000001"/>
    <n v="471125.16"/>
    <s v="Cancelled"/>
    <s v="Pending"/>
  </r>
  <r>
    <s v="INV-2026-02784"/>
    <x v="19"/>
    <s v="East"/>
    <s v="Guwahati"/>
    <s v="Direct Sales"/>
    <s v="Priya Patel"/>
    <s v="Prime Retail"/>
    <x v="2"/>
    <s v="Bicycle"/>
    <n v="10"/>
    <n v="36207.769999999997"/>
    <n v="362077.7"/>
    <n v="4397.8900000000003"/>
    <n v="0"/>
    <n v="357679.81"/>
    <s v="Processing"/>
    <s v="Pending"/>
  </r>
  <r>
    <s v="INV-2026-02785"/>
    <x v="10"/>
    <s v="North"/>
    <s v="Delhi"/>
    <s v="Retail Store"/>
    <s v="Suresh Gupta"/>
    <s v="Global Traders"/>
    <x v="0"/>
    <s v="Printer Paper"/>
    <n v="7"/>
    <n v="34277.9"/>
    <n v="239945.3"/>
    <n v="45865.760000000002"/>
    <n v="0"/>
    <n v="194079.54"/>
    <s v="Completed"/>
    <s v="Paid"/>
  </r>
  <r>
    <s v="INV-2026-02786"/>
    <x v="73"/>
    <s v="West"/>
    <s v="Surat"/>
    <s v="Online"/>
    <s v="Sneha Reddy"/>
    <s v="Skyline Corp"/>
    <x v="4"/>
    <s v="Formal Shirt"/>
    <n v="16"/>
    <n v="8296.83"/>
    <n v="132749.28"/>
    <n v="0"/>
    <n v="0"/>
    <n v="132749.28"/>
    <s v="Processing"/>
    <s v="Pending"/>
  </r>
  <r>
    <s v="INV-2026-02787"/>
    <x v="7"/>
    <s v="South"/>
    <s v="Chennai"/>
    <s v="Distributor"/>
    <s v="Kavita Nair"/>
    <s v="Elite Enterprises"/>
    <x v="1"/>
    <s v="Office Chair"/>
    <n v="45"/>
    <n v="13346.2"/>
    <n v="600579"/>
    <n v="14055.94"/>
    <n v="0"/>
    <n v="586523.06000000006"/>
    <s v="Processing"/>
    <s v="Pending"/>
  </r>
  <r>
    <s v="INV-2026-02788"/>
    <x v="91"/>
    <s v="South"/>
    <s v="Hyderabad"/>
    <s v="Distributor"/>
    <s v="Suresh Gupta"/>
    <s v="Alpha Trading"/>
    <x v="5"/>
    <s v="Refrigerator"/>
    <n v="13"/>
    <n v="39938.15"/>
    <n v="519195.95"/>
    <n v="0"/>
    <n v="95391.92"/>
    <n v="423804.03"/>
    <s v="Cancelled"/>
    <s v="Pending"/>
  </r>
  <r>
    <s v="INV-2026-02789"/>
    <x v="63"/>
    <s v="East"/>
    <s v="Bhubaneswar"/>
    <s v="Direct Sales"/>
    <s v="Sneha Reddy"/>
    <s v="Prime Retail"/>
    <x v="3"/>
    <s v="Smart Watch"/>
    <n v="3"/>
    <n v="6988.59"/>
    <n v="20965.77"/>
    <n v="3037.92"/>
    <n v="0"/>
    <n v="17927.849999999999"/>
    <s v="Processing"/>
    <s v="Pending"/>
  </r>
  <r>
    <s v="INV-2026-02790"/>
    <x v="57"/>
    <s v="South"/>
    <s v="Hyderabad"/>
    <s v="Online"/>
    <s v="Vijay Singh"/>
    <s v="Future Tech"/>
    <x v="1"/>
    <s v="Desk"/>
    <n v="28"/>
    <n v="2310.98"/>
    <n v="64707.44"/>
    <n v="1399.46"/>
    <n v="0"/>
    <n v="63307.98"/>
    <s v="Cancelled"/>
    <s v="Pending"/>
  </r>
  <r>
    <s v="INV-2026-02791"/>
    <x v="30"/>
    <s v="North"/>
    <s v="Chandigarh"/>
    <s v="Direct Sales"/>
    <s v="Priya Patel"/>
    <s v="Future Tech"/>
    <x v="2"/>
    <s v="Football"/>
    <n v="40"/>
    <n v="43093.98"/>
    <n v="1723759.2"/>
    <n v="0"/>
    <n v="0"/>
    <n v="1723759.2"/>
    <s v="Completed"/>
    <s v="Paid"/>
  </r>
  <r>
    <s v="INV-2026-02792"/>
    <x v="79"/>
    <s v="South"/>
    <s v="Bangalore"/>
    <s v="Retail Store"/>
    <s v="Priya Patel"/>
    <s v="Tech Solutions"/>
    <x v="5"/>
    <s v="Refrigerator"/>
    <n v="25"/>
    <n v="24845.33"/>
    <n v="621133.25"/>
    <n v="20307.3"/>
    <n v="0"/>
    <n v="600825.94999999995"/>
    <s v="Completed"/>
    <s v="Paid"/>
  </r>
  <r>
    <s v="INV-2026-02793"/>
    <x v="49"/>
    <s v="East"/>
    <s v="Kolkata"/>
    <s v="Online"/>
    <s v="Suresh Gupta"/>
    <s v="Nexus Ltd"/>
    <x v="0"/>
    <s v="Printer Paper"/>
    <n v="13"/>
    <n v="40285.74"/>
    <n v="523714.62"/>
    <n v="0"/>
    <n v="43751.63"/>
    <n v="479962.99"/>
    <s v="Completed"/>
    <s v="Paid"/>
  </r>
  <r>
    <s v="INV-2026-02794"/>
    <x v="40"/>
    <s v="North"/>
    <s v="Chandigarh"/>
    <s v="Distributor"/>
    <s v="Kavita Nair"/>
    <s v="Urban Store"/>
    <x v="4"/>
    <s v="Formal Shirt"/>
    <n v="39"/>
    <n v="27162.6"/>
    <n v="1059341.3999999999"/>
    <n v="143265.65"/>
    <n v="0"/>
    <n v="916075.75"/>
    <s v="Pending"/>
    <s v="Pending"/>
  </r>
  <r>
    <s v="INV-2026-02795"/>
    <x v="14"/>
    <s v="North"/>
    <s v="Chandigarh"/>
    <s v="Online"/>
    <s v="Kavita Nair"/>
    <s v="Prime Retail"/>
    <x v="2"/>
    <s v="Gym Equipment"/>
    <n v="50"/>
    <n v="2282.4"/>
    <n v="114120"/>
    <n v="0"/>
    <n v="0"/>
    <n v="114120"/>
    <s v="Cancelled"/>
    <s v="Pending"/>
  </r>
  <r>
    <s v="INV-2026-02796"/>
    <x v="63"/>
    <s v="South"/>
    <s v="Bangalore"/>
    <s v="Distributor"/>
    <s v="Anita Desai"/>
    <s v="Elite Enterprises"/>
    <x v="5"/>
    <s v="Air Conditioner"/>
    <n v="49"/>
    <n v="28173.49"/>
    <n v="1380501.01"/>
    <n v="0"/>
    <n v="0"/>
    <n v="1380501.01"/>
    <s v="Cancelled"/>
    <s v="Pending"/>
  </r>
  <r>
    <s v="INV-2026-02797"/>
    <x v="73"/>
    <s v="North"/>
    <s v="Delhi"/>
    <s v="Distributor"/>
    <s v="Sneha Reddy"/>
    <s v="Skyline Corp"/>
    <x v="4"/>
    <s v="T-Shirt"/>
    <n v="31"/>
    <n v="16946.54"/>
    <n v="525342.74"/>
    <n v="71198.490000000005"/>
    <n v="0"/>
    <n v="454144.25"/>
    <s v="Cancelled"/>
    <s v="Pending"/>
  </r>
  <r>
    <s v="INV-2026-02798"/>
    <x v="21"/>
    <s v="East"/>
    <s v="Guwahati"/>
    <s v="Distributor"/>
    <s v="Vijay Singh"/>
    <s v="Alpha Trading"/>
    <x v="1"/>
    <s v="Conference Table"/>
    <n v="29"/>
    <n v="16013.37"/>
    <n v="464387.73"/>
    <n v="2940.95"/>
    <n v="0"/>
    <n v="461446.78"/>
    <s v="Processing"/>
    <s v="Pending"/>
  </r>
  <r>
    <s v="INV-2026-02799"/>
    <x v="24"/>
    <s v="North"/>
    <s v="Jaipur"/>
    <s v="Distributor"/>
    <s v="Rajesh Verma"/>
    <s v="Skyline Corp"/>
    <x v="5"/>
    <s v="Refrigerator"/>
    <n v="50"/>
    <n v="15069.38"/>
    <n v="753469"/>
    <n v="0"/>
    <n v="0"/>
    <n v="753469"/>
    <s v="Pending"/>
    <s v="Pending"/>
  </r>
  <r>
    <s v="INV-2026-02800"/>
    <x v="49"/>
    <s v="South"/>
    <s v="Kochi"/>
    <s v="Distributor"/>
    <s v="Sneha Reddy"/>
    <s v="Future Tech"/>
    <x v="3"/>
    <s v="Tablet"/>
    <n v="46"/>
    <n v="20646.13"/>
    <n v="949721.98"/>
    <n v="130805.86"/>
    <n v="0"/>
    <n v="818916.12"/>
    <s v="Pending"/>
    <s v="Paid"/>
  </r>
  <r>
    <s v="INV-2026-02801"/>
    <x v="84"/>
    <s v="West"/>
    <s v="Ahmedabad"/>
    <s v="Distributor"/>
    <s v="Amit Kumar"/>
    <s v="Alpha Trading"/>
    <x v="4"/>
    <s v="Shoes"/>
    <n v="7"/>
    <n v="1222.3599999999999"/>
    <n v="8556.52"/>
    <n v="0"/>
    <n v="0"/>
    <n v="8556.52"/>
    <s v="Processing"/>
    <s v="Pending"/>
  </r>
  <r>
    <s v="INV-2026-02802"/>
    <x v="10"/>
    <s v="East"/>
    <s v="Bhubaneswar"/>
    <s v="Distributor"/>
    <s v="Vijay Singh"/>
    <s v="Smart Systems"/>
    <x v="1"/>
    <s v="Office Chair"/>
    <n v="8"/>
    <n v="16834.79"/>
    <n v="134678.32"/>
    <n v="5764.65"/>
    <n v="20617.900000000001"/>
    <n v="108295.77"/>
    <s v="Completed"/>
    <s v="Paid"/>
  </r>
  <r>
    <s v="INV-2026-02803"/>
    <x v="45"/>
    <s v="East"/>
    <s v="Patna"/>
    <s v="Online"/>
    <s v="Anita Desai"/>
    <s v="XYZ Ltd"/>
    <x v="1"/>
    <s v="Conference Table"/>
    <n v="26"/>
    <n v="32995.53"/>
    <n v="857883.78"/>
    <n v="0"/>
    <n v="0"/>
    <n v="857883.78"/>
    <s v="Pending"/>
    <s v="Pending"/>
  </r>
  <r>
    <s v="INV-2026-02804"/>
    <x v="7"/>
    <s v="Central"/>
    <s v="Indore"/>
    <s v="Online"/>
    <s v="Anita Desai"/>
    <s v="Urban Store"/>
    <x v="0"/>
    <s v="Notebook"/>
    <n v="21"/>
    <n v="37672.46"/>
    <n v="791121.66"/>
    <n v="33930.730000000003"/>
    <n v="38623.51"/>
    <n v="718567.42"/>
    <s v="Processing"/>
    <s v="Paid"/>
  </r>
  <r>
    <s v="INV-2026-02805"/>
    <x v="85"/>
    <s v="East"/>
    <s v="Patna"/>
    <s v="Direct Sales"/>
    <s v="Vijay Singh"/>
    <s v="Alpha Trading"/>
    <x v="4"/>
    <s v="Jacket"/>
    <n v="47"/>
    <n v="45169.17"/>
    <n v="2122950.9900000002"/>
    <n v="0"/>
    <n v="0"/>
    <n v="2122950.9900000002"/>
    <s v="Completed"/>
    <s v="Paid"/>
  </r>
  <r>
    <s v="INV-2026-02806"/>
    <x v="7"/>
    <s v="Central"/>
    <s v="Indore"/>
    <s v="Retail Store"/>
    <s v="Anita Desai"/>
    <s v="Alpha Trading"/>
    <x v="3"/>
    <s v="Camera"/>
    <n v="36"/>
    <n v="17057.71"/>
    <n v="614077.56000000006"/>
    <n v="67056.53"/>
    <n v="0"/>
    <n v="547021.03"/>
    <s v="Cancelled"/>
    <s v="Pending"/>
  </r>
  <r>
    <s v="INV-2026-02807"/>
    <x v="74"/>
    <s v="West"/>
    <s v="Ahmedabad"/>
    <s v="Online"/>
    <s v="Vijay Singh"/>
    <s v="Smart Systems"/>
    <x v="4"/>
    <s v="Jeans"/>
    <n v="31"/>
    <n v="13814.07"/>
    <n v="428236.17"/>
    <n v="0"/>
    <n v="0"/>
    <n v="428236.17"/>
    <s v="Processing"/>
    <s v="Paid"/>
  </r>
  <r>
    <s v="INV-2026-02808"/>
    <x v="40"/>
    <s v="West"/>
    <s v="Pune"/>
    <s v="Distributor"/>
    <s v="Rahul Sharma"/>
    <s v="Urban Store"/>
    <x v="3"/>
    <s v="Headphones"/>
    <n v="17"/>
    <n v="8237.98"/>
    <n v="140045.66"/>
    <n v="22440.66"/>
    <n v="0"/>
    <n v="117605"/>
    <s v="Pending"/>
    <s v="Paid"/>
  </r>
  <r>
    <s v="INV-2026-02809"/>
    <x v="51"/>
    <s v="West"/>
    <s v="Ahmedabad"/>
    <s v="Direct Sales"/>
    <s v="Suresh Gupta"/>
    <s v="Global Traders"/>
    <x v="1"/>
    <s v="Bookshelf"/>
    <n v="32"/>
    <n v="40282.03"/>
    <n v="1289024.96"/>
    <n v="185934.09"/>
    <n v="94674.33"/>
    <n v="1008416.54"/>
    <s v="Cancelled"/>
    <s v="Pending"/>
  </r>
  <r>
    <s v="INV-2026-02810"/>
    <x v="1"/>
    <s v="North"/>
    <s v="Delhi"/>
    <s v="Direct Sales"/>
    <s v="Sneha Reddy"/>
    <s v="Urban Store"/>
    <x v="1"/>
    <s v="Cabinet"/>
    <n v="31"/>
    <n v="35900.699999999997"/>
    <n v="1112921.7"/>
    <n v="108448.18"/>
    <n v="0"/>
    <n v="1004473.52"/>
    <s v="Processing"/>
    <s v="Pending"/>
  </r>
  <r>
    <s v="INV-2026-02811"/>
    <x v="85"/>
    <s v="South"/>
    <s v="Bangalore"/>
    <s v="Online"/>
    <s v="Vijay Singh"/>
    <s v="Future Tech"/>
    <x v="3"/>
    <s v="Smart Watch"/>
    <n v="32"/>
    <n v="25295.47"/>
    <n v="809455.04"/>
    <n v="90878.11"/>
    <n v="0"/>
    <n v="718576.93"/>
    <s v="Completed"/>
    <s v="Paid"/>
  </r>
  <r>
    <s v="INV-2026-02812"/>
    <x v="0"/>
    <s v="East"/>
    <s v="Kolkata"/>
    <s v="Direct Sales"/>
    <s v="Amit Kumar"/>
    <s v="Future Tech"/>
    <x v="3"/>
    <s v="Camera"/>
    <n v="13"/>
    <n v="25958.34"/>
    <n v="337458.42"/>
    <n v="0"/>
    <n v="0"/>
    <n v="337458.42"/>
    <s v="Processing"/>
    <s v="Pending"/>
  </r>
  <r>
    <s v="INV-2026-02813"/>
    <x v="64"/>
    <s v="West"/>
    <s v="Ahmedabad"/>
    <s v="Online"/>
    <s v="Vijay Singh"/>
    <s v="Metro Mart"/>
    <x v="4"/>
    <s v="Dress"/>
    <n v="19"/>
    <n v="19255.73"/>
    <n v="365858.87"/>
    <n v="52880.31"/>
    <n v="0"/>
    <n v="312978.56"/>
    <s v="Processing"/>
    <s v="Pending"/>
  </r>
  <r>
    <s v="INV-2026-02814"/>
    <x v="53"/>
    <s v="East"/>
    <s v="Patna"/>
    <s v="Retail Store"/>
    <s v="Kavita Nair"/>
    <s v="Future Tech"/>
    <x v="4"/>
    <s v="Formal Shirt"/>
    <n v="43"/>
    <n v="10925.17"/>
    <n v="469782.31"/>
    <n v="0"/>
    <n v="19161.11"/>
    <n v="450621.2"/>
    <s v="Processing"/>
    <s v="Pending"/>
  </r>
  <r>
    <s v="INV-2026-02815"/>
    <x v="37"/>
    <s v="South"/>
    <s v="Chennai"/>
    <s v="Distributor"/>
    <s v="Rajesh Verma"/>
    <s v="Alpha Trading"/>
    <x v="5"/>
    <s v="Refrigerator"/>
    <n v="15"/>
    <n v="39001.57"/>
    <n v="585023.55000000005"/>
    <n v="0"/>
    <n v="0"/>
    <n v="585023.55000000005"/>
    <s v="Pending"/>
    <s v="Pending"/>
  </r>
  <r>
    <s v="INV-2026-02816"/>
    <x v="29"/>
    <s v="South"/>
    <s v="Hyderabad"/>
    <s v="Direct Sales"/>
    <s v="Anita Desai"/>
    <s v="XYZ Ltd"/>
    <x v="4"/>
    <s v="Formal Shirt"/>
    <n v="7"/>
    <n v="33511.06"/>
    <n v="234577.42"/>
    <n v="30841.119999999999"/>
    <n v="0"/>
    <n v="203736.3"/>
    <s v="Cancelled"/>
    <s v="Pending"/>
  </r>
  <r>
    <s v="INV-2026-02817"/>
    <x v="83"/>
    <s v="South"/>
    <s v="Kochi"/>
    <s v="Retail Store"/>
    <s v="Rajesh Verma"/>
    <s v="Prime Retail"/>
    <x v="5"/>
    <s v="Vacuum Cleaner"/>
    <n v="33"/>
    <n v="27328.560000000001"/>
    <n v="901842.48"/>
    <n v="0"/>
    <n v="0"/>
    <n v="901842.48"/>
    <s v="Completed"/>
    <s v="Paid"/>
  </r>
  <r>
    <s v="INV-2026-02818"/>
    <x v="60"/>
    <s v="North"/>
    <s v="Lucknow"/>
    <s v="Retail Store"/>
    <s v="Rajesh Verma"/>
    <s v="Future Tech"/>
    <x v="4"/>
    <s v="T-Shirt"/>
    <n v="42"/>
    <n v="15271.24"/>
    <n v="641392.07999999996"/>
    <n v="127679.17"/>
    <n v="0"/>
    <n v="513712.91"/>
    <s v="Cancelled"/>
    <s v="Pending"/>
  </r>
  <r>
    <s v="INV-2026-02819"/>
    <x v="39"/>
    <s v="North"/>
    <s v="Lucknow"/>
    <s v="Direct Sales"/>
    <s v="Amit Kumar"/>
    <s v="Smart Systems"/>
    <x v="3"/>
    <s v="Smartphone"/>
    <n v="30"/>
    <n v="41634.18"/>
    <n v="1249025.3999999999"/>
    <n v="0"/>
    <n v="0"/>
    <n v="1249025.3999999999"/>
    <s v="Pending"/>
    <s v="Paid"/>
  </r>
  <r>
    <s v="INV-2026-02820"/>
    <x v="38"/>
    <s v="South"/>
    <s v="Kochi"/>
    <s v="Retail Store"/>
    <s v="Vijay Singh"/>
    <s v="Smart Systems"/>
    <x v="5"/>
    <s v="Microwave"/>
    <n v="17"/>
    <n v="6354.15"/>
    <n v="108020.55"/>
    <n v="0"/>
    <n v="0"/>
    <n v="108020.55"/>
    <s v="Completed"/>
    <s v="Paid"/>
  </r>
  <r>
    <s v="INV-2026-02821"/>
    <x v="46"/>
    <s v="North"/>
    <s v="Jaipur"/>
    <s v="Direct Sales"/>
    <s v="Amit Kumar"/>
    <s v="Tech Solutions"/>
    <x v="0"/>
    <s v="Printer Paper"/>
    <n v="26"/>
    <n v="14565.53"/>
    <n v="378703.78"/>
    <n v="0"/>
    <n v="76960.5"/>
    <n v="301743.28000000003"/>
    <s v="Completed"/>
    <s v="Paid"/>
  </r>
  <r>
    <s v="INV-2026-02822"/>
    <x v="4"/>
    <s v="Central"/>
    <s v="Nagpur"/>
    <s v="Distributor"/>
    <s v="Sneha Reddy"/>
    <s v="Urban Store"/>
    <x v="5"/>
    <s v="Microwave"/>
    <n v="38"/>
    <n v="9670.0300000000007"/>
    <n v="367461.14"/>
    <n v="18142.95"/>
    <n v="0"/>
    <n v="349318.19"/>
    <s v="Cancelled"/>
    <s v="Pending"/>
  </r>
  <r>
    <s v="INV-2026-02823"/>
    <x v="54"/>
    <s v="South"/>
    <s v="Bangalore"/>
    <s v="Distributor"/>
    <s v="Meera Joshi"/>
    <s v="Alpha Trading"/>
    <x v="1"/>
    <s v="Cabinet"/>
    <n v="40"/>
    <n v="32745.97"/>
    <n v="1309838.8"/>
    <n v="0"/>
    <n v="0"/>
    <n v="1309838.8"/>
    <s v="Completed"/>
    <s v="Paid"/>
  </r>
  <r>
    <s v="INV-2026-02824"/>
    <x v="56"/>
    <s v="South"/>
    <s v="Chennai"/>
    <s v="Distributor"/>
    <s v="Vijay Singh"/>
    <s v="Prime Retail"/>
    <x v="3"/>
    <s v="Smart Watch"/>
    <n v="24"/>
    <n v="7639.95"/>
    <n v="183358.8"/>
    <n v="0"/>
    <n v="0"/>
    <n v="183358.8"/>
    <s v="Processing"/>
    <s v="Paid"/>
  </r>
  <r>
    <s v="INV-2026-02825"/>
    <x v="62"/>
    <s v="West"/>
    <s v="Mumbai"/>
    <s v="Retail Store"/>
    <s v="Anita Desai"/>
    <s v="Nexus Ltd"/>
    <x v="0"/>
    <s v="Desk Organizer"/>
    <n v="19"/>
    <n v="36293.81"/>
    <n v="689582.39"/>
    <n v="81393.5"/>
    <n v="0"/>
    <n v="608188.89"/>
    <s v="Cancelled"/>
    <s v="Pending"/>
  </r>
  <r>
    <s v="INV-2026-02826"/>
    <x v="15"/>
    <s v="South"/>
    <s v="Kochi"/>
    <s v="Distributor"/>
    <s v="Kavita Nair"/>
    <s v="Nexus Ltd"/>
    <x v="4"/>
    <s v="Shoes"/>
    <n v="5"/>
    <n v="50373.97"/>
    <n v="251869.85"/>
    <n v="27810.93"/>
    <n v="0"/>
    <n v="224058.92"/>
    <s v="Completed"/>
    <s v="Paid"/>
  </r>
  <r>
    <s v="INV-2026-02827"/>
    <x v="40"/>
    <s v="North"/>
    <s v="Lucknow"/>
    <s v="Distributor"/>
    <s v="Sneha Reddy"/>
    <s v="Future Tech"/>
    <x v="3"/>
    <s v="Headphones"/>
    <n v="9"/>
    <n v="2001.81"/>
    <n v="18016.29"/>
    <n v="523.96"/>
    <n v="0"/>
    <n v="17492.330000000002"/>
    <s v="Processing"/>
    <s v="Paid"/>
  </r>
  <r>
    <s v="INV-2026-02828"/>
    <x v="83"/>
    <s v="North"/>
    <s v="Delhi"/>
    <s v="Direct Sales"/>
    <s v="Priya Patel"/>
    <s v="Tech Solutions"/>
    <x v="5"/>
    <s v="Washing Machine"/>
    <n v="37"/>
    <n v="47572.57"/>
    <n v="1760185.09"/>
    <n v="0"/>
    <n v="0"/>
    <n v="1760185.09"/>
    <s v="Cancelled"/>
    <s v="Pending"/>
  </r>
  <r>
    <s v="INV-2026-02829"/>
    <x v="75"/>
    <s v="South"/>
    <s v="Chennai"/>
    <s v="Online"/>
    <s v="Anita Desai"/>
    <s v="Elite Enterprises"/>
    <x v="5"/>
    <s v="Washing Machine"/>
    <n v="45"/>
    <n v="9560.82"/>
    <n v="430236.9"/>
    <n v="80788.479999999996"/>
    <n v="56702.73"/>
    <n v="292745.69"/>
    <s v="Completed"/>
    <s v="Paid"/>
  </r>
  <r>
    <s v="INV-2026-02830"/>
    <x v="58"/>
    <s v="South"/>
    <s v="Bangalore"/>
    <s v="Distributor"/>
    <s v="Kavita Nair"/>
    <s v="XYZ Ltd"/>
    <x v="4"/>
    <s v="Dress"/>
    <n v="44"/>
    <n v="6669.86"/>
    <n v="293473.84000000003"/>
    <n v="0"/>
    <n v="0"/>
    <n v="293473.84000000003"/>
    <s v="Pending"/>
    <s v="Pending"/>
  </r>
  <r>
    <s v="INV-2026-02831"/>
    <x v="40"/>
    <s v="North"/>
    <s v="Delhi"/>
    <s v="Online"/>
    <s v="Vijay Singh"/>
    <s v="ABC Corp"/>
    <x v="1"/>
    <s v="Office Chair"/>
    <n v="2"/>
    <n v="10457.25"/>
    <n v="20914.5"/>
    <n v="3797.51"/>
    <n v="4915.6499999999996"/>
    <n v="12201.34"/>
    <s v="Cancelled"/>
    <s v="Pending"/>
  </r>
  <r>
    <s v="INV-2026-02832"/>
    <x v="14"/>
    <s v="East"/>
    <s v="Kolkata"/>
    <s v="Online"/>
    <s v="Amit Kumar"/>
    <s v="Global Traders"/>
    <x v="5"/>
    <s v="Washing Machine"/>
    <n v="7"/>
    <n v="40498.44"/>
    <n v="283489.08"/>
    <n v="0"/>
    <n v="22502.98"/>
    <n v="260986.1"/>
    <s v="Completed"/>
    <s v="Paid"/>
  </r>
  <r>
    <s v="INV-2026-02833"/>
    <x v="90"/>
    <s v="West"/>
    <s v="Mumbai"/>
    <s v="Retail Store"/>
    <s v="Rahul Sharma"/>
    <s v="Metro Mart"/>
    <x v="0"/>
    <s v="Whiteboard"/>
    <n v="24"/>
    <n v="47354.68"/>
    <n v="1136512.32"/>
    <n v="0"/>
    <n v="0"/>
    <n v="1136512.32"/>
    <s v="Cancelled"/>
    <s v="Pending"/>
  </r>
  <r>
    <s v="INV-2026-02834"/>
    <x v="11"/>
    <s v="East"/>
    <s v="Guwahati"/>
    <s v="Distributor"/>
    <s v="Anita Desai"/>
    <s v="Global Traders"/>
    <x v="3"/>
    <s v="Headphones"/>
    <n v="7"/>
    <n v="40559.86"/>
    <n v="283919.02"/>
    <n v="33977.93"/>
    <n v="0"/>
    <n v="249941.09"/>
    <s v="Cancelled"/>
    <s v="Pending"/>
  </r>
  <r>
    <s v="INV-2026-02835"/>
    <x v="68"/>
    <s v="East"/>
    <s v="Bhubaneswar"/>
    <s v="Online"/>
    <s v="Priya Patel"/>
    <s v="Digital Hub"/>
    <x v="0"/>
    <s v="Pen Set"/>
    <n v="13"/>
    <n v="45626.26"/>
    <n v="593141.38"/>
    <n v="32656.34"/>
    <n v="0"/>
    <n v="560485.04"/>
    <s v="Cancelled"/>
    <s v="Pending"/>
  </r>
  <r>
    <s v="INV-2026-02836"/>
    <x v="40"/>
    <s v="East"/>
    <s v="Kolkata"/>
    <s v="Direct Sales"/>
    <s v="Sneha Reddy"/>
    <s v="Digital Hub"/>
    <x v="0"/>
    <s v="File Folder"/>
    <n v="4"/>
    <n v="22403.98"/>
    <n v="89615.92"/>
    <n v="938.62"/>
    <n v="0"/>
    <n v="88677.3"/>
    <s v="Pending"/>
    <s v="Pending"/>
  </r>
  <r>
    <s v="INV-2026-02837"/>
    <x v="42"/>
    <s v="East"/>
    <s v="Patna"/>
    <s v="Distributor"/>
    <s v="Rahul Sharma"/>
    <s v="Elite Enterprises"/>
    <x v="2"/>
    <s v="Bicycle"/>
    <n v="11"/>
    <n v="24547.64"/>
    <n v="270024.03999999998"/>
    <n v="0"/>
    <n v="41340.629999999997"/>
    <n v="228683.41"/>
    <s v="Processing"/>
    <s v="Pending"/>
  </r>
  <r>
    <s v="INV-2026-02838"/>
    <x v="12"/>
    <s v="South"/>
    <s v="Bangalore"/>
    <s v="Direct Sales"/>
    <s v="Rahul Sharma"/>
    <s v="Digital Hub"/>
    <x v="0"/>
    <s v="Printer Paper"/>
    <n v="10"/>
    <n v="48457.67"/>
    <n v="484576.7"/>
    <n v="74833.94"/>
    <n v="68312.160000000003"/>
    <n v="341430.6"/>
    <s v="Processing"/>
    <s v="Paid"/>
  </r>
  <r>
    <s v="INV-2026-02839"/>
    <x v="77"/>
    <s v="Central"/>
    <s v="Raipur"/>
    <s v="Retail Store"/>
    <s v="Rajesh Verma"/>
    <s v="Global Traders"/>
    <x v="5"/>
    <s v="Vacuum Cleaner"/>
    <n v="46"/>
    <n v="10562.2"/>
    <n v="485861.2"/>
    <n v="24616.9"/>
    <n v="49871.45"/>
    <n v="411372.85"/>
    <s v="Completed"/>
    <s v="Paid"/>
  </r>
  <r>
    <s v="INV-2026-02840"/>
    <x v="4"/>
    <s v="South"/>
    <s v="Hyderabad"/>
    <s v="Retail Store"/>
    <s v="Priya Patel"/>
    <s v="Metro Mart"/>
    <x v="3"/>
    <s v="Smartphone"/>
    <n v="36"/>
    <n v="47915.57"/>
    <n v="1724960.52"/>
    <n v="263154.28000000003"/>
    <n v="0"/>
    <n v="1461806.24"/>
    <s v="Cancelled"/>
    <s v="Pending"/>
  </r>
  <r>
    <s v="INV-2026-02841"/>
    <x v="80"/>
    <s v="West"/>
    <s v="Ahmedabad"/>
    <s v="Direct Sales"/>
    <s v="Rajesh Verma"/>
    <s v="Global Traders"/>
    <x v="1"/>
    <s v="Desk"/>
    <n v="24"/>
    <n v="11096.79"/>
    <n v="266322.96000000002"/>
    <n v="0"/>
    <n v="0"/>
    <n v="266322.96000000002"/>
    <s v="Processing"/>
    <s v="Pending"/>
  </r>
  <r>
    <s v="INV-2026-02842"/>
    <x v="86"/>
    <s v="Central"/>
    <s v="Bhopal"/>
    <s v="Online"/>
    <s v="Sneha Reddy"/>
    <s v="Nexus Ltd"/>
    <x v="0"/>
    <s v="File Folder"/>
    <n v="44"/>
    <n v="28901.360000000001"/>
    <n v="1271659.8400000001"/>
    <n v="138077.07999999999"/>
    <n v="0"/>
    <n v="1133582.76"/>
    <s v="Processing"/>
    <s v="Paid"/>
  </r>
  <r>
    <s v="INV-2026-02843"/>
    <x v="84"/>
    <s v="East"/>
    <s v="Kolkata"/>
    <s v="Distributor"/>
    <s v="Suresh Gupta"/>
    <s v="Elite Enterprises"/>
    <x v="3"/>
    <s v="Smartphone"/>
    <n v="31"/>
    <n v="27507.42"/>
    <n v="852730.02"/>
    <n v="82377.02"/>
    <n v="0"/>
    <n v="770353"/>
    <s v="Cancelled"/>
    <s v="Pending"/>
  </r>
  <r>
    <s v="INV-2026-02844"/>
    <x v="90"/>
    <s v="South"/>
    <s v="Hyderabad"/>
    <s v="Direct Sales"/>
    <s v="Rajesh Verma"/>
    <s v="Alpha Trading"/>
    <x v="5"/>
    <s v="TV"/>
    <n v="27"/>
    <n v="31405.96"/>
    <n v="847960.92"/>
    <n v="63152.95"/>
    <n v="0"/>
    <n v="784807.97"/>
    <s v="Pending"/>
    <s v="Pending"/>
  </r>
  <r>
    <s v="INV-2026-02845"/>
    <x v="68"/>
    <s v="Central"/>
    <s v="Raipur"/>
    <s v="Retail Store"/>
    <s v="Rahul Sharma"/>
    <s v="Metro Mart"/>
    <x v="3"/>
    <s v="Smart Watch"/>
    <n v="22"/>
    <n v="20092.62"/>
    <n v="442037.64"/>
    <n v="58252.28"/>
    <n v="0"/>
    <n v="383785.36"/>
    <s v="Cancelled"/>
    <s v="Pending"/>
  </r>
  <r>
    <s v="INV-2026-02846"/>
    <x v="54"/>
    <s v="Central"/>
    <s v="Raipur"/>
    <s v="Online"/>
    <s v="Vijay Singh"/>
    <s v="Prime Retail"/>
    <x v="3"/>
    <s v="Smartphone"/>
    <n v="13"/>
    <n v="47859.46"/>
    <n v="622172.98"/>
    <n v="75939.009999999995"/>
    <n v="0"/>
    <n v="546233.97"/>
    <s v="Completed"/>
    <s v="Paid"/>
  </r>
  <r>
    <s v="INV-2026-02847"/>
    <x v="58"/>
    <s v="Central"/>
    <s v="Nagpur"/>
    <s v="Direct Sales"/>
    <s v="Suresh Gupta"/>
    <s v="Prime Retail"/>
    <x v="4"/>
    <s v="Jeans"/>
    <n v="50"/>
    <n v="6697.4"/>
    <n v="334870"/>
    <n v="29292.11"/>
    <n v="0"/>
    <n v="305577.89"/>
    <s v="Cancelled"/>
    <s v="Pending"/>
  </r>
  <r>
    <s v="INV-2026-02848"/>
    <x v="22"/>
    <s v="West"/>
    <s v="Pune"/>
    <s v="Retail Store"/>
    <s v="Sneha Reddy"/>
    <s v="Prime Retail"/>
    <x v="0"/>
    <s v="Whiteboard"/>
    <n v="43"/>
    <n v="17215.37"/>
    <n v="740260.91"/>
    <n v="83433.759999999995"/>
    <n v="0"/>
    <n v="656827.15"/>
    <s v="Processing"/>
    <s v="Paid"/>
  </r>
  <r>
    <s v="INV-2026-02849"/>
    <x v="71"/>
    <s v="North"/>
    <s v="Delhi"/>
    <s v="Online"/>
    <s v="Suresh Gupta"/>
    <s v="Omega Stores"/>
    <x v="3"/>
    <s v="Camera"/>
    <n v="26"/>
    <n v="41391.83"/>
    <n v="1076187.58"/>
    <n v="187572.77"/>
    <n v="0"/>
    <n v="888614.81"/>
    <s v="Processing"/>
    <s v="Pending"/>
  </r>
  <r>
    <s v="INV-2026-02850"/>
    <x v="22"/>
    <s v="East"/>
    <s v="Guwahati"/>
    <s v="Distributor"/>
    <s v="Rajesh Verma"/>
    <s v="Tech Solutions"/>
    <x v="3"/>
    <s v="Laptop"/>
    <n v="39"/>
    <n v="35805.75"/>
    <n v="1396424.25"/>
    <n v="240161.42"/>
    <n v="275583.8"/>
    <n v="880679.03"/>
    <s v="Processing"/>
    <s v="Paid"/>
  </r>
  <r>
    <s v="INV-2026-02851"/>
    <x v="70"/>
    <s v="West"/>
    <s v="Ahmedabad"/>
    <s v="Distributor"/>
    <s v="Rahul Sharma"/>
    <s v="Future Tech"/>
    <x v="1"/>
    <s v="Sofa"/>
    <n v="38"/>
    <n v="33456.14"/>
    <n v="1271333.32"/>
    <n v="243833.97"/>
    <n v="0"/>
    <n v="1027499.35"/>
    <s v="Completed"/>
    <s v="Paid"/>
  </r>
  <r>
    <s v="INV-2026-02852"/>
    <x v="47"/>
    <s v="East"/>
    <s v="Guwahati"/>
    <s v="Direct Sales"/>
    <s v="Meera Joshi"/>
    <s v="Omega Stores"/>
    <x v="0"/>
    <s v="Printer Paper"/>
    <n v="10"/>
    <n v="4794.72"/>
    <n v="47947.199999999997"/>
    <n v="0"/>
    <n v="0"/>
    <n v="47947.199999999997"/>
    <s v="Completed"/>
    <s v="Paid"/>
  </r>
  <r>
    <s v="INV-2026-02853"/>
    <x v="26"/>
    <s v="Central"/>
    <s v="Indore"/>
    <s v="Retail Store"/>
    <s v="Vijay Singh"/>
    <s v="Prime Retail"/>
    <x v="5"/>
    <s v="Microwave"/>
    <n v="3"/>
    <n v="6465.51"/>
    <n v="19396.53"/>
    <n v="0"/>
    <n v="0"/>
    <n v="19396.53"/>
    <s v="Cancelled"/>
    <s v="Pending"/>
  </r>
  <r>
    <s v="INV-2026-02854"/>
    <x v="86"/>
    <s v="West"/>
    <s v="Surat"/>
    <s v="Online"/>
    <s v="Kavita Nair"/>
    <s v="Nexus Ltd"/>
    <x v="3"/>
    <s v="Smart Watch"/>
    <n v="50"/>
    <n v="31111.4"/>
    <n v="1555570"/>
    <n v="29901.11"/>
    <n v="0"/>
    <n v="1525668.89"/>
    <s v="Pending"/>
    <s v="Pending"/>
  </r>
  <r>
    <s v="INV-2026-02855"/>
    <x v="40"/>
    <s v="West"/>
    <s v="Pune"/>
    <s v="Online"/>
    <s v="Kavita Nair"/>
    <s v="Urban Store"/>
    <x v="2"/>
    <s v="Cricket Bat"/>
    <n v="34"/>
    <n v="2273.62"/>
    <n v="77303.08"/>
    <n v="0"/>
    <n v="0"/>
    <n v="77303.08"/>
    <s v="Cancelled"/>
    <s v="Pending"/>
  </r>
  <r>
    <s v="INV-2026-02856"/>
    <x v="30"/>
    <s v="North"/>
    <s v="Jaipur"/>
    <s v="Direct Sales"/>
    <s v="Rahul Sharma"/>
    <s v="XYZ Ltd"/>
    <x v="4"/>
    <s v="Jacket"/>
    <n v="16"/>
    <n v="39018.26"/>
    <n v="624292.16"/>
    <n v="0"/>
    <n v="0"/>
    <n v="624292.16"/>
    <s v="Processing"/>
    <s v="Paid"/>
  </r>
  <r>
    <s v="INV-2026-02857"/>
    <x v="88"/>
    <s v="East"/>
    <s v="Kolkata"/>
    <s v="Distributor"/>
    <s v="Anita Desai"/>
    <s v="ABC Corp"/>
    <x v="0"/>
    <s v="Pen Set"/>
    <n v="7"/>
    <n v="24060.3"/>
    <n v="168422.1"/>
    <n v="17815.060000000001"/>
    <n v="0"/>
    <n v="150607.04000000001"/>
    <s v="Completed"/>
    <s v="Paid"/>
  </r>
  <r>
    <s v="INV-2026-02858"/>
    <x v="49"/>
    <s v="South"/>
    <s v="Kochi"/>
    <s v="Retail Store"/>
    <s v="Suresh Gupta"/>
    <s v="Nexus Ltd"/>
    <x v="1"/>
    <s v="Cabinet"/>
    <n v="48"/>
    <n v="14071.87"/>
    <n v="675449.76"/>
    <n v="9162"/>
    <n v="0"/>
    <n v="666287.76"/>
    <s v="Pending"/>
    <s v="Pending"/>
  </r>
  <r>
    <s v="INV-2026-02859"/>
    <x v="1"/>
    <s v="Central"/>
    <s v="Raipur"/>
    <s v="Online"/>
    <s v="Sneha Reddy"/>
    <s v="Alpha Trading"/>
    <x v="1"/>
    <s v="Sofa"/>
    <n v="33"/>
    <n v="8090.29"/>
    <n v="266979.57"/>
    <n v="1568.77"/>
    <n v="0"/>
    <n v="265410.8"/>
    <s v="Cancelled"/>
    <s v="Pending"/>
  </r>
  <r>
    <s v="INV-2026-02860"/>
    <x v="51"/>
    <s v="West"/>
    <s v="Mumbai"/>
    <s v="Online"/>
    <s v="Vijay Singh"/>
    <s v="Prime Retail"/>
    <x v="5"/>
    <s v="Microwave"/>
    <n v="12"/>
    <n v="7546.45"/>
    <n v="90557.4"/>
    <n v="1599.6"/>
    <n v="19645.36"/>
    <n v="69312.44"/>
    <s v="Cancelled"/>
    <s v="Pending"/>
  </r>
  <r>
    <s v="INV-2026-02861"/>
    <x v="64"/>
    <s v="Central"/>
    <s v="Nagpur"/>
    <s v="Online"/>
    <s v="Amit Kumar"/>
    <s v="Prime Retail"/>
    <x v="4"/>
    <s v="Jacket"/>
    <n v="23"/>
    <n v="40286.620000000003"/>
    <n v="926592.26"/>
    <n v="104203.85"/>
    <n v="0"/>
    <n v="822388.41"/>
    <s v="Pending"/>
    <s v="Pending"/>
  </r>
  <r>
    <s v="INV-2026-02862"/>
    <x v="81"/>
    <s v="North"/>
    <s v="Delhi"/>
    <s v="Direct Sales"/>
    <s v="Rahul Sharma"/>
    <s v="Metro Mart"/>
    <x v="4"/>
    <s v="Jacket"/>
    <n v="41"/>
    <n v="20528.45"/>
    <n v="841666.45"/>
    <n v="166578.26"/>
    <n v="0"/>
    <n v="675088.19"/>
    <s v="Cancelled"/>
    <s v="Pending"/>
  </r>
  <r>
    <s v="INV-2026-02863"/>
    <x v="73"/>
    <s v="North"/>
    <s v="Delhi"/>
    <s v="Distributor"/>
    <s v="Rahul Sharma"/>
    <s v="ABC Corp"/>
    <x v="1"/>
    <s v="Sofa"/>
    <n v="4"/>
    <n v="22370.55"/>
    <n v="89482.2"/>
    <n v="7808.46"/>
    <n v="0"/>
    <n v="81673.740000000005"/>
    <s v="Processing"/>
    <s v="Pending"/>
  </r>
  <r>
    <s v="INV-2026-02864"/>
    <x v="38"/>
    <s v="South"/>
    <s v="Bangalore"/>
    <s v="Online"/>
    <s v="Priya Patel"/>
    <s v="Prime Retail"/>
    <x v="0"/>
    <s v="File Folder"/>
    <n v="27"/>
    <n v="40627.879999999997"/>
    <n v="1096952.76"/>
    <n v="0"/>
    <n v="126424.44"/>
    <n v="970528.32"/>
    <s v="Completed"/>
    <s v="Paid"/>
  </r>
  <r>
    <s v="INV-2026-02865"/>
    <x v="57"/>
    <s v="Central"/>
    <s v="Bhopal"/>
    <s v="Direct Sales"/>
    <s v="Vijay Singh"/>
    <s v="Urban Store"/>
    <x v="3"/>
    <s v="Camera"/>
    <n v="33"/>
    <n v="35487.93"/>
    <n v="1171101.69"/>
    <n v="68438.240000000005"/>
    <n v="224988.41"/>
    <n v="877675.04"/>
    <s v="Pending"/>
    <s v="Pending"/>
  </r>
  <r>
    <s v="INV-2026-02866"/>
    <x v="58"/>
    <s v="North"/>
    <s v="Lucknow"/>
    <s v="Distributor"/>
    <s v="Meera Joshi"/>
    <s v="Omega Stores"/>
    <x v="5"/>
    <s v="Refrigerator"/>
    <n v="46"/>
    <n v="4134.1000000000004"/>
    <n v="190168.6"/>
    <n v="34569.64"/>
    <n v="0"/>
    <n v="155598.96"/>
    <s v="Cancelled"/>
    <s v="Pending"/>
  </r>
  <r>
    <s v="INV-2026-02867"/>
    <x v="6"/>
    <s v="South"/>
    <s v="Chennai"/>
    <s v="Distributor"/>
    <s v="Suresh Gupta"/>
    <s v="Metro Mart"/>
    <x v="0"/>
    <s v="Notebook"/>
    <n v="4"/>
    <n v="49001.03"/>
    <n v="196004.12"/>
    <n v="37144.589999999997"/>
    <n v="24309.1"/>
    <n v="134550.43"/>
    <s v="Processing"/>
    <s v="Paid"/>
  </r>
  <r>
    <s v="INV-2026-02868"/>
    <x v="57"/>
    <s v="East"/>
    <s v="Guwahati"/>
    <s v="Online"/>
    <s v="Anita Desai"/>
    <s v="ABC Corp"/>
    <x v="0"/>
    <s v="Whiteboard"/>
    <n v="36"/>
    <n v="4983.37"/>
    <n v="179401.32"/>
    <n v="3715.4"/>
    <n v="0"/>
    <n v="175685.92"/>
    <s v="Pending"/>
    <s v="Paid"/>
  </r>
  <r>
    <s v="INV-2026-02869"/>
    <x v="46"/>
    <s v="Central"/>
    <s v="Raipur"/>
    <s v="Retail Store"/>
    <s v="Sneha Reddy"/>
    <s v="Prime Retail"/>
    <x v="3"/>
    <s v="Smart Watch"/>
    <n v="31"/>
    <n v="48404.800000000003"/>
    <n v="1500548.8"/>
    <n v="81556.06"/>
    <n v="0"/>
    <n v="1418992.74"/>
    <s v="Completed"/>
    <s v="Paid"/>
  </r>
  <r>
    <s v="INV-2026-02870"/>
    <x v="56"/>
    <s v="East"/>
    <s v="Patna"/>
    <s v="Distributor"/>
    <s v="Rahul Sharma"/>
    <s v="Skyline Corp"/>
    <x v="2"/>
    <s v="Tennis Racket"/>
    <n v="34"/>
    <n v="4154.75"/>
    <n v="141261.5"/>
    <n v="10719.6"/>
    <n v="0"/>
    <n v="130541.9"/>
    <s v="Processing"/>
    <s v="Pending"/>
  </r>
  <r>
    <s v="INV-2026-02871"/>
    <x v="7"/>
    <s v="North"/>
    <s v="Jaipur"/>
    <s v="Direct Sales"/>
    <s v="Sneha Reddy"/>
    <s v="Smart Systems"/>
    <x v="4"/>
    <s v="Formal Shirt"/>
    <n v="34"/>
    <n v="9068.83"/>
    <n v="308340.21999999997"/>
    <n v="0"/>
    <n v="0"/>
    <n v="308340.21999999997"/>
    <s v="Pending"/>
    <s v="Paid"/>
  </r>
  <r>
    <s v="INV-2026-02872"/>
    <x v="44"/>
    <s v="South"/>
    <s v="Bangalore"/>
    <s v="Retail Store"/>
    <s v="Vijay Singh"/>
    <s v="Elite Enterprises"/>
    <x v="2"/>
    <s v="Gym Equipment"/>
    <n v="19"/>
    <n v="36721.9"/>
    <n v="697716.1"/>
    <n v="0"/>
    <n v="0"/>
    <n v="697716.1"/>
    <s v="Pending"/>
    <s v="Pending"/>
  </r>
  <r>
    <s v="INV-2026-02873"/>
    <x v="2"/>
    <s v="West"/>
    <s v="Mumbai"/>
    <s v="Online"/>
    <s v="Kavita Nair"/>
    <s v="Tech Solutions"/>
    <x v="3"/>
    <s v="Smart Watch"/>
    <n v="25"/>
    <n v="20287.43"/>
    <n v="507185.75"/>
    <n v="8639.0400000000009"/>
    <n v="0"/>
    <n v="498546.71"/>
    <s v="Pending"/>
    <s v="Paid"/>
  </r>
  <r>
    <s v="INV-2026-02874"/>
    <x v="86"/>
    <s v="North"/>
    <s v="Lucknow"/>
    <s v="Direct Sales"/>
    <s v="Meera Joshi"/>
    <s v="Metro Mart"/>
    <x v="3"/>
    <s v="Headphones"/>
    <n v="18"/>
    <n v="16293.93"/>
    <n v="293290.74"/>
    <n v="0"/>
    <n v="0"/>
    <n v="293290.74"/>
    <s v="Cancelled"/>
    <s v="Pending"/>
  </r>
  <r>
    <s v="INV-2026-02875"/>
    <x v="52"/>
    <s v="South"/>
    <s v="Chennai"/>
    <s v="Online"/>
    <s v="Vijay Singh"/>
    <s v="Elite Enterprises"/>
    <x v="4"/>
    <s v="Dress"/>
    <n v="6"/>
    <n v="32598.6"/>
    <n v="195591.6"/>
    <n v="3088.96"/>
    <n v="0"/>
    <n v="192502.64"/>
    <s v="Cancelled"/>
    <s v="Pending"/>
  </r>
  <r>
    <s v="INV-2026-02876"/>
    <x v="64"/>
    <s v="North"/>
    <s v="Chandigarh"/>
    <s v="Online"/>
    <s v="Suresh Gupta"/>
    <s v="Elite Enterprises"/>
    <x v="0"/>
    <s v="Pen Set"/>
    <n v="20"/>
    <n v="8919.7800000000007"/>
    <n v="178395.6"/>
    <n v="26716.74"/>
    <n v="23561.1"/>
    <n v="128117.75999999999"/>
    <s v="Pending"/>
    <s v="Pending"/>
  </r>
  <r>
    <s v="INV-2026-02877"/>
    <x v="73"/>
    <s v="West"/>
    <s v="Mumbai"/>
    <s v="Retail Store"/>
    <s v="Priya Patel"/>
    <s v="Future Tech"/>
    <x v="0"/>
    <s v="Printer Paper"/>
    <n v="3"/>
    <n v="22372.79"/>
    <n v="67118.37"/>
    <n v="12565.46"/>
    <n v="0"/>
    <n v="54552.91"/>
    <s v="Pending"/>
    <s v="Pending"/>
  </r>
  <r>
    <s v="INV-2026-02878"/>
    <x v="36"/>
    <s v="East"/>
    <s v="Guwahati"/>
    <s v="Online"/>
    <s v="Meera Joshi"/>
    <s v="Prime Retail"/>
    <x v="0"/>
    <s v="Printer Paper"/>
    <n v="17"/>
    <n v="29045.7"/>
    <n v="493776.9"/>
    <n v="73688.73"/>
    <n v="0"/>
    <n v="420088.17"/>
    <s v="Pending"/>
    <s v="Pending"/>
  </r>
  <r>
    <s v="INV-2026-02879"/>
    <x v="59"/>
    <s v="North"/>
    <s v="Jaipur"/>
    <s v="Distributor"/>
    <s v="Meera Joshi"/>
    <s v="ABC Corp"/>
    <x v="5"/>
    <s v="Refrigerator"/>
    <n v="17"/>
    <n v="28050.68"/>
    <n v="476861.56"/>
    <n v="9215.3700000000008"/>
    <n v="0"/>
    <n v="467646.19"/>
    <s v="Cancelled"/>
    <s v="Pending"/>
  </r>
  <r>
    <s v="INV-2026-02880"/>
    <x v="69"/>
    <s v="East"/>
    <s v="Patna"/>
    <s v="Direct Sales"/>
    <s v="Priya Patel"/>
    <s v="Alpha Trading"/>
    <x v="2"/>
    <s v="Yoga Mat"/>
    <n v="39"/>
    <n v="20925.419999999998"/>
    <n v="816091.38"/>
    <n v="57873.29"/>
    <n v="225340.01"/>
    <n v="532878.07999999996"/>
    <s v="Cancelled"/>
    <s v="Pending"/>
  </r>
  <r>
    <s v="INV-2026-02881"/>
    <x v="32"/>
    <s v="South"/>
    <s v="Hyderabad"/>
    <s v="Distributor"/>
    <s v="Meera Joshi"/>
    <s v="ABC Corp"/>
    <x v="1"/>
    <s v="Sofa"/>
    <n v="28"/>
    <n v="34214.69"/>
    <n v="958011.32"/>
    <n v="0"/>
    <n v="0"/>
    <n v="958011.32"/>
    <s v="Pending"/>
    <s v="Pending"/>
  </r>
  <r>
    <s v="INV-2026-02882"/>
    <x v="81"/>
    <s v="North"/>
    <s v="Delhi"/>
    <s v="Online"/>
    <s v="Suresh Gupta"/>
    <s v="Metro Mart"/>
    <x v="3"/>
    <s v="Smartphone"/>
    <n v="22"/>
    <n v="8142"/>
    <n v="179124"/>
    <n v="15466.81"/>
    <n v="0"/>
    <n v="163657.19"/>
    <s v="Pending"/>
    <s v="Paid"/>
  </r>
  <r>
    <s v="INV-2026-02883"/>
    <x v="46"/>
    <s v="West"/>
    <s v="Pune"/>
    <s v="Retail Store"/>
    <s v="Sneha Reddy"/>
    <s v="Prime Retail"/>
    <x v="3"/>
    <s v="Headphones"/>
    <n v="22"/>
    <n v="42604.32"/>
    <n v="937295.04"/>
    <n v="0"/>
    <n v="0"/>
    <n v="937295.04"/>
    <s v="Cancelled"/>
    <s v="Pending"/>
  </r>
  <r>
    <s v="INV-2026-02884"/>
    <x v="57"/>
    <s v="East"/>
    <s v="Patna"/>
    <s v="Direct Sales"/>
    <s v="Vijay Singh"/>
    <s v="Metro Mart"/>
    <x v="2"/>
    <s v="Gym Equipment"/>
    <n v="23"/>
    <n v="8011.52"/>
    <n v="184264.95999999999"/>
    <n v="0"/>
    <n v="0"/>
    <n v="184264.95999999999"/>
    <s v="Cancelled"/>
    <s v="Pending"/>
  </r>
  <r>
    <s v="INV-2026-02885"/>
    <x v="24"/>
    <s v="Central"/>
    <s v="Bhopal"/>
    <s v="Distributor"/>
    <s v="Meera Joshi"/>
    <s v="Future Tech"/>
    <x v="4"/>
    <s v="T-Shirt"/>
    <n v="7"/>
    <n v="9641.36"/>
    <n v="67489.52"/>
    <n v="6508.71"/>
    <n v="0"/>
    <n v="60980.81"/>
    <s v="Pending"/>
    <s v="Pending"/>
  </r>
  <r>
    <s v="INV-2026-02886"/>
    <x v="26"/>
    <s v="North"/>
    <s v="Jaipur"/>
    <s v="Retail Store"/>
    <s v="Rajesh Verma"/>
    <s v="Future Tech"/>
    <x v="4"/>
    <s v="Jacket"/>
    <n v="18"/>
    <n v="32404.42"/>
    <n v="583279.56000000006"/>
    <n v="0"/>
    <n v="0"/>
    <n v="583279.56000000006"/>
    <s v="Pending"/>
    <s v="Paid"/>
  </r>
  <r>
    <s v="INV-2026-02887"/>
    <x v="57"/>
    <s v="West"/>
    <s v="Pune"/>
    <s v="Direct Sales"/>
    <s v="Rahul Sharma"/>
    <s v="Digital Hub"/>
    <x v="1"/>
    <s v="Cabinet"/>
    <n v="6"/>
    <n v="34682.75"/>
    <n v="208096.5"/>
    <n v="0"/>
    <n v="0"/>
    <n v="208096.5"/>
    <s v="Cancelled"/>
    <s v="Pending"/>
  </r>
  <r>
    <s v="INV-2026-02888"/>
    <x v="23"/>
    <s v="Central"/>
    <s v="Indore"/>
    <s v="Direct Sales"/>
    <s v="Sneha Reddy"/>
    <s v="Smart Systems"/>
    <x v="1"/>
    <s v="Bookshelf"/>
    <n v="36"/>
    <n v="23804.73"/>
    <n v="856970.28"/>
    <n v="0"/>
    <n v="0"/>
    <n v="856970.28"/>
    <s v="Cancelled"/>
    <s v="Pending"/>
  </r>
  <r>
    <s v="INV-2026-02889"/>
    <x v="21"/>
    <s v="South"/>
    <s v="Kochi"/>
    <s v="Distributor"/>
    <s v="Rahul Sharma"/>
    <s v="Tech Solutions"/>
    <x v="2"/>
    <s v="Yoga Mat"/>
    <n v="42"/>
    <n v="16624.259999999998"/>
    <n v="698218.92"/>
    <n v="16959.13"/>
    <n v="103910.28"/>
    <n v="577349.51"/>
    <s v="Processing"/>
    <s v="Pending"/>
  </r>
  <r>
    <s v="INV-2026-02890"/>
    <x v="15"/>
    <s v="North"/>
    <s v="Chandigarh"/>
    <s v="Online"/>
    <s v="Rajesh Verma"/>
    <s v="Digital Hub"/>
    <x v="4"/>
    <s v="Shoes"/>
    <n v="35"/>
    <n v="44536.62"/>
    <n v="1558781.7"/>
    <n v="0"/>
    <n v="0"/>
    <n v="1558781.7"/>
    <s v="Pending"/>
    <s v="Paid"/>
  </r>
  <r>
    <s v="INV-2026-02891"/>
    <x v="2"/>
    <s v="South"/>
    <s v="Kochi"/>
    <s v="Retail Store"/>
    <s v="Suresh Gupta"/>
    <s v="Urban Store"/>
    <x v="5"/>
    <s v="TV"/>
    <n v="12"/>
    <n v="25278.18"/>
    <n v="303338.15999999997"/>
    <n v="0"/>
    <n v="0"/>
    <n v="303338.15999999997"/>
    <s v="Processing"/>
    <s v="Paid"/>
  </r>
  <r>
    <s v="INV-2026-02892"/>
    <x v="66"/>
    <s v="West"/>
    <s v="Ahmedabad"/>
    <s v="Distributor"/>
    <s v="Sneha Reddy"/>
    <s v="Digital Hub"/>
    <x v="0"/>
    <s v="Desk Organizer"/>
    <n v="3"/>
    <n v="20473.77"/>
    <n v="61421.31"/>
    <n v="2306.73"/>
    <n v="0"/>
    <n v="59114.58"/>
    <s v="Pending"/>
    <s v="Pending"/>
  </r>
  <r>
    <s v="INV-2026-02893"/>
    <x v="12"/>
    <s v="Central"/>
    <s v="Nagpur"/>
    <s v="Distributor"/>
    <s v="Rajesh Verma"/>
    <s v="Omega Stores"/>
    <x v="4"/>
    <s v="T-Shirt"/>
    <n v="27"/>
    <n v="37228.21"/>
    <n v="1005161.67"/>
    <n v="0"/>
    <n v="0"/>
    <n v="1005161.67"/>
    <s v="Pending"/>
    <s v="Paid"/>
  </r>
  <r>
    <s v="INV-2026-02894"/>
    <x v="63"/>
    <s v="Central"/>
    <s v="Nagpur"/>
    <s v="Distributor"/>
    <s v="Suresh Gupta"/>
    <s v="ABC Corp"/>
    <x v="2"/>
    <s v="Gym Equipment"/>
    <n v="28"/>
    <n v="39504.550000000003"/>
    <n v="1106127.3999999999"/>
    <n v="0"/>
    <n v="0"/>
    <n v="1106127.3999999999"/>
    <s v="Pending"/>
    <s v="Pending"/>
  </r>
  <r>
    <s v="INV-2026-02895"/>
    <x v="70"/>
    <s v="Central"/>
    <s v="Bhopal"/>
    <s v="Direct Sales"/>
    <s v="Priya Patel"/>
    <s v="Digital Hub"/>
    <x v="2"/>
    <s v="Cricket Bat"/>
    <n v="31"/>
    <n v="12041.93"/>
    <n v="373299.83"/>
    <n v="0"/>
    <n v="21020.15"/>
    <n v="352279.68"/>
    <s v="Processing"/>
    <s v="Pending"/>
  </r>
  <r>
    <s v="INV-2026-02896"/>
    <x v="88"/>
    <s v="North"/>
    <s v="Lucknow"/>
    <s v="Distributor"/>
    <s v="Vijay Singh"/>
    <s v="Skyline Corp"/>
    <x v="2"/>
    <s v="Tennis Racket"/>
    <n v="37"/>
    <n v="38954.379999999997"/>
    <n v="1441312.06"/>
    <n v="0"/>
    <n v="0"/>
    <n v="1441312.06"/>
    <s v="Cancelled"/>
    <s v="Pending"/>
  </r>
  <r>
    <s v="INV-2026-02897"/>
    <x v="37"/>
    <s v="East"/>
    <s v="Bhubaneswar"/>
    <s v="Direct Sales"/>
    <s v="Priya Patel"/>
    <s v="Omega Stores"/>
    <x v="3"/>
    <s v="Smart Watch"/>
    <n v="41"/>
    <n v="1583.46"/>
    <n v="64921.86"/>
    <n v="9334.89"/>
    <n v="0"/>
    <n v="55586.97"/>
    <s v="Cancelled"/>
    <s v="Pending"/>
  </r>
  <r>
    <s v="INV-2026-02898"/>
    <x v="69"/>
    <s v="North"/>
    <s v="Lucknow"/>
    <s v="Distributor"/>
    <s v="Rajesh Verma"/>
    <s v="Alpha Trading"/>
    <x v="2"/>
    <s v="Cricket Bat"/>
    <n v="45"/>
    <n v="47574.63"/>
    <n v="2140858.35"/>
    <n v="249172.29"/>
    <n v="0"/>
    <n v="1891686.06"/>
    <s v="Cancelled"/>
    <s v="Pending"/>
  </r>
  <r>
    <s v="INV-2026-02899"/>
    <x v="32"/>
    <s v="South"/>
    <s v="Kochi"/>
    <s v="Online"/>
    <s v="Meera Joshi"/>
    <s v="Elite Enterprises"/>
    <x v="2"/>
    <s v="Yoga Mat"/>
    <n v="38"/>
    <n v="30598.61"/>
    <n v="1162747.18"/>
    <n v="0"/>
    <n v="0"/>
    <n v="1162747.18"/>
    <s v="Processing"/>
    <s v="Pending"/>
  </r>
  <r>
    <s v="INV-2026-02900"/>
    <x v="2"/>
    <s v="Central"/>
    <s v="Indore"/>
    <s v="Online"/>
    <s v="Rahul Sharma"/>
    <s v="Global Traders"/>
    <x v="3"/>
    <s v="Tablet"/>
    <n v="37"/>
    <n v="29185.52"/>
    <n v="1079864.24"/>
    <n v="105415.32"/>
    <n v="0"/>
    <n v="974448.92"/>
    <s v="Pending"/>
    <s v="Pending"/>
  </r>
  <r>
    <s v="INV-2026-02901"/>
    <x v="0"/>
    <s v="North"/>
    <s v="Jaipur"/>
    <s v="Distributor"/>
    <s v="Sneha Reddy"/>
    <s v="Alpha Trading"/>
    <x v="4"/>
    <s v="Shoes"/>
    <n v="25"/>
    <n v="36756.06"/>
    <n v="918901.5"/>
    <n v="0"/>
    <n v="0"/>
    <n v="918901.5"/>
    <s v="Completed"/>
    <s v="Paid"/>
  </r>
  <r>
    <s v="INV-2026-02902"/>
    <x v="57"/>
    <s v="South"/>
    <s v="Hyderabad"/>
    <s v="Direct Sales"/>
    <s v="Priya Patel"/>
    <s v="XYZ Ltd"/>
    <x v="1"/>
    <s v="Sofa"/>
    <n v="10"/>
    <n v="34251.94"/>
    <n v="342519.4"/>
    <n v="0"/>
    <n v="0"/>
    <n v="342519.4"/>
    <s v="Cancelled"/>
    <s v="Pending"/>
  </r>
  <r>
    <s v="INV-2026-02903"/>
    <x v="5"/>
    <s v="South"/>
    <s v="Bangalore"/>
    <s v="Distributor"/>
    <s v="Anita Desai"/>
    <s v="Tech Solutions"/>
    <x v="4"/>
    <s v="Jacket"/>
    <n v="40"/>
    <n v="25036.53"/>
    <n v="1001461.2"/>
    <n v="70346.320000000007"/>
    <n v="0"/>
    <n v="931114.88"/>
    <s v="Pending"/>
    <s v="Pending"/>
  </r>
  <r>
    <s v="INV-2026-02904"/>
    <x v="51"/>
    <s v="Central"/>
    <s v="Raipur"/>
    <s v="Distributor"/>
    <s v="Amit Kumar"/>
    <s v="Alpha Trading"/>
    <x v="0"/>
    <s v="Pen Set"/>
    <n v="2"/>
    <n v="32876.01"/>
    <n v="65752.02"/>
    <n v="12247.2"/>
    <n v="0"/>
    <n v="53504.82"/>
    <s v="Processing"/>
    <s v="Pending"/>
  </r>
  <r>
    <s v="INV-2026-02905"/>
    <x v="11"/>
    <s v="South"/>
    <s v="Hyderabad"/>
    <s v="Online"/>
    <s v="Vijay Singh"/>
    <s v="Skyline Corp"/>
    <x v="3"/>
    <s v="Smartphone"/>
    <n v="47"/>
    <n v="3577.85"/>
    <n v="168158.95"/>
    <n v="0"/>
    <n v="0"/>
    <n v="168158.95"/>
    <s v="Cancelled"/>
    <s v="Pending"/>
  </r>
  <r>
    <s v="INV-2026-02906"/>
    <x v="16"/>
    <s v="West"/>
    <s v="Mumbai"/>
    <s v="Retail Store"/>
    <s v="Kavita Nair"/>
    <s v="Future Tech"/>
    <x v="1"/>
    <s v="Conference Table"/>
    <n v="23"/>
    <n v="21969.599999999999"/>
    <n v="505300.8"/>
    <n v="68357.5"/>
    <n v="0"/>
    <n v="436943.3"/>
    <s v="Processing"/>
    <s v="Paid"/>
  </r>
  <r>
    <s v="INV-2026-02907"/>
    <x v="31"/>
    <s v="West"/>
    <s v="Ahmedabad"/>
    <s v="Retail Store"/>
    <s v="Amit Kumar"/>
    <s v="Digital Hub"/>
    <x v="2"/>
    <s v="Tennis Racket"/>
    <n v="50"/>
    <n v="27641.63"/>
    <n v="1382081.5"/>
    <n v="211324.52"/>
    <n v="0"/>
    <n v="1170756.98"/>
    <s v="Completed"/>
    <s v="Paid"/>
  </r>
  <r>
    <s v="INV-2026-02908"/>
    <x v="84"/>
    <s v="West"/>
    <s v="Ahmedabad"/>
    <s v="Retail Store"/>
    <s v="Meera Joshi"/>
    <s v="Skyline Corp"/>
    <x v="3"/>
    <s v="Camera"/>
    <n v="39"/>
    <n v="18803.919999999998"/>
    <n v="733352.88"/>
    <n v="87586.02"/>
    <n v="66502.289999999994"/>
    <n v="579264.56999999995"/>
    <s v="Pending"/>
    <s v="Pending"/>
  </r>
  <r>
    <s v="INV-2026-02909"/>
    <x v="54"/>
    <s v="West"/>
    <s v="Surat"/>
    <s v="Distributor"/>
    <s v="Priya Patel"/>
    <s v="Elite Enterprises"/>
    <x v="2"/>
    <s v="Football"/>
    <n v="28"/>
    <n v="37189.78"/>
    <n v="1041313.84"/>
    <n v="0"/>
    <n v="0"/>
    <n v="1041313.84"/>
    <s v="Cancelled"/>
    <s v="Pending"/>
  </r>
  <r>
    <s v="INV-2026-02910"/>
    <x v="32"/>
    <s v="South"/>
    <s v="Hyderabad"/>
    <s v="Retail Store"/>
    <s v="Vijay Singh"/>
    <s v="Prime Retail"/>
    <x v="2"/>
    <s v="Football"/>
    <n v="2"/>
    <n v="15513.01"/>
    <n v="31026.02"/>
    <n v="0"/>
    <n v="0"/>
    <n v="31026.02"/>
    <s v="Processing"/>
    <s v="Pending"/>
  </r>
  <r>
    <s v="INV-2026-02911"/>
    <x v="30"/>
    <s v="South"/>
    <s v="Hyderabad"/>
    <s v="Distributor"/>
    <s v="Meera Joshi"/>
    <s v="Prime Retail"/>
    <x v="5"/>
    <s v="Washing Machine"/>
    <n v="39"/>
    <n v="14997.14"/>
    <n v="584888.46"/>
    <n v="110998.25"/>
    <n v="0"/>
    <n v="473890.21"/>
    <s v="Cancelled"/>
    <s v="Pending"/>
  </r>
  <r>
    <s v="INV-2026-02912"/>
    <x v="2"/>
    <s v="East"/>
    <s v="Bhubaneswar"/>
    <s v="Direct Sales"/>
    <s v="Rajesh Verma"/>
    <s v="Metro Mart"/>
    <x v="1"/>
    <s v="Cabinet"/>
    <n v="39"/>
    <n v="38738.269999999997"/>
    <n v="1510792.53"/>
    <n v="57897.97"/>
    <n v="0"/>
    <n v="1452894.56"/>
    <s v="Processing"/>
    <s v="Paid"/>
  </r>
  <r>
    <s v="INV-2026-02913"/>
    <x v="23"/>
    <s v="West"/>
    <s v="Pune"/>
    <s v="Direct Sales"/>
    <s v="Rahul Sharma"/>
    <s v="Nexus Ltd"/>
    <x v="0"/>
    <s v="Desk Organizer"/>
    <n v="3"/>
    <n v="9079.14"/>
    <n v="27237.42"/>
    <n v="2164.25"/>
    <n v="0"/>
    <n v="25073.17"/>
    <s v="Completed"/>
    <s v="Paid"/>
  </r>
  <r>
    <s v="INV-2026-02914"/>
    <x v="21"/>
    <s v="North"/>
    <s v="Chandigarh"/>
    <s v="Distributor"/>
    <s v="Priya Patel"/>
    <s v="XYZ Ltd"/>
    <x v="2"/>
    <s v="Cricket Bat"/>
    <n v="37"/>
    <n v="25098.86"/>
    <n v="928657.82"/>
    <n v="128452.52"/>
    <n v="0"/>
    <n v="800205.3"/>
    <s v="Processing"/>
    <s v="Pending"/>
  </r>
  <r>
    <s v="INV-2026-02915"/>
    <x v="87"/>
    <s v="North"/>
    <s v="Lucknow"/>
    <s v="Online"/>
    <s v="Rahul Sharma"/>
    <s v="Omega Stores"/>
    <x v="0"/>
    <s v="Whiteboard"/>
    <n v="36"/>
    <n v="26069.040000000001"/>
    <n v="938485.44"/>
    <n v="136231.14000000001"/>
    <n v="0"/>
    <n v="802254.3"/>
    <s v="Cancelled"/>
    <s v="Pending"/>
  </r>
  <r>
    <s v="INV-2026-02916"/>
    <x v="50"/>
    <s v="Central"/>
    <s v="Indore"/>
    <s v="Online"/>
    <s v="Anita Desai"/>
    <s v="Skyline Corp"/>
    <x v="4"/>
    <s v="Formal Shirt"/>
    <n v="34"/>
    <n v="18908.650000000001"/>
    <n v="642894.1"/>
    <n v="0"/>
    <n v="0"/>
    <n v="642894.1"/>
    <s v="Pending"/>
    <s v="Pending"/>
  </r>
  <r>
    <s v="INV-2026-02917"/>
    <x v="2"/>
    <s v="East"/>
    <s v="Kolkata"/>
    <s v="Direct Sales"/>
    <s v="Amit Kumar"/>
    <s v="Elite Enterprises"/>
    <x v="3"/>
    <s v="Laptop"/>
    <n v="15"/>
    <n v="1554.62"/>
    <n v="23319.3"/>
    <n v="3135.69"/>
    <n v="0"/>
    <n v="20183.61"/>
    <s v="Cancelled"/>
    <s v="Pending"/>
  </r>
  <r>
    <s v="INV-2026-02918"/>
    <x v="1"/>
    <s v="Central"/>
    <s v="Indore"/>
    <s v="Retail Store"/>
    <s v="Kavita Nair"/>
    <s v="Global Traders"/>
    <x v="0"/>
    <s v="Pen Set"/>
    <n v="12"/>
    <n v="16792.38"/>
    <n v="201508.56"/>
    <n v="12873.01"/>
    <n v="0"/>
    <n v="188635.55"/>
    <s v="Cancelled"/>
    <s v="Pending"/>
  </r>
  <r>
    <s v="INV-2026-02919"/>
    <x v="76"/>
    <s v="Central"/>
    <s v="Indore"/>
    <s v="Retail Store"/>
    <s v="Priya Patel"/>
    <s v="Smart Systems"/>
    <x v="2"/>
    <s v="Football"/>
    <n v="10"/>
    <n v="40669.78"/>
    <n v="406697.8"/>
    <n v="0"/>
    <n v="0"/>
    <n v="406697.8"/>
    <s v="Pending"/>
    <s v="Pending"/>
  </r>
  <r>
    <s v="INV-2026-02920"/>
    <x v="38"/>
    <s v="West"/>
    <s v="Mumbai"/>
    <s v="Retail Store"/>
    <s v="Suresh Gupta"/>
    <s v="Smart Systems"/>
    <x v="1"/>
    <s v="Conference Table"/>
    <n v="15"/>
    <n v="20173.91"/>
    <n v="302608.65000000002"/>
    <n v="2601.48"/>
    <n v="0"/>
    <n v="300007.17"/>
    <s v="Processing"/>
    <s v="Paid"/>
  </r>
  <r>
    <s v="INV-2026-02921"/>
    <x v="72"/>
    <s v="East"/>
    <s v="Kolkata"/>
    <s v="Retail Store"/>
    <s v="Vijay Singh"/>
    <s v="Digital Hub"/>
    <x v="5"/>
    <s v="TV"/>
    <n v="22"/>
    <n v="15732.71"/>
    <n v="346119.62"/>
    <n v="16713.189999999999"/>
    <n v="0"/>
    <n v="329406.43"/>
    <s v="Completed"/>
    <s v="Overdue"/>
  </r>
  <r>
    <s v="INV-2026-02922"/>
    <x v="23"/>
    <s v="South"/>
    <s v="Kochi"/>
    <s v="Online"/>
    <s v="Vijay Singh"/>
    <s v="Global Traders"/>
    <x v="5"/>
    <s v="Refrigerator"/>
    <n v="9"/>
    <n v="19298.39"/>
    <n v="173685.51"/>
    <n v="3633.16"/>
    <n v="0"/>
    <n v="170052.35"/>
    <s v="Completed"/>
    <s v="Paid"/>
  </r>
  <r>
    <s v="INV-2026-02923"/>
    <x v="33"/>
    <s v="East"/>
    <s v="Guwahati"/>
    <s v="Distributor"/>
    <s v="Suresh Gupta"/>
    <s v="Future Tech"/>
    <x v="4"/>
    <s v="T-Shirt"/>
    <n v="34"/>
    <n v="27774.77"/>
    <n v="944342.18"/>
    <n v="51567.02"/>
    <n v="0"/>
    <n v="892775.16"/>
    <s v="Completed"/>
    <s v="Paid"/>
  </r>
  <r>
    <s v="INV-2026-02924"/>
    <x v="49"/>
    <s v="North"/>
    <s v="Chandigarh"/>
    <s v="Direct Sales"/>
    <s v="Rahul Sharma"/>
    <s v="Tech Solutions"/>
    <x v="3"/>
    <s v="Headphones"/>
    <n v="14"/>
    <n v="22490.06"/>
    <n v="314860.84000000003"/>
    <n v="40701.01"/>
    <n v="0"/>
    <n v="274159.83"/>
    <s v="Processing"/>
    <s v="Pending"/>
  </r>
  <r>
    <s v="INV-2026-02925"/>
    <x v="34"/>
    <s v="West"/>
    <s v="Ahmedabad"/>
    <s v="Direct Sales"/>
    <s v="Rahul Sharma"/>
    <s v="Omega Stores"/>
    <x v="4"/>
    <s v="Shoes"/>
    <n v="43"/>
    <n v="26120.52"/>
    <n v="1123182.3600000001"/>
    <n v="192588.15"/>
    <n v="475.64"/>
    <n v="930118.57"/>
    <s v="Processing"/>
    <s v="Paid"/>
  </r>
  <r>
    <s v="INV-2026-02926"/>
    <x v="81"/>
    <s v="East"/>
    <s v="Bhubaneswar"/>
    <s v="Direct Sales"/>
    <s v="Sneha Reddy"/>
    <s v="Metro Mart"/>
    <x v="0"/>
    <s v="Desk Organizer"/>
    <n v="16"/>
    <n v="32475.439999999999"/>
    <n v="519607.03999999998"/>
    <n v="91615.91"/>
    <n v="0"/>
    <n v="427991.13"/>
    <s v="Completed"/>
    <s v="Paid"/>
  </r>
  <r>
    <s v="INV-2026-02927"/>
    <x v="42"/>
    <s v="North"/>
    <s v="Delhi"/>
    <s v="Direct Sales"/>
    <s v="Kavita Nair"/>
    <s v="Tech Solutions"/>
    <x v="1"/>
    <s v="Conference Table"/>
    <n v="9"/>
    <n v="17495.37"/>
    <n v="157458.32999999999"/>
    <n v="27799.599999999999"/>
    <n v="0"/>
    <n v="129658.73"/>
    <s v="Cancelled"/>
    <s v="Pending"/>
  </r>
  <r>
    <s v="INV-2026-02928"/>
    <x v="24"/>
    <s v="West"/>
    <s v="Ahmedabad"/>
    <s v="Retail Store"/>
    <s v="Kavita Nair"/>
    <s v="Elite Enterprises"/>
    <x v="3"/>
    <s v="Headphones"/>
    <n v="24"/>
    <n v="9990.82"/>
    <n v="239779.68"/>
    <n v="30670.76"/>
    <n v="0"/>
    <n v="209108.92"/>
    <s v="Completed"/>
    <s v="Paid"/>
  </r>
  <r>
    <s v="INV-2026-02929"/>
    <x v="17"/>
    <s v="North"/>
    <s v="Lucknow"/>
    <s v="Distributor"/>
    <s v="Anita Desai"/>
    <s v="Alpha Trading"/>
    <x v="1"/>
    <s v="Sofa"/>
    <n v="3"/>
    <n v="25943.16"/>
    <n v="77829.48"/>
    <n v="473.08"/>
    <n v="0"/>
    <n v="77356.399999999994"/>
    <s v="Processing"/>
    <s v="Pending"/>
  </r>
  <r>
    <s v="INV-2026-02930"/>
    <x v="76"/>
    <s v="West"/>
    <s v="Pune"/>
    <s v="Online"/>
    <s v="Rajesh Verma"/>
    <s v="Metro Mart"/>
    <x v="2"/>
    <s v="Football"/>
    <n v="47"/>
    <n v="18438.55"/>
    <n v="866611.85"/>
    <n v="25754.36"/>
    <n v="24551.95"/>
    <n v="816305.54"/>
    <s v="Pending"/>
    <s v="Paid"/>
  </r>
  <r>
    <s v="INV-2026-02931"/>
    <x v="40"/>
    <s v="Central"/>
    <s v="Bhopal"/>
    <s v="Distributor"/>
    <s v="Rahul Sharma"/>
    <s v="Prime Retail"/>
    <x v="0"/>
    <s v="Desk Organizer"/>
    <n v="28"/>
    <n v="6421.08"/>
    <n v="179790.24"/>
    <n v="10665.34"/>
    <n v="31713.49"/>
    <n v="137411.41"/>
    <s v="Completed"/>
    <s v="Paid"/>
  </r>
  <r>
    <s v="INV-2026-02932"/>
    <x v="85"/>
    <s v="West"/>
    <s v="Surat"/>
    <s v="Direct Sales"/>
    <s v="Kavita Nair"/>
    <s v="Metro Mart"/>
    <x v="0"/>
    <s v="File Folder"/>
    <n v="1"/>
    <n v="16911.849999999999"/>
    <n v="16911.849999999999"/>
    <n v="2371.06"/>
    <n v="0"/>
    <n v="14540.79"/>
    <s v="Processing"/>
    <s v="Pending"/>
  </r>
  <r>
    <s v="INV-2026-02933"/>
    <x v="90"/>
    <s v="West"/>
    <s v="Surat"/>
    <s v="Direct Sales"/>
    <s v="Rajesh Verma"/>
    <s v="ABC Corp"/>
    <x v="0"/>
    <s v="Whiteboard"/>
    <n v="46"/>
    <n v="6864.26"/>
    <n v="315755.96000000002"/>
    <n v="0"/>
    <n v="0"/>
    <n v="315755.96000000002"/>
    <s v="Processing"/>
    <s v="Pending"/>
  </r>
  <r>
    <s v="INV-2026-02934"/>
    <x v="21"/>
    <s v="Central"/>
    <s v="Nagpur"/>
    <s v="Online"/>
    <s v="Anita Desai"/>
    <s v="Digital Hub"/>
    <x v="1"/>
    <s v="Conference Table"/>
    <n v="40"/>
    <n v="42020.03"/>
    <n v="1680801.2"/>
    <n v="170795.82"/>
    <n v="0"/>
    <n v="1510005.38"/>
    <s v="Completed"/>
    <s v="Paid"/>
  </r>
  <r>
    <s v="INV-2026-02935"/>
    <x v="3"/>
    <s v="Central"/>
    <s v="Raipur"/>
    <s v="Retail Store"/>
    <s v="Sneha Reddy"/>
    <s v="Tech Solutions"/>
    <x v="1"/>
    <s v="Office Chair"/>
    <n v="1"/>
    <n v="39802.980000000003"/>
    <n v="39802.980000000003"/>
    <n v="0"/>
    <n v="0"/>
    <n v="39802.980000000003"/>
    <s v="Processing"/>
    <s v="Pending"/>
  </r>
  <r>
    <s v="INV-2026-02936"/>
    <x v="89"/>
    <s v="South"/>
    <s v="Kochi"/>
    <s v="Direct Sales"/>
    <s v="Amit Kumar"/>
    <s v="Digital Hub"/>
    <x v="5"/>
    <s v="Refrigerator"/>
    <n v="46"/>
    <n v="13057.15"/>
    <n v="600628.9"/>
    <n v="0"/>
    <n v="0"/>
    <n v="600628.9"/>
    <s v="Completed"/>
    <s v="Paid"/>
  </r>
  <r>
    <s v="INV-2026-02937"/>
    <x v="89"/>
    <s v="North"/>
    <s v="Chandigarh"/>
    <s v="Retail Store"/>
    <s v="Meera Joshi"/>
    <s v="Global Traders"/>
    <x v="5"/>
    <s v="Refrigerator"/>
    <n v="38"/>
    <n v="49653.94"/>
    <n v="1886849.72"/>
    <n v="0"/>
    <n v="65834.850000000006"/>
    <n v="1821014.87"/>
    <s v="Completed"/>
    <s v="Paid"/>
  </r>
  <r>
    <s v="INV-2026-02938"/>
    <x v="59"/>
    <s v="Central"/>
    <s v="Bhopal"/>
    <s v="Retail Store"/>
    <s v="Rahul Sharma"/>
    <s v="Metro Mart"/>
    <x v="2"/>
    <s v="Gym Equipment"/>
    <n v="31"/>
    <n v="21065.79"/>
    <n v="653039.49"/>
    <n v="114770.15"/>
    <n v="106532.98"/>
    <n v="431736.36"/>
    <s v="Cancelled"/>
    <s v="Pending"/>
  </r>
  <r>
    <s v="INV-2026-02939"/>
    <x v="51"/>
    <s v="West"/>
    <s v="Surat"/>
    <s v="Online"/>
    <s v="Vijay Singh"/>
    <s v="Tech Solutions"/>
    <x v="1"/>
    <s v="Conference Table"/>
    <n v="8"/>
    <n v="32635.34"/>
    <n v="261082.72"/>
    <n v="0"/>
    <n v="0"/>
    <n v="261082.72"/>
    <s v="Processing"/>
    <s v="Pending"/>
  </r>
  <r>
    <s v="INV-2026-02940"/>
    <x v="67"/>
    <s v="West"/>
    <s v="Ahmedabad"/>
    <s v="Online"/>
    <s v="Anita Desai"/>
    <s v="Urban Store"/>
    <x v="5"/>
    <s v="Vacuum Cleaner"/>
    <n v="41"/>
    <n v="17633.11"/>
    <n v="722957.51"/>
    <n v="92262.66"/>
    <n v="0"/>
    <n v="630694.85"/>
    <s v="Processing"/>
    <s v="Paid"/>
  </r>
  <r>
    <s v="INV-2026-02941"/>
    <x v="32"/>
    <s v="East"/>
    <s v="Patna"/>
    <s v="Online"/>
    <s v="Vijay Singh"/>
    <s v="Smart Systems"/>
    <x v="0"/>
    <s v="Whiteboard"/>
    <n v="23"/>
    <n v="3253.41"/>
    <n v="74828.429999999993"/>
    <n v="2678.36"/>
    <n v="0"/>
    <n v="72150.070000000007"/>
    <s v="Cancelled"/>
    <s v="Pending"/>
  </r>
  <r>
    <s v="INV-2026-02942"/>
    <x v="7"/>
    <s v="West"/>
    <s v="Mumbai"/>
    <s v="Direct Sales"/>
    <s v="Vijay Singh"/>
    <s v="Alpha Trading"/>
    <x v="3"/>
    <s v="Laptop"/>
    <n v="13"/>
    <n v="10807.76"/>
    <n v="140500.88"/>
    <n v="8166.24"/>
    <n v="0"/>
    <n v="132334.64000000001"/>
    <s v="Pending"/>
    <s v="Pending"/>
  </r>
  <r>
    <s v="INV-2026-02943"/>
    <x v="87"/>
    <s v="Central"/>
    <s v="Indore"/>
    <s v="Direct Sales"/>
    <s v="Anita Desai"/>
    <s v="Nexus Ltd"/>
    <x v="1"/>
    <s v="Conference Table"/>
    <n v="6"/>
    <n v="47198.34"/>
    <n v="283190.03999999998"/>
    <n v="20118.330000000002"/>
    <n v="0"/>
    <n v="263071.71000000002"/>
    <s v="Completed"/>
    <s v="Paid"/>
  </r>
  <r>
    <s v="INV-2026-02944"/>
    <x v="40"/>
    <s v="West"/>
    <s v="Ahmedabad"/>
    <s v="Direct Sales"/>
    <s v="Priya Patel"/>
    <s v="XYZ Ltd"/>
    <x v="1"/>
    <s v="Cabinet"/>
    <n v="30"/>
    <n v="17228.29"/>
    <n v="516848.7"/>
    <n v="57720.12"/>
    <n v="11933.06"/>
    <n v="447195.52"/>
    <s v="Cancelled"/>
    <s v="Pending"/>
  </r>
  <r>
    <s v="INV-2026-02945"/>
    <x v="49"/>
    <s v="East"/>
    <s v="Kolkata"/>
    <s v="Direct Sales"/>
    <s v="Priya Patel"/>
    <s v="Metro Mart"/>
    <x v="2"/>
    <s v="Cricket Bat"/>
    <n v="43"/>
    <n v="37311.22"/>
    <n v="1604382.46"/>
    <n v="292511.7"/>
    <n v="0"/>
    <n v="1311870.76"/>
    <s v="Processing"/>
    <s v="Paid"/>
  </r>
  <r>
    <s v="INV-2026-02946"/>
    <x v="38"/>
    <s v="North"/>
    <s v="Jaipur"/>
    <s v="Online"/>
    <s v="Kavita Nair"/>
    <s v="Metro Mart"/>
    <x v="5"/>
    <s v="Refrigerator"/>
    <n v="43"/>
    <n v="22805.68"/>
    <n v="980644.24"/>
    <n v="0"/>
    <n v="0"/>
    <n v="980644.24"/>
    <s v="Processing"/>
    <s v="Paid"/>
  </r>
  <r>
    <s v="INV-2026-02947"/>
    <x v="47"/>
    <s v="Central"/>
    <s v="Nagpur"/>
    <s v="Distributor"/>
    <s v="Meera Joshi"/>
    <s v="Elite Enterprises"/>
    <x v="4"/>
    <s v="Formal Shirt"/>
    <n v="24"/>
    <n v="43104.88"/>
    <n v="1034517.12"/>
    <n v="179403.04"/>
    <n v="0"/>
    <n v="855114.08"/>
    <s v="Processing"/>
    <s v="Pending"/>
  </r>
  <r>
    <s v="INV-2026-02948"/>
    <x v="69"/>
    <s v="North"/>
    <s v="Lucknow"/>
    <s v="Retail Store"/>
    <s v="Amit Kumar"/>
    <s v="Elite Enterprises"/>
    <x v="4"/>
    <s v="Formal Shirt"/>
    <n v="37"/>
    <n v="34074.44"/>
    <n v="1260754.28"/>
    <n v="0"/>
    <n v="0"/>
    <n v="1260754.28"/>
    <s v="Processing"/>
    <s v="Pending"/>
  </r>
  <r>
    <s v="INV-2026-02949"/>
    <x v="44"/>
    <s v="West"/>
    <s v="Mumbai"/>
    <s v="Distributor"/>
    <s v="Suresh Gupta"/>
    <s v="Smart Systems"/>
    <x v="0"/>
    <s v="Whiteboard"/>
    <n v="22"/>
    <n v="19451.09"/>
    <n v="427923.98"/>
    <n v="0"/>
    <n v="0"/>
    <n v="427923.98"/>
    <s v="Cancelled"/>
    <s v="Pending"/>
  </r>
  <r>
    <s v="INV-2026-02950"/>
    <x v="6"/>
    <s v="Central"/>
    <s v="Raipur"/>
    <s v="Distributor"/>
    <s v="Kavita Nair"/>
    <s v="Digital Hub"/>
    <x v="3"/>
    <s v="Headphones"/>
    <n v="2"/>
    <n v="45724.43"/>
    <n v="91448.86"/>
    <n v="8729.4"/>
    <n v="0"/>
    <n v="82719.460000000006"/>
    <s v="Cancelled"/>
    <s v="Pending"/>
  </r>
  <r>
    <s v="INV-2026-02951"/>
    <x v="52"/>
    <s v="West"/>
    <s v="Ahmedabad"/>
    <s v="Distributor"/>
    <s v="Rajesh Verma"/>
    <s v="Urban Store"/>
    <x v="3"/>
    <s v="Smartphone"/>
    <n v="49"/>
    <n v="16160.14"/>
    <n v="791846.86"/>
    <n v="0"/>
    <n v="0"/>
    <n v="791846.86"/>
    <s v="Completed"/>
    <s v="Paid"/>
  </r>
  <r>
    <s v="INV-2026-02952"/>
    <x v="13"/>
    <s v="Central"/>
    <s v="Bhopal"/>
    <s v="Distributor"/>
    <s v="Rajesh Verma"/>
    <s v="XYZ Ltd"/>
    <x v="4"/>
    <s v="Dress"/>
    <n v="10"/>
    <n v="19998.47"/>
    <n v="199984.7"/>
    <n v="39336.5"/>
    <n v="0"/>
    <n v="160648.20000000001"/>
    <s v="Cancelled"/>
    <s v="Pending"/>
  </r>
  <r>
    <s v="INV-2026-02953"/>
    <x v="79"/>
    <s v="Central"/>
    <s v="Bhopal"/>
    <s v="Direct Sales"/>
    <s v="Rajesh Verma"/>
    <s v="XYZ Ltd"/>
    <x v="0"/>
    <s v="Desk Organizer"/>
    <n v="3"/>
    <n v="39182.19"/>
    <n v="117546.57"/>
    <n v="0"/>
    <n v="0"/>
    <n v="117546.57"/>
    <s v="Cancelled"/>
    <s v="Pending"/>
  </r>
  <r>
    <s v="INV-2026-02954"/>
    <x v="23"/>
    <s v="North"/>
    <s v="Delhi"/>
    <s v="Distributor"/>
    <s v="Amit Kumar"/>
    <s v="Nexus Ltd"/>
    <x v="4"/>
    <s v="T-Shirt"/>
    <n v="50"/>
    <n v="44242.53"/>
    <n v="2212126.5"/>
    <n v="401709.76"/>
    <n v="0"/>
    <n v="1810416.74"/>
    <s v="Completed"/>
    <s v="Paid"/>
  </r>
  <r>
    <s v="INV-2026-02955"/>
    <x v="38"/>
    <s v="North"/>
    <s v="Delhi"/>
    <s v="Retail Store"/>
    <s v="Rahul Sharma"/>
    <s v="Metro Mart"/>
    <x v="1"/>
    <s v="Office Chair"/>
    <n v="13"/>
    <n v="20422.349999999999"/>
    <n v="265490.55"/>
    <n v="0"/>
    <n v="0"/>
    <n v="265490.55"/>
    <s v="Processing"/>
    <s v="Pending"/>
  </r>
  <r>
    <s v="INV-2026-02956"/>
    <x v="1"/>
    <s v="West"/>
    <s v="Pune"/>
    <s v="Retail Store"/>
    <s v="Amit Kumar"/>
    <s v="Metro Mart"/>
    <x v="0"/>
    <s v="Desk Organizer"/>
    <n v="43"/>
    <n v="3576.84"/>
    <n v="153804.12"/>
    <n v="0"/>
    <n v="44911.199999999997"/>
    <n v="108892.92"/>
    <s v="Pending"/>
    <s v="Pending"/>
  </r>
  <r>
    <s v="INV-2026-02957"/>
    <x v="89"/>
    <s v="Central"/>
    <s v="Raipur"/>
    <s v="Retail Store"/>
    <s v="Kavita Nair"/>
    <s v="Alpha Trading"/>
    <x v="2"/>
    <s v="Tennis Racket"/>
    <n v="48"/>
    <n v="11941.75"/>
    <n v="573204"/>
    <n v="0"/>
    <n v="0"/>
    <n v="573204"/>
    <s v="Pending"/>
    <s v="Pending"/>
  </r>
  <r>
    <s v="INV-2026-02958"/>
    <x v="23"/>
    <s v="North"/>
    <s v="Jaipur"/>
    <s v="Distributor"/>
    <s v="Rahul Sharma"/>
    <s v="Future Tech"/>
    <x v="1"/>
    <s v="Desk"/>
    <n v="2"/>
    <n v="42360.1"/>
    <n v="84720.2"/>
    <n v="0"/>
    <n v="0"/>
    <n v="84720.2"/>
    <s v="Processing"/>
    <s v="Paid"/>
  </r>
  <r>
    <s v="INV-2026-02959"/>
    <x v="0"/>
    <s v="East"/>
    <s v="Patna"/>
    <s v="Retail Store"/>
    <s v="Suresh Gupta"/>
    <s v="Urban Store"/>
    <x v="3"/>
    <s v="Smart Watch"/>
    <n v="13"/>
    <n v="42586.41"/>
    <n v="553623.32999999996"/>
    <n v="8475.19"/>
    <n v="0"/>
    <n v="545148.14"/>
    <s v="Cancelled"/>
    <s v="Pending"/>
  </r>
  <r>
    <s v="INV-2026-02960"/>
    <x v="42"/>
    <s v="East"/>
    <s v="Guwahati"/>
    <s v="Direct Sales"/>
    <s v="Meera Joshi"/>
    <s v="Metro Mart"/>
    <x v="3"/>
    <s v="Smartphone"/>
    <n v="23"/>
    <n v="37475.300000000003"/>
    <n v="861931.9"/>
    <n v="3097.13"/>
    <n v="0"/>
    <n v="858834.77"/>
    <s v="Cancelled"/>
    <s v="Pending"/>
  </r>
  <r>
    <s v="INV-2026-02961"/>
    <x v="41"/>
    <s v="West"/>
    <s v="Ahmedabad"/>
    <s v="Distributor"/>
    <s v="Meera Joshi"/>
    <s v="Urban Store"/>
    <x v="0"/>
    <s v="Notebook"/>
    <n v="33"/>
    <n v="39024.1"/>
    <n v="1287795.3"/>
    <n v="155589.28"/>
    <n v="0"/>
    <n v="1132206.02"/>
    <s v="Processing"/>
    <s v="Paid"/>
  </r>
  <r>
    <s v="INV-2026-02962"/>
    <x v="31"/>
    <s v="West"/>
    <s v="Surat"/>
    <s v="Online"/>
    <s v="Sneha Reddy"/>
    <s v="Smart Systems"/>
    <x v="2"/>
    <s v="Cricket Bat"/>
    <n v="2"/>
    <n v="22643.31"/>
    <n v="45286.62"/>
    <n v="0"/>
    <n v="0"/>
    <n v="45286.62"/>
    <s v="Cancelled"/>
    <s v="Pending"/>
  </r>
  <r>
    <s v="INV-2026-02963"/>
    <x v="20"/>
    <s v="South"/>
    <s v="Hyderabad"/>
    <s v="Direct Sales"/>
    <s v="Rahul Sharma"/>
    <s v="Skyline Corp"/>
    <x v="4"/>
    <s v="Jacket"/>
    <n v="38"/>
    <n v="48261.36"/>
    <n v="1833931.68"/>
    <n v="0"/>
    <n v="0"/>
    <n v="1833931.68"/>
    <s v="Pending"/>
    <s v="Pending"/>
  </r>
  <r>
    <s v="INV-2026-02964"/>
    <x v="88"/>
    <s v="West"/>
    <s v="Mumbai"/>
    <s v="Retail Store"/>
    <s v="Suresh Gupta"/>
    <s v="Smart Systems"/>
    <x v="1"/>
    <s v="Desk"/>
    <n v="27"/>
    <n v="7105.17"/>
    <n v="191839.59"/>
    <n v="16317.12"/>
    <n v="43318.49"/>
    <n v="132203.98000000001"/>
    <s v="Pending"/>
    <s v="Paid"/>
  </r>
  <r>
    <s v="INV-2026-02965"/>
    <x v="50"/>
    <s v="East"/>
    <s v="Patna"/>
    <s v="Distributor"/>
    <s v="Sneha Reddy"/>
    <s v="Omega Stores"/>
    <x v="3"/>
    <s v="Laptop"/>
    <n v="29"/>
    <n v="44435.360000000001"/>
    <n v="1288625.44"/>
    <n v="12355.66"/>
    <n v="0"/>
    <n v="1276269.78"/>
    <s v="Processing"/>
    <s v="Pending"/>
  </r>
  <r>
    <s v="INV-2026-02966"/>
    <x v="17"/>
    <s v="South"/>
    <s v="Hyderabad"/>
    <s v="Retail Store"/>
    <s v="Suresh Gupta"/>
    <s v="Future Tech"/>
    <x v="1"/>
    <s v="Office Chair"/>
    <n v="50"/>
    <n v="22908.65"/>
    <n v="1145432.5"/>
    <n v="167778.16"/>
    <n v="0"/>
    <n v="977654.34"/>
    <s v="Processing"/>
    <s v="Pending"/>
  </r>
  <r>
    <s v="INV-2026-02967"/>
    <x v="12"/>
    <s v="West"/>
    <s v="Ahmedabad"/>
    <s v="Direct Sales"/>
    <s v="Meera Joshi"/>
    <s v="Urban Store"/>
    <x v="4"/>
    <s v="Jacket"/>
    <n v="38"/>
    <n v="12229.41"/>
    <n v="464717.58"/>
    <n v="78100.710000000006"/>
    <n v="0"/>
    <n v="386616.87"/>
    <s v="Pending"/>
    <s v="Pending"/>
  </r>
  <r>
    <s v="INV-2026-02968"/>
    <x v="2"/>
    <s v="West"/>
    <s v="Surat"/>
    <s v="Online"/>
    <s v="Amit Kumar"/>
    <s v="ABC Corp"/>
    <x v="3"/>
    <s v="Smart Watch"/>
    <n v="11"/>
    <n v="4526.21"/>
    <n v="49788.31"/>
    <n v="0"/>
    <n v="0"/>
    <n v="49788.31"/>
    <s v="Completed"/>
    <s v="Overdue"/>
  </r>
  <r>
    <s v="INV-2026-02969"/>
    <x v="18"/>
    <s v="East"/>
    <s v="Bhubaneswar"/>
    <s v="Retail Store"/>
    <s v="Suresh Gupta"/>
    <s v="Tech Solutions"/>
    <x v="1"/>
    <s v="Sofa"/>
    <n v="12"/>
    <n v="40877.08"/>
    <n v="490524.96"/>
    <n v="70249.509999999995"/>
    <n v="83089.13"/>
    <n v="337186.32"/>
    <s v="Completed"/>
    <s v="Paid"/>
  </r>
  <r>
    <s v="INV-2026-02970"/>
    <x v="23"/>
    <s v="Central"/>
    <s v="Raipur"/>
    <s v="Distributor"/>
    <s v="Suresh Gupta"/>
    <s v="Elite Enterprises"/>
    <x v="1"/>
    <s v="Office Chair"/>
    <n v="32"/>
    <n v="41926.519999999997"/>
    <n v="1341648.6399999999"/>
    <n v="118370.18"/>
    <n v="0"/>
    <n v="1223278.46"/>
    <s v="Cancelled"/>
    <s v="Pending"/>
  </r>
  <r>
    <s v="INV-2026-02971"/>
    <x v="22"/>
    <s v="South"/>
    <s v="Bangalore"/>
    <s v="Direct Sales"/>
    <s v="Vijay Singh"/>
    <s v="Urban Store"/>
    <x v="4"/>
    <s v="Formal Shirt"/>
    <n v="21"/>
    <n v="9075.73"/>
    <n v="190590.33"/>
    <n v="34143.160000000003"/>
    <n v="0"/>
    <n v="156447.17000000001"/>
    <s v="Pending"/>
    <s v="Pending"/>
  </r>
  <r>
    <s v="INV-2026-02972"/>
    <x v="41"/>
    <s v="Central"/>
    <s v="Indore"/>
    <s v="Distributor"/>
    <s v="Priya Patel"/>
    <s v="Urban Store"/>
    <x v="4"/>
    <s v="Jeans"/>
    <n v="11"/>
    <n v="5376.4"/>
    <n v="59140.4"/>
    <n v="9425.24"/>
    <n v="0"/>
    <n v="49715.16"/>
    <s v="Completed"/>
    <s v="Pending"/>
  </r>
  <r>
    <s v="INV-2026-02973"/>
    <x v="0"/>
    <s v="Central"/>
    <s v="Indore"/>
    <s v="Direct Sales"/>
    <s v="Sneha Reddy"/>
    <s v="Smart Systems"/>
    <x v="0"/>
    <s v="Notebook"/>
    <n v="23"/>
    <n v="10472.280000000001"/>
    <n v="240862.44"/>
    <n v="13360.06"/>
    <n v="57180.69"/>
    <n v="170321.69"/>
    <s v="Completed"/>
    <s v="Paid"/>
  </r>
  <r>
    <s v="INV-2026-02974"/>
    <x v="12"/>
    <s v="South"/>
    <s v="Bangalore"/>
    <s v="Distributor"/>
    <s v="Anita Desai"/>
    <s v="Prime Retail"/>
    <x v="0"/>
    <s v="Desk Organizer"/>
    <n v="39"/>
    <n v="19504.82"/>
    <n v="760687.98"/>
    <n v="125619.22"/>
    <n v="0"/>
    <n v="635068.76"/>
    <s v="Completed"/>
    <s v="Paid"/>
  </r>
  <r>
    <s v="INV-2026-02975"/>
    <x v="28"/>
    <s v="East"/>
    <s v="Bhubaneswar"/>
    <s v="Online"/>
    <s v="Meera Joshi"/>
    <s v="Digital Hub"/>
    <x v="4"/>
    <s v="Jacket"/>
    <n v="37"/>
    <n v="2114.5"/>
    <n v="78236.5"/>
    <n v="0"/>
    <n v="0"/>
    <n v="78236.5"/>
    <s v="Pending"/>
    <s v="Paid"/>
  </r>
  <r>
    <s v="INV-2026-02976"/>
    <x v="9"/>
    <s v="North"/>
    <s v="Chandigarh"/>
    <s v="Direct Sales"/>
    <s v="Kavita Nair"/>
    <s v="Tech Solutions"/>
    <x v="4"/>
    <s v="Formal Shirt"/>
    <n v="19"/>
    <n v="13606.13"/>
    <n v="258516.47"/>
    <n v="25518.99"/>
    <n v="0"/>
    <n v="232997.48"/>
    <s v="Pending"/>
    <s v="Paid"/>
  </r>
  <r>
    <s v="INV-2026-02977"/>
    <x v="77"/>
    <s v="East"/>
    <s v="Guwahati"/>
    <s v="Online"/>
    <s v="Amit Kumar"/>
    <s v="Prime Retail"/>
    <x v="3"/>
    <s v="Headphones"/>
    <n v="13"/>
    <n v="32430.76"/>
    <n v="421599.88"/>
    <n v="24024.720000000001"/>
    <n v="0"/>
    <n v="397575.16"/>
    <s v="Processing"/>
    <s v="Paid"/>
  </r>
  <r>
    <s v="INV-2026-02978"/>
    <x v="73"/>
    <s v="Central"/>
    <s v="Indore"/>
    <s v="Online"/>
    <s v="Meera Joshi"/>
    <s v="Alpha Trading"/>
    <x v="1"/>
    <s v="Desk"/>
    <n v="18"/>
    <n v="12687.25"/>
    <n v="228370.5"/>
    <n v="23165.46"/>
    <n v="0"/>
    <n v="205205.04"/>
    <s v="Processing"/>
    <s v="Pending"/>
  </r>
  <r>
    <s v="INV-2026-02979"/>
    <x v="2"/>
    <s v="Central"/>
    <s v="Nagpur"/>
    <s v="Distributor"/>
    <s v="Vijay Singh"/>
    <s v="Urban Store"/>
    <x v="2"/>
    <s v="Gym Equipment"/>
    <n v="35"/>
    <n v="27978.33"/>
    <n v="979241.55"/>
    <n v="0"/>
    <n v="0"/>
    <n v="979241.55"/>
    <s v="Cancelled"/>
    <s v="Pending"/>
  </r>
  <r>
    <s v="INV-2026-02980"/>
    <x v="12"/>
    <s v="North"/>
    <s v="Lucknow"/>
    <s v="Retail Store"/>
    <s v="Kavita Nair"/>
    <s v="Global Traders"/>
    <x v="3"/>
    <s v="Laptop"/>
    <n v="38"/>
    <n v="15049.98"/>
    <n v="571899.24"/>
    <n v="56243.97"/>
    <n v="0"/>
    <n v="515655.27"/>
    <s v="Completed"/>
    <s v="Paid"/>
  </r>
  <r>
    <s v="INV-2026-02981"/>
    <x v="3"/>
    <s v="Central"/>
    <s v="Bhopal"/>
    <s v="Online"/>
    <s v="Meera Joshi"/>
    <s v="Omega Stores"/>
    <x v="0"/>
    <s v="Desk Organizer"/>
    <n v="21"/>
    <n v="23679.040000000001"/>
    <n v="497259.84"/>
    <n v="91326.52"/>
    <n v="0"/>
    <n v="405933.32"/>
    <s v="Completed"/>
    <s v="Paid"/>
  </r>
  <r>
    <s v="INV-2026-02982"/>
    <x v="61"/>
    <s v="West"/>
    <s v="Pune"/>
    <s v="Distributor"/>
    <s v="Suresh Gupta"/>
    <s v="ABC Corp"/>
    <x v="1"/>
    <s v="Office Chair"/>
    <n v="20"/>
    <n v="47524.04"/>
    <n v="950480.8"/>
    <n v="153269.18"/>
    <n v="0"/>
    <n v="797211.62"/>
    <s v="Completed"/>
    <s v="Paid"/>
  </r>
  <r>
    <s v="INV-2026-02983"/>
    <x v="70"/>
    <s v="East"/>
    <s v="Bhubaneswar"/>
    <s v="Retail Store"/>
    <s v="Kavita Nair"/>
    <s v="Metro Mart"/>
    <x v="0"/>
    <s v="Notebook"/>
    <n v="28"/>
    <n v="29502.54"/>
    <n v="826071.12"/>
    <n v="0"/>
    <n v="0"/>
    <n v="826071.12"/>
    <s v="Cancelled"/>
    <s v="Pending"/>
  </r>
  <r>
    <s v="INV-2026-02984"/>
    <x v="57"/>
    <s v="West"/>
    <s v="Ahmedabad"/>
    <s v="Online"/>
    <s v="Suresh Gupta"/>
    <s v="Digital Hub"/>
    <x v="3"/>
    <s v="Camera"/>
    <n v="4"/>
    <n v="41867.279999999999"/>
    <n v="167469.12"/>
    <n v="29616.38"/>
    <n v="0"/>
    <n v="137852.74"/>
    <s v="Processing"/>
    <s v="Pending"/>
  </r>
  <r>
    <s v="INV-2026-02985"/>
    <x v="68"/>
    <s v="East"/>
    <s v="Patna"/>
    <s v="Distributor"/>
    <s v="Sneha Reddy"/>
    <s v="Tech Solutions"/>
    <x v="0"/>
    <s v="File Folder"/>
    <n v="14"/>
    <n v="49667.01"/>
    <n v="695338.14"/>
    <n v="0"/>
    <n v="22305.81"/>
    <n v="673032.33"/>
    <s v="Processing"/>
    <s v="Pending"/>
  </r>
  <r>
    <s v="INV-2026-02986"/>
    <x v="46"/>
    <s v="West"/>
    <s v="Ahmedabad"/>
    <s v="Retail Store"/>
    <s v="Priya Patel"/>
    <s v="Alpha Trading"/>
    <x v="2"/>
    <s v="Gym Equipment"/>
    <n v="2"/>
    <n v="34699.230000000003"/>
    <n v="69398.460000000006"/>
    <n v="0"/>
    <n v="0"/>
    <n v="69398.460000000006"/>
    <s v="Processing"/>
    <s v="Pending"/>
  </r>
  <r>
    <s v="INV-2026-02987"/>
    <x v="19"/>
    <s v="Central"/>
    <s v="Bhopal"/>
    <s v="Distributor"/>
    <s v="Vijay Singh"/>
    <s v="Metro Mart"/>
    <x v="5"/>
    <s v="Vacuum Cleaner"/>
    <n v="44"/>
    <n v="8594.1"/>
    <n v="378140.4"/>
    <n v="61670.52"/>
    <n v="35831.82"/>
    <n v="280638.06"/>
    <s v="Processing"/>
    <s v="Pending"/>
  </r>
  <r>
    <s v="INV-2026-02988"/>
    <x v="81"/>
    <s v="Central"/>
    <s v="Indore"/>
    <s v="Distributor"/>
    <s v="Meera Joshi"/>
    <s v="Omega Stores"/>
    <x v="4"/>
    <s v="Shoes"/>
    <n v="39"/>
    <n v="45639.68"/>
    <n v="1779947.52"/>
    <n v="266554.81"/>
    <n v="412758.14"/>
    <n v="1100634.57"/>
    <s v="Pending"/>
    <s v="Pending"/>
  </r>
  <r>
    <s v="INV-2026-02989"/>
    <x v="37"/>
    <s v="South"/>
    <s v="Hyderabad"/>
    <s v="Retail Store"/>
    <s v="Rajesh Verma"/>
    <s v="Nexus Ltd"/>
    <x v="5"/>
    <s v="Washing Machine"/>
    <n v="36"/>
    <n v="39938.239999999998"/>
    <n v="1437776.64"/>
    <n v="0"/>
    <n v="321318.02"/>
    <n v="1116458.6200000001"/>
    <s v="Cancelled"/>
    <s v="Pending"/>
  </r>
  <r>
    <s v="INV-2026-02990"/>
    <x v="90"/>
    <s v="Central"/>
    <s v="Indore"/>
    <s v="Online"/>
    <s v="Rahul Sharma"/>
    <s v="ABC Corp"/>
    <x v="1"/>
    <s v="Conference Table"/>
    <n v="7"/>
    <n v="5541.62"/>
    <n v="38791.339999999997"/>
    <n v="0"/>
    <n v="0"/>
    <n v="38791.339999999997"/>
    <s v="Pending"/>
    <s v="Pending"/>
  </r>
  <r>
    <s v="INV-2026-02991"/>
    <x v="75"/>
    <s v="West"/>
    <s v="Mumbai"/>
    <s v="Online"/>
    <s v="Vijay Singh"/>
    <s v="Tech Solutions"/>
    <x v="3"/>
    <s v="Laptop"/>
    <n v="8"/>
    <n v="26945.84"/>
    <n v="215566.72"/>
    <n v="0"/>
    <n v="0"/>
    <n v="215566.72"/>
    <s v="Pending"/>
    <s v="Pending"/>
  </r>
  <r>
    <s v="INV-2026-02992"/>
    <x v="26"/>
    <s v="Central"/>
    <s v="Bhopal"/>
    <s v="Retail Store"/>
    <s v="Amit Kumar"/>
    <s v="XYZ Ltd"/>
    <x v="5"/>
    <s v="Microwave"/>
    <n v="16"/>
    <n v="1031.8399999999999"/>
    <n v="16509.439999999999"/>
    <n v="0"/>
    <n v="0"/>
    <n v="16509.439999999999"/>
    <s v="Completed"/>
    <s v="Pending"/>
  </r>
  <r>
    <s v="INV-2026-02993"/>
    <x v="52"/>
    <s v="Central"/>
    <s v="Nagpur"/>
    <s v="Online"/>
    <s v="Meera Joshi"/>
    <s v="Tech Solutions"/>
    <x v="3"/>
    <s v="Headphones"/>
    <n v="1"/>
    <n v="10302.469999999999"/>
    <n v="10302.469999999999"/>
    <n v="113.35"/>
    <n v="0"/>
    <n v="10189.120000000001"/>
    <s v="Processing"/>
    <s v="Pending"/>
  </r>
  <r>
    <s v="INV-2026-02994"/>
    <x v="24"/>
    <s v="East"/>
    <s v="Patna"/>
    <s v="Direct Sales"/>
    <s v="Meera Joshi"/>
    <s v="XYZ Ltd"/>
    <x v="3"/>
    <s v="Tablet"/>
    <n v="38"/>
    <n v="37750.160000000003"/>
    <n v="1434506.08"/>
    <n v="0"/>
    <n v="218454.6"/>
    <n v="1216051.48"/>
    <s v="Cancelled"/>
    <s v="Pending"/>
  </r>
  <r>
    <s v="INV-2026-02995"/>
    <x v="22"/>
    <s v="Central"/>
    <s v="Bhopal"/>
    <s v="Distributor"/>
    <s v="Rahul Sharma"/>
    <s v="Metro Mart"/>
    <x v="3"/>
    <s v="Laptop"/>
    <n v="42"/>
    <n v="25752.18"/>
    <n v="1081591.56"/>
    <n v="200318.55"/>
    <n v="0"/>
    <n v="881273.01"/>
    <s v="Pending"/>
    <s v="Pending"/>
  </r>
  <r>
    <s v="INV-2026-02996"/>
    <x v="54"/>
    <s v="West"/>
    <s v="Ahmedabad"/>
    <s v="Distributor"/>
    <s v="Priya Patel"/>
    <s v="Tech Solutions"/>
    <x v="4"/>
    <s v="T-Shirt"/>
    <n v="50"/>
    <n v="564.72"/>
    <n v="28236"/>
    <n v="0"/>
    <n v="0"/>
    <n v="28236"/>
    <s v="Completed"/>
    <s v="Paid"/>
  </r>
  <r>
    <s v="INV-2026-02997"/>
    <x v="17"/>
    <s v="South"/>
    <s v="Bangalore"/>
    <s v="Retail Store"/>
    <s v="Suresh Gupta"/>
    <s v="Skyline Corp"/>
    <x v="3"/>
    <s v="Tablet"/>
    <n v="24"/>
    <n v="25592.89"/>
    <n v="614229.36"/>
    <n v="28984.47"/>
    <n v="0"/>
    <n v="585244.89"/>
    <s v="Cancelled"/>
    <s v="Pending"/>
  </r>
  <r>
    <s v="INV-2026-02998"/>
    <x v="44"/>
    <s v="West"/>
    <s v="Surat"/>
    <s v="Online"/>
    <s v="Rajesh Verma"/>
    <s v="ABC Corp"/>
    <x v="0"/>
    <s v="File Folder"/>
    <n v="41"/>
    <n v="46065.78"/>
    <n v="1888696.98"/>
    <n v="369335.56"/>
    <n v="0"/>
    <n v="1519361.42"/>
    <s v="Pending"/>
    <s v="Pending"/>
  </r>
  <r>
    <s v="INV-2026-02999"/>
    <x v="30"/>
    <s v="Central"/>
    <s v="Raipur"/>
    <s v="Online"/>
    <s v="Kavita Nair"/>
    <s v="Future Tech"/>
    <x v="3"/>
    <s v="Headphones"/>
    <n v="9"/>
    <n v="50227.14"/>
    <n v="452044.26"/>
    <n v="29476.44"/>
    <n v="0"/>
    <n v="422567.82"/>
    <s v="Completed"/>
    <s v="Paid"/>
  </r>
  <r>
    <s v="INV-2026-03000"/>
    <x v="66"/>
    <s v="East"/>
    <s v="Guwahati"/>
    <s v="Retail Store"/>
    <s v="Suresh Gupta"/>
    <s v="Prime Retail"/>
    <x v="5"/>
    <s v="Vacuum Cleaner"/>
    <n v="46"/>
    <n v="41173.269999999997"/>
    <n v="1893970.42"/>
    <n v="0"/>
    <n v="0"/>
    <n v="1893970.42"/>
    <s v="Cancelled"/>
    <s v="Pending"/>
  </r>
  <r>
    <s v="INV-2026-03001"/>
    <x v="15"/>
    <s v="West"/>
    <s v="Pune"/>
    <s v="Online"/>
    <s v="Suresh Gupta"/>
    <s v="Future Tech"/>
    <x v="1"/>
    <s v="Bookshelf"/>
    <n v="27"/>
    <n v="36863.279999999999"/>
    <n v="995308.56"/>
    <n v="125875.89"/>
    <n v="0"/>
    <n v="869432.67"/>
    <s v="Pending"/>
    <s v="Paid"/>
  </r>
  <r>
    <s v="INV-2026-03002"/>
    <x v="26"/>
    <s v="East"/>
    <s v="Guwahati"/>
    <s v="Retail Store"/>
    <s v="Rajesh Verma"/>
    <s v="Metro Mart"/>
    <x v="0"/>
    <s v="Whiteboard"/>
    <n v="44"/>
    <n v="1506.92"/>
    <n v="66304.479999999996"/>
    <n v="1725.01"/>
    <n v="0"/>
    <n v="64579.47"/>
    <s v="Completed"/>
    <s v="Paid"/>
  </r>
  <r>
    <s v="INV-2026-03003"/>
    <x v="38"/>
    <s v="Central"/>
    <s v="Bhopal"/>
    <s v="Direct Sales"/>
    <s v="Kavita Nair"/>
    <s v="Omega Stores"/>
    <x v="5"/>
    <s v="TV"/>
    <n v="38"/>
    <n v="13333.46"/>
    <n v="506671.48"/>
    <n v="64488.32"/>
    <n v="130749.52"/>
    <n v="311433.64"/>
    <s v="Cancelled"/>
    <s v="Pending"/>
  </r>
  <r>
    <s v="INV-2026-03004"/>
    <x v="83"/>
    <s v="North"/>
    <s v="Chandigarh"/>
    <s v="Distributor"/>
    <s v="Kavita Nair"/>
    <s v="XYZ Ltd"/>
    <x v="2"/>
    <s v="Cricket Bat"/>
    <n v="23"/>
    <n v="3634.64"/>
    <n v="83596.72"/>
    <n v="9226.0499999999993"/>
    <n v="23898.25"/>
    <n v="50472.42"/>
    <s v="Cancelled"/>
    <s v="Pending"/>
  </r>
  <r>
    <s v="INV-2026-03005"/>
    <x v="91"/>
    <s v="Central"/>
    <s v="Nagpur"/>
    <s v="Distributor"/>
    <s v="Kavita Nair"/>
    <s v="Future Tech"/>
    <x v="3"/>
    <s v="Tablet"/>
    <n v="39"/>
    <n v="31654.17"/>
    <n v="1234512.6299999999"/>
    <n v="0"/>
    <n v="0"/>
    <n v="1234512.6299999999"/>
    <s v="Processing"/>
    <s v="Pending"/>
  </r>
  <r>
    <s v="INV-2026-03006"/>
    <x v="63"/>
    <s v="North"/>
    <s v="Delhi"/>
    <s v="Online"/>
    <s v="Rahul Sharma"/>
    <s v="Prime Retail"/>
    <x v="1"/>
    <s v="Sofa"/>
    <n v="1"/>
    <n v="44727.01"/>
    <n v="44727.01"/>
    <n v="2723.69"/>
    <n v="0"/>
    <n v="42003.32"/>
    <s v="Completed"/>
    <s v="Paid"/>
  </r>
  <r>
    <s v="INV-2026-03007"/>
    <x v="33"/>
    <s v="South"/>
    <s v="Hyderabad"/>
    <s v="Direct Sales"/>
    <s v="Meera Joshi"/>
    <s v="Smart Systems"/>
    <x v="0"/>
    <s v="Notebook"/>
    <n v="37"/>
    <n v="30744.880000000001"/>
    <n v="1137560.56"/>
    <n v="14605.09"/>
    <n v="0"/>
    <n v="1122955.47"/>
    <s v="Completed"/>
    <s v="Paid"/>
  </r>
  <r>
    <s v="INV-2026-03008"/>
    <x v="24"/>
    <s v="East"/>
    <s v="Bhubaneswar"/>
    <s v="Retail Store"/>
    <s v="Rajesh Verma"/>
    <s v="Elite Enterprises"/>
    <x v="5"/>
    <s v="Air Conditioner"/>
    <n v="41"/>
    <n v="28426.55"/>
    <n v="1165488.55"/>
    <n v="210812.85"/>
    <n v="0"/>
    <n v="954675.7"/>
    <s v="Processing"/>
    <s v="Pending"/>
  </r>
  <r>
    <s v="INV-2026-03009"/>
    <x v="89"/>
    <s v="South"/>
    <s v="Chennai"/>
    <s v="Distributor"/>
    <s v="Meera Joshi"/>
    <s v="Alpha Trading"/>
    <x v="1"/>
    <s v="Bookshelf"/>
    <n v="42"/>
    <n v="24019.24"/>
    <n v="1008808.08"/>
    <n v="117244.63"/>
    <n v="0"/>
    <n v="891563.45"/>
    <s v="Cancelled"/>
    <s v="Pending"/>
  </r>
  <r>
    <s v="INV-2026-03010"/>
    <x v="22"/>
    <s v="North"/>
    <s v="Delhi"/>
    <s v="Online"/>
    <s v="Priya Patel"/>
    <s v="Tech Solutions"/>
    <x v="2"/>
    <s v="Cricket Bat"/>
    <n v="50"/>
    <n v="45135.38"/>
    <n v="2256769"/>
    <n v="0"/>
    <n v="0"/>
    <n v="2256769"/>
    <s v="Processing"/>
    <s v="Pending"/>
  </r>
  <r>
    <s v="INV-2026-03011"/>
    <x v="65"/>
    <s v="Central"/>
    <s v="Raipur"/>
    <s v="Retail Store"/>
    <s v="Amit Kumar"/>
    <s v="Omega Stores"/>
    <x v="2"/>
    <s v="Gym Equipment"/>
    <n v="13"/>
    <n v="33765.89"/>
    <n v="438956.57"/>
    <n v="57777.78"/>
    <n v="0"/>
    <n v="381178.79"/>
    <s v="Cancelled"/>
    <s v="Pending"/>
  </r>
  <r>
    <s v="INV-2026-03012"/>
    <x v="57"/>
    <s v="North"/>
    <s v="Lucknow"/>
    <s v="Direct Sales"/>
    <s v="Anita Desai"/>
    <s v="Omega Stores"/>
    <x v="3"/>
    <s v="Camera"/>
    <n v="4"/>
    <n v="42602.75"/>
    <n v="170411"/>
    <n v="33558.32"/>
    <n v="0"/>
    <n v="136852.68"/>
    <s v="Cancelled"/>
    <s v="Pending"/>
  </r>
  <r>
    <s v="INV-2026-03013"/>
    <x v="13"/>
    <s v="North"/>
    <s v="Jaipur"/>
    <s v="Retail Store"/>
    <s v="Amit Kumar"/>
    <s v="Tech Solutions"/>
    <x v="0"/>
    <s v="Pen Set"/>
    <n v="45"/>
    <n v="11493.01"/>
    <n v="517185.45"/>
    <n v="5367.58"/>
    <n v="0"/>
    <n v="511817.87"/>
    <s v="Completed"/>
    <s v="Paid"/>
  </r>
  <r>
    <s v="INV-2026-03014"/>
    <x v="27"/>
    <s v="West"/>
    <s v="Pune"/>
    <s v="Online"/>
    <s v="Rajesh Verma"/>
    <s v="Nexus Ltd"/>
    <x v="4"/>
    <s v="Dress"/>
    <n v="45"/>
    <n v="11351.85"/>
    <n v="510833.25"/>
    <n v="67186.820000000007"/>
    <n v="128764.25"/>
    <n v="314882.18"/>
    <s v="Pending"/>
    <s v="Pending"/>
  </r>
  <r>
    <s v="INV-2026-03015"/>
    <x v="59"/>
    <s v="South"/>
    <s v="Bangalore"/>
    <s v="Retail Store"/>
    <s v="Anita Desai"/>
    <s v="Elite Enterprises"/>
    <x v="1"/>
    <s v="Office Chair"/>
    <n v="27"/>
    <n v="13479.37"/>
    <n v="363942.99"/>
    <n v="0"/>
    <n v="0"/>
    <n v="363942.99"/>
    <s v="Processing"/>
    <s v="Paid"/>
  </r>
  <r>
    <s v="INV-2026-03016"/>
    <x v="31"/>
    <s v="West"/>
    <s v="Mumbai"/>
    <s v="Direct Sales"/>
    <s v="Sneha Reddy"/>
    <s v="Elite Enterprises"/>
    <x v="2"/>
    <s v="Cricket Bat"/>
    <n v="33"/>
    <n v="47948.78"/>
    <n v="1582309.74"/>
    <n v="165402.09"/>
    <n v="0"/>
    <n v="1416907.65"/>
    <s v="Completed"/>
    <s v="Paid"/>
  </r>
  <r>
    <s v="INV-2026-03017"/>
    <x v="4"/>
    <s v="East"/>
    <s v="Patna"/>
    <s v="Online"/>
    <s v="Sneha Reddy"/>
    <s v="Global Traders"/>
    <x v="4"/>
    <s v="Dress"/>
    <n v="21"/>
    <n v="34807.79"/>
    <n v="730963.59"/>
    <n v="40782.53"/>
    <n v="6192.36"/>
    <n v="683988.7"/>
    <s v="Completed"/>
    <s v="Paid"/>
  </r>
  <r>
    <s v="INV-2026-03018"/>
    <x v="34"/>
    <s v="West"/>
    <s v="Surat"/>
    <s v="Direct Sales"/>
    <s v="Rahul Sharma"/>
    <s v="Skyline Corp"/>
    <x v="2"/>
    <s v="Football"/>
    <n v="50"/>
    <n v="1992.05"/>
    <n v="99602.5"/>
    <n v="0"/>
    <n v="0"/>
    <n v="99602.5"/>
    <s v="Pending"/>
    <s v="Paid"/>
  </r>
  <r>
    <s v="INV-2026-03019"/>
    <x v="29"/>
    <s v="East"/>
    <s v="Guwahati"/>
    <s v="Online"/>
    <s v="Anita Desai"/>
    <s v="Future Tech"/>
    <x v="1"/>
    <s v="Desk"/>
    <n v="44"/>
    <n v="1542.21"/>
    <n v="67857.240000000005"/>
    <n v="4153.72"/>
    <n v="0"/>
    <n v="63703.519999999997"/>
    <s v="Pending"/>
    <s v="Pending"/>
  </r>
  <r>
    <s v="INV-2026-03020"/>
    <x v="35"/>
    <s v="South"/>
    <s v="Bangalore"/>
    <s v="Online"/>
    <s v="Meera Joshi"/>
    <s v="Smart Systems"/>
    <x v="4"/>
    <s v="Dress"/>
    <n v="18"/>
    <n v="26086.91"/>
    <n v="469564.38"/>
    <n v="44624.72"/>
    <n v="0"/>
    <n v="424939.66"/>
    <s v="Pending"/>
    <s v="Paid"/>
  </r>
  <r>
    <s v="INV-2026-03021"/>
    <x v="67"/>
    <s v="North"/>
    <s v="Jaipur"/>
    <s v="Distributor"/>
    <s v="Vijay Singh"/>
    <s v="Elite Enterprises"/>
    <x v="1"/>
    <s v="Desk"/>
    <n v="2"/>
    <n v="40358.620000000003"/>
    <n v="80717.240000000005"/>
    <n v="0"/>
    <n v="0"/>
    <n v="80717.240000000005"/>
    <s v="Completed"/>
    <s v="Paid"/>
  </r>
  <r>
    <s v="INV-2026-03022"/>
    <x v="24"/>
    <s v="Central"/>
    <s v="Nagpur"/>
    <s v="Distributor"/>
    <s v="Rahul Sharma"/>
    <s v="Omega Stores"/>
    <x v="2"/>
    <s v="Gym Equipment"/>
    <n v="33"/>
    <n v="2344.0300000000002"/>
    <n v="77352.990000000005"/>
    <n v="4891.8900000000003"/>
    <n v="0"/>
    <n v="72461.100000000006"/>
    <s v="Cancelled"/>
    <s v="Pending"/>
  </r>
  <r>
    <s v="INV-2026-03023"/>
    <x v="16"/>
    <s v="East"/>
    <s v="Bhubaneswar"/>
    <s v="Online"/>
    <s v="Meera Joshi"/>
    <s v="Elite Enterprises"/>
    <x v="3"/>
    <s v="Smart Watch"/>
    <n v="4"/>
    <n v="2501.58"/>
    <n v="10006.32"/>
    <n v="1818.89"/>
    <n v="0"/>
    <n v="8187.43"/>
    <s v="Cancelled"/>
    <s v="Pending"/>
  </r>
  <r>
    <s v="INV-2026-03024"/>
    <x v="61"/>
    <s v="South"/>
    <s v="Chennai"/>
    <s v="Online"/>
    <s v="Sneha Reddy"/>
    <s v="Nexus Ltd"/>
    <x v="5"/>
    <s v="TV"/>
    <n v="4"/>
    <n v="47023.29"/>
    <n v="188093.16"/>
    <n v="0"/>
    <n v="0"/>
    <n v="188093.16"/>
    <s v="Completed"/>
    <s v="Paid"/>
  </r>
  <r>
    <s v="INV-2026-03025"/>
    <x v="42"/>
    <s v="East"/>
    <s v="Bhubaneswar"/>
    <s v="Retail Store"/>
    <s v="Rajesh Verma"/>
    <s v="Alpha Trading"/>
    <x v="1"/>
    <s v="Office Chair"/>
    <n v="41"/>
    <n v="48271.08"/>
    <n v="1979114.28"/>
    <n v="288152.3"/>
    <n v="0"/>
    <n v="1690961.98"/>
    <s v="Pending"/>
    <s v="Pending"/>
  </r>
  <r>
    <s v="INV-2026-03026"/>
    <x v="81"/>
    <s v="East"/>
    <s v="Patna"/>
    <s v="Direct Sales"/>
    <s v="Vijay Singh"/>
    <s v="Metro Mart"/>
    <x v="3"/>
    <s v="Smartphone"/>
    <n v="48"/>
    <n v="5145.26"/>
    <n v="246972.48"/>
    <n v="5112.49"/>
    <n v="0"/>
    <n v="241859.99"/>
    <s v="Pending"/>
    <s v="Paid"/>
  </r>
  <r>
    <s v="INV-2026-03027"/>
    <x v="70"/>
    <s v="South"/>
    <s v="Bangalore"/>
    <s v="Online"/>
    <s v="Kavita Nair"/>
    <s v="Omega Stores"/>
    <x v="0"/>
    <s v="Pen Set"/>
    <n v="23"/>
    <n v="10632.65"/>
    <n v="244550.95"/>
    <n v="43024.04"/>
    <n v="0"/>
    <n v="201526.91"/>
    <s v="Completed"/>
    <s v="Paid"/>
  </r>
  <r>
    <s v="INV-2026-03028"/>
    <x v="36"/>
    <s v="West"/>
    <s v="Surat"/>
    <s v="Retail Store"/>
    <s v="Anita Desai"/>
    <s v="Prime Retail"/>
    <x v="2"/>
    <s v="Bicycle"/>
    <n v="26"/>
    <n v="16377.01"/>
    <n v="425802.26"/>
    <n v="16712.439999999999"/>
    <n v="0"/>
    <n v="409089.82"/>
    <s v="Pending"/>
    <s v="Paid"/>
  </r>
  <r>
    <s v="INV-2026-03029"/>
    <x v="62"/>
    <s v="North"/>
    <s v="Chandigarh"/>
    <s v="Online"/>
    <s v="Meera Joshi"/>
    <s v="Tech Solutions"/>
    <x v="5"/>
    <s v="Vacuum Cleaner"/>
    <n v="7"/>
    <n v="6342.58"/>
    <n v="44398.06"/>
    <n v="5925.17"/>
    <n v="0"/>
    <n v="38472.89"/>
    <s v="Cancelled"/>
    <s v="Pending"/>
  </r>
  <r>
    <s v="INV-2026-03030"/>
    <x v="19"/>
    <s v="West"/>
    <s v="Pune"/>
    <s v="Direct Sales"/>
    <s v="Rahul Sharma"/>
    <s v="Urban Store"/>
    <x v="5"/>
    <s v="Washing Machine"/>
    <n v="27"/>
    <n v="5307.64"/>
    <n v="143306.28"/>
    <n v="0"/>
    <n v="0"/>
    <n v="143306.28"/>
    <s v="Pending"/>
    <s v="Pending"/>
  </r>
  <r>
    <s v="INV-2026-03031"/>
    <x v="15"/>
    <s v="North"/>
    <s v="Delhi"/>
    <s v="Distributor"/>
    <s v="Meera Joshi"/>
    <s v="Urban Store"/>
    <x v="0"/>
    <s v="Whiteboard"/>
    <n v="29"/>
    <n v="46478.400000000001"/>
    <n v="1347873.6"/>
    <n v="17714.509999999998"/>
    <n v="0"/>
    <n v="1330159.0900000001"/>
    <s v="Completed"/>
    <s v="Paid"/>
  </r>
  <r>
    <s v="INV-2026-03032"/>
    <x v="70"/>
    <s v="West"/>
    <s v="Mumbai"/>
    <s v="Online"/>
    <s v="Priya Patel"/>
    <s v="Prime Retail"/>
    <x v="5"/>
    <s v="Vacuum Cleaner"/>
    <n v="33"/>
    <n v="8091.41"/>
    <n v="267016.53000000003"/>
    <n v="12204.72"/>
    <n v="0"/>
    <n v="254811.81"/>
    <s v="Pending"/>
    <s v="Pending"/>
  </r>
  <r>
    <s v="INV-2026-03033"/>
    <x v="76"/>
    <s v="Central"/>
    <s v="Indore"/>
    <s v="Distributor"/>
    <s v="Meera Joshi"/>
    <s v="XYZ Ltd"/>
    <x v="1"/>
    <s v="Bookshelf"/>
    <n v="47"/>
    <n v="14105.28"/>
    <n v="662948.16"/>
    <n v="7403.36"/>
    <n v="0"/>
    <n v="655544.80000000005"/>
    <s v="Completed"/>
    <s v="Paid"/>
  </r>
  <r>
    <s v="INV-2026-03034"/>
    <x v="61"/>
    <s v="Central"/>
    <s v="Indore"/>
    <s v="Distributor"/>
    <s v="Anita Desai"/>
    <s v="Elite Enterprises"/>
    <x v="5"/>
    <s v="Air Conditioner"/>
    <n v="28"/>
    <n v="16414.54"/>
    <n v="459607.12"/>
    <n v="41738.31"/>
    <n v="0"/>
    <n v="417868.81"/>
    <s v="Pending"/>
    <s v="Pending"/>
  </r>
  <r>
    <s v="INV-2026-03035"/>
    <x v="59"/>
    <s v="East"/>
    <s v="Bhubaneswar"/>
    <s v="Retail Store"/>
    <s v="Rajesh Verma"/>
    <s v="Omega Stores"/>
    <x v="1"/>
    <s v="Office Chair"/>
    <n v="24"/>
    <n v="16458.310000000001"/>
    <n v="394999.44"/>
    <n v="0"/>
    <n v="102250.72"/>
    <n v="292748.71999999997"/>
    <s v="Cancelled"/>
    <s v="Pending"/>
  </r>
  <r>
    <s v="INV-2026-03036"/>
    <x v="7"/>
    <s v="East"/>
    <s v="Kolkata"/>
    <s v="Online"/>
    <s v="Suresh Gupta"/>
    <s v="Digital Hub"/>
    <x v="2"/>
    <s v="Football"/>
    <n v="49"/>
    <n v="11712.32"/>
    <n v="573903.68000000005"/>
    <n v="0"/>
    <n v="0"/>
    <n v="573903.68000000005"/>
    <s v="Completed"/>
    <s v="Paid"/>
  </r>
  <r>
    <s v="INV-2026-03037"/>
    <x v="15"/>
    <s v="West"/>
    <s v="Surat"/>
    <s v="Retail Store"/>
    <s v="Suresh Gupta"/>
    <s v="ABC Corp"/>
    <x v="0"/>
    <s v="Whiteboard"/>
    <n v="33"/>
    <n v="13262.02"/>
    <n v="437646.66"/>
    <n v="65417.73"/>
    <n v="0"/>
    <n v="372228.93"/>
    <s v="Pending"/>
    <s v="Pending"/>
  </r>
  <r>
    <s v="INV-2026-03038"/>
    <x v="50"/>
    <s v="South"/>
    <s v="Bangalore"/>
    <s v="Retail Store"/>
    <s v="Kavita Nair"/>
    <s v="Future Tech"/>
    <x v="3"/>
    <s v="Laptop"/>
    <n v="38"/>
    <n v="46503.519999999997"/>
    <n v="1767133.76"/>
    <n v="64142.43"/>
    <n v="0"/>
    <n v="1702991.33"/>
    <s v="Processing"/>
    <s v="Pending"/>
  </r>
  <r>
    <s v="INV-2026-03039"/>
    <x v="38"/>
    <s v="South"/>
    <s v="Kochi"/>
    <s v="Retail Store"/>
    <s v="Kavita Nair"/>
    <s v="Urban Store"/>
    <x v="0"/>
    <s v="Whiteboard"/>
    <n v="19"/>
    <n v="24759"/>
    <n v="470421"/>
    <n v="0"/>
    <n v="0"/>
    <n v="470421"/>
    <s v="Completed"/>
    <s v="Paid"/>
  </r>
  <r>
    <s v="INV-2026-03040"/>
    <x v="59"/>
    <s v="North"/>
    <s v="Jaipur"/>
    <s v="Online"/>
    <s v="Amit Kumar"/>
    <s v="Omega Stores"/>
    <x v="2"/>
    <s v="Tennis Racket"/>
    <n v="27"/>
    <n v="39816.89"/>
    <n v="1075056.03"/>
    <n v="0"/>
    <n v="0"/>
    <n v="1075056.03"/>
    <s v="Pending"/>
    <s v="Paid"/>
  </r>
  <r>
    <s v="INV-2026-03041"/>
    <x v="60"/>
    <s v="North"/>
    <s v="Lucknow"/>
    <s v="Distributor"/>
    <s v="Anita Desai"/>
    <s v="Urban Store"/>
    <x v="3"/>
    <s v="Headphones"/>
    <n v="46"/>
    <n v="44139.3"/>
    <n v="2030407.8"/>
    <n v="70219.13"/>
    <n v="23305.8"/>
    <n v="1936882.87"/>
    <s v="Cancelled"/>
    <s v="Pending"/>
  </r>
  <r>
    <s v="INV-2026-03042"/>
    <x v="54"/>
    <s v="Central"/>
    <s v="Bhopal"/>
    <s v="Retail Store"/>
    <s v="Amit Kumar"/>
    <s v="Alpha Trading"/>
    <x v="4"/>
    <s v="Shoes"/>
    <n v="23"/>
    <n v="13545.95"/>
    <n v="311556.84999999998"/>
    <n v="48006.43"/>
    <n v="0"/>
    <n v="263550.42"/>
    <s v="Cancelled"/>
    <s v="Pending"/>
  </r>
  <r>
    <s v="INV-2026-03043"/>
    <x v="56"/>
    <s v="North"/>
    <s v="Jaipur"/>
    <s v="Retail Store"/>
    <s v="Vijay Singh"/>
    <s v="Omega Stores"/>
    <x v="3"/>
    <s v="Headphones"/>
    <n v="17"/>
    <n v="35333.51"/>
    <n v="600669.67000000004"/>
    <n v="0"/>
    <n v="0"/>
    <n v="600669.67000000004"/>
    <s v="Completed"/>
    <s v="Pending"/>
  </r>
  <r>
    <s v="INV-2026-03044"/>
    <x v="0"/>
    <s v="South"/>
    <s v="Hyderabad"/>
    <s v="Distributor"/>
    <s v="Priya Patel"/>
    <s v="Tech Solutions"/>
    <x v="3"/>
    <s v="Headphones"/>
    <n v="22"/>
    <n v="43257.97"/>
    <n v="951675.34"/>
    <n v="0"/>
    <n v="0"/>
    <n v="951675.34"/>
    <s v="Pending"/>
    <s v="Pending"/>
  </r>
  <r>
    <s v="INV-2026-03045"/>
    <x v="72"/>
    <s v="North"/>
    <s v="Lucknow"/>
    <s v="Online"/>
    <s v="Suresh Gupta"/>
    <s v="Global Traders"/>
    <x v="3"/>
    <s v="Camera"/>
    <n v="36"/>
    <n v="13787.77"/>
    <n v="496359.72"/>
    <n v="0"/>
    <n v="0"/>
    <n v="496359.72"/>
    <s v="Cancelled"/>
    <s v="Pending"/>
  </r>
  <r>
    <s v="INV-2026-03046"/>
    <x v="38"/>
    <s v="South"/>
    <s v="Kochi"/>
    <s v="Retail Store"/>
    <s v="Vijay Singh"/>
    <s v="ABC Corp"/>
    <x v="3"/>
    <s v="Smart Watch"/>
    <n v="25"/>
    <n v="12331.92"/>
    <n v="308298"/>
    <n v="0"/>
    <n v="0"/>
    <n v="308298"/>
    <s v="Processing"/>
    <s v="Paid"/>
  </r>
  <r>
    <s v="INV-2026-03047"/>
    <x v="35"/>
    <s v="North"/>
    <s v="Jaipur"/>
    <s v="Distributor"/>
    <s v="Anita Desai"/>
    <s v="Smart Systems"/>
    <x v="4"/>
    <s v="Jeans"/>
    <n v="6"/>
    <n v="24569.52"/>
    <n v="147417.12"/>
    <n v="0"/>
    <n v="0"/>
    <n v="147417.12"/>
    <s v="Pending"/>
    <s v="Paid"/>
  </r>
  <r>
    <s v="INV-2026-03048"/>
    <x v="8"/>
    <s v="North"/>
    <s v="Lucknow"/>
    <s v="Distributor"/>
    <s v="Suresh Gupta"/>
    <s v="Alpha Trading"/>
    <x v="4"/>
    <s v="Dress"/>
    <n v="26"/>
    <n v="11341.05"/>
    <n v="294867.3"/>
    <n v="0"/>
    <n v="0"/>
    <n v="294867.3"/>
    <s v="Pending"/>
    <s v="Paid"/>
  </r>
  <r>
    <s v="INV-2026-03049"/>
    <x v="43"/>
    <s v="North"/>
    <s v="Delhi"/>
    <s v="Direct Sales"/>
    <s v="Amit Kumar"/>
    <s v="Global Traders"/>
    <x v="5"/>
    <s v="Microwave"/>
    <n v="30"/>
    <n v="5142.99"/>
    <n v="154289.70000000001"/>
    <n v="0"/>
    <n v="0"/>
    <n v="154289.70000000001"/>
    <s v="Processing"/>
    <s v="Paid"/>
  </r>
  <r>
    <s v="INV-2026-03050"/>
    <x v="21"/>
    <s v="North"/>
    <s v="Lucknow"/>
    <s v="Online"/>
    <s v="Suresh Gupta"/>
    <s v="Smart Systems"/>
    <x v="1"/>
    <s v="Bookshelf"/>
    <n v="13"/>
    <n v="4140.16"/>
    <n v="53822.080000000002"/>
    <n v="6552.61"/>
    <n v="0"/>
    <n v="47269.47"/>
    <s v="Pending"/>
    <s v="Pending"/>
  </r>
  <r>
    <s v="INV-2026-03051"/>
    <x v="36"/>
    <s v="East"/>
    <s v="Bhubaneswar"/>
    <s v="Retail Store"/>
    <s v="Rahul Sharma"/>
    <s v="Digital Hub"/>
    <x v="0"/>
    <s v="Printer Paper"/>
    <n v="22"/>
    <n v="44540.23"/>
    <n v="979885.06"/>
    <n v="123688.96000000001"/>
    <n v="0"/>
    <n v="856196.1"/>
    <s v="Completed"/>
    <s v="Paid"/>
  </r>
  <r>
    <s v="INV-2026-03052"/>
    <x v="22"/>
    <s v="South"/>
    <s v="Bangalore"/>
    <s v="Direct Sales"/>
    <s v="Rahul Sharma"/>
    <s v="Metro Mart"/>
    <x v="1"/>
    <s v="Desk"/>
    <n v="1"/>
    <n v="7842.75"/>
    <n v="7842.75"/>
    <n v="1341.85"/>
    <n v="0"/>
    <n v="6500.9"/>
    <s v="Cancelled"/>
    <s v="Pending"/>
  </r>
  <r>
    <s v="INV-2026-03053"/>
    <x v="55"/>
    <s v="West"/>
    <s v="Pune"/>
    <s v="Distributor"/>
    <s v="Rajesh Verma"/>
    <s v="Elite Enterprises"/>
    <x v="4"/>
    <s v="Formal Shirt"/>
    <n v="39"/>
    <n v="11938.06"/>
    <n v="465584.34"/>
    <n v="58434.2"/>
    <n v="0"/>
    <n v="407150.14"/>
    <s v="Completed"/>
    <s v="Paid"/>
  </r>
  <r>
    <s v="INV-2026-03054"/>
    <x v="16"/>
    <s v="North"/>
    <s v="Jaipur"/>
    <s v="Distributor"/>
    <s v="Priya Patel"/>
    <s v="Tech Solutions"/>
    <x v="1"/>
    <s v="Conference Table"/>
    <n v="36"/>
    <n v="9168.52"/>
    <n v="330066.71999999997"/>
    <n v="43860.05"/>
    <n v="0"/>
    <n v="286206.67"/>
    <s v="Completed"/>
    <s v="Paid"/>
  </r>
  <r>
    <s v="INV-2026-03055"/>
    <x v="56"/>
    <s v="West"/>
    <s v="Mumbai"/>
    <s v="Retail Store"/>
    <s v="Rahul Sharma"/>
    <s v="Metro Mart"/>
    <x v="5"/>
    <s v="Air Conditioner"/>
    <n v="49"/>
    <n v="18293.990000000002"/>
    <n v="896405.51"/>
    <n v="45272.77"/>
    <n v="0"/>
    <n v="851132.74"/>
    <s v="Cancelled"/>
    <s v="Pending"/>
  </r>
  <r>
    <s v="INV-2026-03056"/>
    <x v="15"/>
    <s v="East"/>
    <s v="Guwahati"/>
    <s v="Distributor"/>
    <s v="Vijay Singh"/>
    <s v="Skyline Corp"/>
    <x v="4"/>
    <s v="T-Shirt"/>
    <n v="36"/>
    <n v="19384.52"/>
    <n v="697842.72"/>
    <n v="0"/>
    <n v="0"/>
    <n v="697842.72"/>
    <s v="Processing"/>
    <s v="Pending"/>
  </r>
  <r>
    <s v="INV-2026-03057"/>
    <x v="89"/>
    <s v="East"/>
    <s v="Patna"/>
    <s v="Online"/>
    <s v="Amit Kumar"/>
    <s v="Digital Hub"/>
    <x v="4"/>
    <s v="Formal Shirt"/>
    <n v="34"/>
    <n v="39732.26"/>
    <n v="1350896.84"/>
    <n v="261940.7"/>
    <n v="0"/>
    <n v="1088956.1399999999"/>
    <s v="Cancelled"/>
    <s v="Pending"/>
  </r>
  <r>
    <s v="INV-2026-03058"/>
    <x v="86"/>
    <s v="East"/>
    <s v="Patna"/>
    <s v="Online"/>
    <s v="Rajesh Verma"/>
    <s v="Tech Solutions"/>
    <x v="5"/>
    <s v="Washing Machine"/>
    <n v="39"/>
    <n v="932.99"/>
    <n v="36386.61"/>
    <n v="7046.83"/>
    <n v="0"/>
    <n v="29339.78"/>
    <s v="Completed"/>
    <s v="Paid"/>
  </r>
  <r>
    <s v="INV-2026-03059"/>
    <x v="91"/>
    <s v="West"/>
    <s v="Ahmedabad"/>
    <s v="Online"/>
    <s v="Rajesh Verma"/>
    <s v="Future Tech"/>
    <x v="3"/>
    <s v="Camera"/>
    <n v="9"/>
    <n v="30552.84"/>
    <n v="274975.56"/>
    <n v="6415.75"/>
    <n v="0"/>
    <n v="268559.81"/>
    <s v="Processing"/>
    <s v="Pending"/>
  </r>
  <r>
    <s v="INV-2026-03060"/>
    <x v="70"/>
    <s v="West"/>
    <s v="Surat"/>
    <s v="Distributor"/>
    <s v="Priya Patel"/>
    <s v="Digital Hub"/>
    <x v="0"/>
    <s v="Notebook"/>
    <n v="49"/>
    <n v="46468.22"/>
    <n v="2276942.7799999998"/>
    <n v="393662.34"/>
    <n v="0"/>
    <n v="1883280.44"/>
    <s v="Completed"/>
    <s v="Paid"/>
  </r>
  <r>
    <s v="INV-2026-03061"/>
    <x v="91"/>
    <s v="South"/>
    <s v="Hyderabad"/>
    <s v="Direct Sales"/>
    <s v="Priya Patel"/>
    <s v="Tech Solutions"/>
    <x v="0"/>
    <s v="Printer Paper"/>
    <n v="44"/>
    <n v="11858.34"/>
    <n v="521766.96"/>
    <n v="62508.89"/>
    <n v="0"/>
    <n v="459258.07"/>
    <s v="Pending"/>
    <s v="Pending"/>
  </r>
  <r>
    <s v="INV-2026-03062"/>
    <x v="36"/>
    <s v="West"/>
    <s v="Mumbai"/>
    <s v="Direct Sales"/>
    <s v="Sneha Reddy"/>
    <s v="Elite Enterprises"/>
    <x v="5"/>
    <s v="Vacuum Cleaner"/>
    <n v="15"/>
    <n v="18335.02"/>
    <n v="275025.3"/>
    <n v="46847.25"/>
    <n v="0"/>
    <n v="228178.05"/>
    <s v="Processing"/>
    <s v="Pending"/>
  </r>
  <r>
    <s v="INV-2026-03063"/>
    <x v="69"/>
    <s v="South"/>
    <s v="Bangalore"/>
    <s v="Distributor"/>
    <s v="Rahul Sharma"/>
    <s v="Elite Enterprises"/>
    <x v="3"/>
    <s v="Smart Watch"/>
    <n v="37"/>
    <n v="33448.33"/>
    <n v="1237588.21"/>
    <n v="119743.66"/>
    <n v="0"/>
    <n v="1117844.55"/>
    <s v="Processing"/>
    <s v="Paid"/>
  </r>
  <r>
    <s v="INV-2026-03064"/>
    <x v="5"/>
    <s v="East"/>
    <s v="Bhubaneswar"/>
    <s v="Direct Sales"/>
    <s v="Kavita Nair"/>
    <s v="Smart Systems"/>
    <x v="0"/>
    <s v="Whiteboard"/>
    <n v="5"/>
    <n v="25085.89"/>
    <n v="125429.45"/>
    <n v="17937.849999999999"/>
    <n v="0"/>
    <n v="107491.6"/>
    <s v="Pending"/>
    <s v="Pending"/>
  </r>
  <r>
    <s v="INV-2026-03065"/>
    <x v="14"/>
    <s v="North"/>
    <s v="Jaipur"/>
    <s v="Retail Store"/>
    <s v="Rahul Sharma"/>
    <s v="Metro Mart"/>
    <x v="5"/>
    <s v="Microwave"/>
    <n v="36"/>
    <n v="37808.29"/>
    <n v="1361098.44"/>
    <n v="0"/>
    <n v="127212.4"/>
    <n v="1233886.04"/>
    <s v="Cancelled"/>
    <s v="Pending"/>
  </r>
  <r>
    <s v="INV-2026-03066"/>
    <x v="3"/>
    <s v="Central"/>
    <s v="Raipur"/>
    <s v="Distributor"/>
    <s v="Amit Kumar"/>
    <s v="Omega Stores"/>
    <x v="0"/>
    <s v="Notebook"/>
    <n v="38"/>
    <n v="29924"/>
    <n v="1137112"/>
    <n v="161913.79"/>
    <n v="333872.44"/>
    <n v="641325.77"/>
    <s v="Completed"/>
    <s v="Paid"/>
  </r>
  <r>
    <s v="INV-2026-03067"/>
    <x v="13"/>
    <s v="Central"/>
    <s v="Raipur"/>
    <s v="Direct Sales"/>
    <s v="Sneha Reddy"/>
    <s v="Tech Solutions"/>
    <x v="1"/>
    <s v="Desk"/>
    <n v="1"/>
    <n v="1596.95"/>
    <n v="1596.95"/>
    <n v="28.11"/>
    <n v="0"/>
    <n v="1568.84"/>
    <s v="Processing"/>
    <s v="Pending"/>
  </r>
  <r>
    <s v="INV-2026-03068"/>
    <x v="83"/>
    <s v="Central"/>
    <s v="Indore"/>
    <s v="Distributor"/>
    <s v="Suresh Gupta"/>
    <s v="Metro Mart"/>
    <x v="2"/>
    <s v="Cricket Bat"/>
    <n v="12"/>
    <n v="43887.01"/>
    <n v="526644.12"/>
    <n v="62168.81"/>
    <n v="0"/>
    <n v="464475.31"/>
    <s v="Processing"/>
    <s v="Paid"/>
  </r>
  <r>
    <s v="INV-2026-03069"/>
    <x v="79"/>
    <s v="South"/>
    <s v="Hyderabad"/>
    <s v="Distributor"/>
    <s v="Suresh Gupta"/>
    <s v="Smart Systems"/>
    <x v="1"/>
    <s v="Bookshelf"/>
    <n v="36"/>
    <n v="34595.699999999997"/>
    <n v="1245445.2"/>
    <n v="0"/>
    <n v="0"/>
    <n v="1245445.2"/>
    <s v="Cancelled"/>
    <s v="Pending"/>
  </r>
  <r>
    <s v="INV-2026-03070"/>
    <x v="29"/>
    <s v="North"/>
    <s v="Lucknow"/>
    <s v="Retail Store"/>
    <s v="Suresh Gupta"/>
    <s v="XYZ Ltd"/>
    <x v="1"/>
    <s v="Bookshelf"/>
    <n v="38"/>
    <n v="34790.21"/>
    <n v="1322027.98"/>
    <n v="0"/>
    <n v="364716"/>
    <n v="957311.98"/>
    <s v="Pending"/>
    <s v="Pending"/>
  </r>
  <r>
    <s v="INV-2026-03071"/>
    <x v="20"/>
    <s v="Central"/>
    <s v="Indore"/>
    <s v="Online"/>
    <s v="Rahul Sharma"/>
    <s v="Smart Systems"/>
    <x v="3"/>
    <s v="Headphones"/>
    <n v="37"/>
    <n v="8678.7999999999993"/>
    <n v="321115.59999999998"/>
    <n v="0"/>
    <n v="0"/>
    <n v="321115.59999999998"/>
    <s v="Pending"/>
    <s v="Paid"/>
  </r>
  <r>
    <s v="INV-2026-03072"/>
    <x v="41"/>
    <s v="Central"/>
    <s v="Raipur"/>
    <s v="Online"/>
    <s v="Rahul Sharma"/>
    <s v="Digital Hub"/>
    <x v="1"/>
    <s v="Cabinet"/>
    <n v="20"/>
    <n v="1740.31"/>
    <n v="34806.199999999997"/>
    <n v="0"/>
    <n v="0"/>
    <n v="34806.199999999997"/>
    <s v="Cancelled"/>
    <s v="Pending"/>
  </r>
  <r>
    <s v="INV-2026-03073"/>
    <x v="42"/>
    <s v="North"/>
    <s v="Jaipur"/>
    <s v="Retail Store"/>
    <s v="Priya Patel"/>
    <s v="ABC Corp"/>
    <x v="5"/>
    <s v="Air Conditioner"/>
    <n v="26"/>
    <n v="49082.15"/>
    <n v="1276135.8999999999"/>
    <n v="0"/>
    <n v="0"/>
    <n v="1276135.8999999999"/>
    <s v="Pending"/>
    <s v="Paid"/>
  </r>
  <r>
    <s v="INV-2026-03074"/>
    <x v="84"/>
    <s v="North"/>
    <s v="Jaipur"/>
    <s v="Direct Sales"/>
    <s v="Kavita Nair"/>
    <s v="Tech Solutions"/>
    <x v="2"/>
    <s v="Tennis Racket"/>
    <n v="9"/>
    <n v="41270.769999999997"/>
    <n v="371436.93"/>
    <n v="0"/>
    <n v="0"/>
    <n v="371436.93"/>
    <s v="Pending"/>
    <s v="Pending"/>
  </r>
  <r>
    <s v="INV-2026-03075"/>
    <x v="51"/>
    <s v="East"/>
    <s v="Patna"/>
    <s v="Distributor"/>
    <s v="Priya Patel"/>
    <s v="Elite Enterprises"/>
    <x v="4"/>
    <s v="Shoes"/>
    <n v="50"/>
    <n v="1600.99"/>
    <n v="80049.5"/>
    <n v="0"/>
    <n v="0"/>
    <n v="80049.5"/>
    <s v="Processing"/>
    <s v="Pending"/>
  </r>
  <r>
    <s v="INV-2026-03076"/>
    <x v="88"/>
    <s v="Central"/>
    <s v="Indore"/>
    <s v="Direct Sales"/>
    <s v="Rajesh Verma"/>
    <s v="Nexus Ltd"/>
    <x v="4"/>
    <s v="T-Shirt"/>
    <n v="22"/>
    <n v="32951.5"/>
    <n v="724933"/>
    <n v="36700.19"/>
    <n v="0"/>
    <n v="688232.81"/>
    <s v="Pending"/>
    <s v="Paid"/>
  </r>
  <r>
    <s v="INV-2026-03077"/>
    <x v="86"/>
    <s v="West"/>
    <s v="Surat"/>
    <s v="Retail Store"/>
    <s v="Kavita Nair"/>
    <s v="Digital Hub"/>
    <x v="5"/>
    <s v="Vacuum Cleaner"/>
    <n v="31"/>
    <n v="12382.39"/>
    <n v="383854.09"/>
    <n v="0"/>
    <n v="96652.93"/>
    <n v="287201.15999999997"/>
    <s v="Processing"/>
    <s v="Pending"/>
  </r>
  <r>
    <s v="INV-2026-03078"/>
    <x v="4"/>
    <s v="East"/>
    <s v="Guwahati"/>
    <s v="Online"/>
    <s v="Rajesh Verma"/>
    <s v="XYZ Ltd"/>
    <x v="5"/>
    <s v="Vacuum Cleaner"/>
    <n v="20"/>
    <n v="44743.1"/>
    <n v="894862"/>
    <n v="0"/>
    <n v="0"/>
    <n v="894862"/>
    <s v="Processing"/>
    <s v="Pending"/>
  </r>
  <r>
    <s v="INV-2026-03079"/>
    <x v="2"/>
    <s v="North"/>
    <s v="Lucknow"/>
    <s v="Distributor"/>
    <s v="Vijay Singh"/>
    <s v="Smart Systems"/>
    <x v="4"/>
    <s v="T-Shirt"/>
    <n v="8"/>
    <n v="2073.4899999999998"/>
    <n v="16587.919999999998"/>
    <n v="823.1"/>
    <n v="0"/>
    <n v="15764.82"/>
    <s v="Processing"/>
    <s v="Pending"/>
  </r>
  <r>
    <s v="INV-2026-03080"/>
    <x v="89"/>
    <s v="East"/>
    <s v="Patna"/>
    <s v="Direct Sales"/>
    <s v="Rahul Sharma"/>
    <s v="XYZ Ltd"/>
    <x v="3"/>
    <s v="Smart Watch"/>
    <n v="3"/>
    <n v="29564.07"/>
    <n v="88692.21"/>
    <n v="0"/>
    <n v="0"/>
    <n v="88692.21"/>
    <s v="Pending"/>
    <s v="Pending"/>
  </r>
  <r>
    <s v="INV-2026-03081"/>
    <x v="71"/>
    <s v="South"/>
    <s v="Bangalore"/>
    <s v="Direct Sales"/>
    <s v="Kavita Nair"/>
    <s v="Alpha Trading"/>
    <x v="4"/>
    <s v="Dress"/>
    <n v="7"/>
    <n v="37526.65"/>
    <n v="262686.55"/>
    <n v="0"/>
    <n v="0"/>
    <n v="262686.55"/>
    <s v="Completed"/>
    <s v="Pending"/>
  </r>
  <r>
    <s v="INV-2026-03082"/>
    <x v="26"/>
    <s v="South"/>
    <s v="Hyderabad"/>
    <s v="Distributor"/>
    <s v="Kavita Nair"/>
    <s v="Global Traders"/>
    <x v="5"/>
    <s v="Air Conditioner"/>
    <n v="50"/>
    <n v="20242.919999999998"/>
    <n v="1012146"/>
    <n v="0"/>
    <n v="0"/>
    <n v="1012146"/>
    <s v="Completed"/>
    <s v="Paid"/>
  </r>
  <r>
    <s v="INV-2026-03083"/>
    <x v="15"/>
    <s v="West"/>
    <s v="Pune"/>
    <s v="Distributor"/>
    <s v="Meera Joshi"/>
    <s v="Omega Stores"/>
    <x v="2"/>
    <s v="Football"/>
    <n v="6"/>
    <n v="24165.13"/>
    <n v="144990.78"/>
    <n v="2995.86"/>
    <n v="0"/>
    <n v="141994.92000000001"/>
    <s v="Cancelled"/>
    <s v="Pending"/>
  </r>
  <r>
    <s v="INV-2026-03084"/>
    <x v="32"/>
    <s v="North"/>
    <s v="Delhi"/>
    <s v="Distributor"/>
    <s v="Anita Desai"/>
    <s v="Future Tech"/>
    <x v="0"/>
    <s v="Notebook"/>
    <n v="4"/>
    <n v="30395.53"/>
    <n v="121582.12"/>
    <n v="0"/>
    <n v="0"/>
    <n v="121582.12"/>
    <s v="Pending"/>
    <s v="Paid"/>
  </r>
  <r>
    <s v="INV-2026-03085"/>
    <x v="34"/>
    <s v="Central"/>
    <s v="Nagpur"/>
    <s v="Online"/>
    <s v="Sneha Reddy"/>
    <s v="Prime Retail"/>
    <x v="3"/>
    <s v="Camera"/>
    <n v="21"/>
    <n v="44527.79"/>
    <n v="935083.59"/>
    <n v="25274.92"/>
    <n v="0"/>
    <n v="909808.67"/>
    <s v="Cancelled"/>
    <s v="Pending"/>
  </r>
  <r>
    <s v="INV-2026-03086"/>
    <x v="46"/>
    <s v="West"/>
    <s v="Mumbai"/>
    <s v="Retail Store"/>
    <s v="Kavita Nair"/>
    <s v="Urban Store"/>
    <x v="4"/>
    <s v="Formal Shirt"/>
    <n v="13"/>
    <n v="47246.68"/>
    <n v="614206.84"/>
    <n v="89663.95"/>
    <n v="0"/>
    <n v="524542.89"/>
    <s v="Pending"/>
    <s v="Pending"/>
  </r>
  <r>
    <s v="INV-2026-03087"/>
    <x v="35"/>
    <s v="South"/>
    <s v="Hyderabad"/>
    <s v="Direct Sales"/>
    <s v="Meera Joshi"/>
    <s v="Alpha Trading"/>
    <x v="1"/>
    <s v="Sofa"/>
    <n v="8"/>
    <n v="29740.67"/>
    <n v="237925.36"/>
    <n v="0"/>
    <n v="0"/>
    <n v="237925.36"/>
    <s v="Processing"/>
    <s v="Pending"/>
  </r>
  <r>
    <s v="INV-2026-03088"/>
    <x v="70"/>
    <s v="South"/>
    <s v="Kochi"/>
    <s v="Online"/>
    <s v="Rajesh Verma"/>
    <s v="Metro Mart"/>
    <x v="2"/>
    <s v="Bicycle"/>
    <n v="43"/>
    <n v="40995.46"/>
    <n v="1762804.78"/>
    <n v="12629.68"/>
    <n v="0"/>
    <n v="1750175.1"/>
    <s v="Cancelled"/>
    <s v="Pending"/>
  </r>
  <r>
    <s v="INV-2026-03089"/>
    <x v="1"/>
    <s v="West"/>
    <s v="Ahmedabad"/>
    <s v="Distributor"/>
    <s v="Vijay Singh"/>
    <s v="XYZ Ltd"/>
    <x v="0"/>
    <s v="File Folder"/>
    <n v="36"/>
    <n v="40129.69"/>
    <n v="1444668.84"/>
    <n v="0"/>
    <n v="0"/>
    <n v="1444668.84"/>
    <s v="Pending"/>
    <s v="Pending"/>
  </r>
  <r>
    <s v="INV-2026-03090"/>
    <x v="64"/>
    <s v="West"/>
    <s v="Surat"/>
    <s v="Online"/>
    <s v="Amit Kumar"/>
    <s v="Tech Solutions"/>
    <x v="4"/>
    <s v="Jeans"/>
    <n v="50"/>
    <n v="35984.269999999997"/>
    <n v="1799213.5"/>
    <n v="283327.2"/>
    <n v="0"/>
    <n v="1515886.3"/>
    <s v="Pending"/>
    <s v="Pending"/>
  </r>
  <r>
    <s v="INV-2026-03091"/>
    <x v="86"/>
    <s v="North"/>
    <s v="Chandigarh"/>
    <s v="Retail Store"/>
    <s v="Rajesh Verma"/>
    <s v="Smart Systems"/>
    <x v="0"/>
    <s v="Whiteboard"/>
    <n v="36"/>
    <n v="18066.7"/>
    <n v="650401.19999999995"/>
    <n v="0"/>
    <n v="0"/>
    <n v="650401.19999999995"/>
    <s v="Pending"/>
    <s v="Pending"/>
  </r>
  <r>
    <s v="INV-2026-03092"/>
    <x v="77"/>
    <s v="East"/>
    <s v="Kolkata"/>
    <s v="Direct Sales"/>
    <s v="Anita Desai"/>
    <s v="Nexus Ltd"/>
    <x v="2"/>
    <s v="Tennis Racket"/>
    <n v="22"/>
    <n v="15020.2"/>
    <n v="330444.40000000002"/>
    <n v="12861.42"/>
    <n v="0"/>
    <n v="317582.98"/>
    <s v="Completed"/>
    <s v="Pending"/>
  </r>
  <r>
    <s v="INV-2026-03093"/>
    <x v="41"/>
    <s v="Central"/>
    <s v="Indore"/>
    <s v="Retail Store"/>
    <s v="Amit Kumar"/>
    <s v="Skyline Corp"/>
    <x v="5"/>
    <s v="Air Conditioner"/>
    <n v="34"/>
    <n v="24083.27"/>
    <n v="818831.18"/>
    <n v="139559.35"/>
    <n v="0"/>
    <n v="679271.83"/>
    <s v="Processing"/>
    <s v="Paid"/>
  </r>
  <r>
    <s v="INV-2026-03094"/>
    <x v="3"/>
    <s v="West"/>
    <s v="Mumbai"/>
    <s v="Direct Sales"/>
    <s v="Priya Patel"/>
    <s v="Digital Hub"/>
    <x v="1"/>
    <s v="Sofa"/>
    <n v="1"/>
    <n v="32877.35"/>
    <n v="32877.35"/>
    <n v="0"/>
    <n v="0"/>
    <n v="32877.35"/>
    <s v="Pending"/>
    <s v="Pending"/>
  </r>
  <r>
    <s v="INV-2026-03095"/>
    <x v="27"/>
    <s v="North"/>
    <s v="Delhi"/>
    <s v="Distributor"/>
    <s v="Priya Patel"/>
    <s v="Alpha Trading"/>
    <x v="3"/>
    <s v="Laptop"/>
    <n v="35"/>
    <n v="46078.62"/>
    <n v="1612751.7"/>
    <n v="67198.899999999994"/>
    <n v="0"/>
    <n v="1545552.8"/>
    <s v="Pending"/>
    <s v="Pending"/>
  </r>
  <r>
    <s v="INV-2026-03096"/>
    <x v="75"/>
    <s v="North"/>
    <s v="Chandigarh"/>
    <s v="Online"/>
    <s v="Amit Kumar"/>
    <s v="ABC Corp"/>
    <x v="0"/>
    <s v="Printer Paper"/>
    <n v="31"/>
    <n v="14141.23"/>
    <n v="438378.13"/>
    <n v="11212.36"/>
    <n v="123897.39"/>
    <n v="303268.38"/>
    <s v="Pending"/>
    <s v="Paid"/>
  </r>
  <r>
    <s v="INV-2026-03097"/>
    <x v="0"/>
    <s v="North"/>
    <s v="Lucknow"/>
    <s v="Retail Store"/>
    <s v="Amit Kumar"/>
    <s v="Omega Stores"/>
    <x v="3"/>
    <s v="Laptop"/>
    <n v="37"/>
    <n v="34787.35"/>
    <n v="1287131.95"/>
    <n v="26869.85"/>
    <n v="0"/>
    <n v="1260262.1000000001"/>
    <s v="Pending"/>
    <s v="Paid"/>
  </r>
  <r>
    <s v="INV-2026-03098"/>
    <x v="34"/>
    <s v="South"/>
    <s v="Bangalore"/>
    <s v="Distributor"/>
    <s v="Rajesh Verma"/>
    <s v="Tech Solutions"/>
    <x v="3"/>
    <s v="Headphones"/>
    <n v="39"/>
    <n v="29035.02"/>
    <n v="1132365.78"/>
    <n v="0"/>
    <n v="0"/>
    <n v="1132365.78"/>
    <s v="Pending"/>
    <s v="Pending"/>
  </r>
  <r>
    <s v="INV-2026-03099"/>
    <x v="44"/>
    <s v="West"/>
    <s v="Pune"/>
    <s v="Direct Sales"/>
    <s v="Rajesh Verma"/>
    <s v="Prime Retail"/>
    <x v="2"/>
    <s v="Bicycle"/>
    <n v="8"/>
    <n v="33998.78"/>
    <n v="271990.24"/>
    <n v="0"/>
    <n v="22601.11"/>
    <n v="249389.13"/>
    <s v="Completed"/>
    <s v="Paid"/>
  </r>
  <r>
    <s v="INV-2026-03100"/>
    <x v="75"/>
    <s v="North"/>
    <s v="Delhi"/>
    <s v="Distributor"/>
    <s v="Amit Kumar"/>
    <s v="Skyline Corp"/>
    <x v="2"/>
    <s v="Yoga Mat"/>
    <n v="20"/>
    <n v="40525.43"/>
    <n v="810508.6"/>
    <n v="0"/>
    <n v="0"/>
    <n v="810508.6"/>
    <s v="Completed"/>
    <s v="Paid"/>
  </r>
  <r>
    <s v="INV-2026-03101"/>
    <x v="76"/>
    <s v="South"/>
    <s v="Kochi"/>
    <s v="Direct Sales"/>
    <s v="Kavita Nair"/>
    <s v="ABC Corp"/>
    <x v="5"/>
    <s v="Air Conditioner"/>
    <n v="36"/>
    <n v="13378.03"/>
    <n v="481609.08"/>
    <n v="0"/>
    <n v="0"/>
    <n v="481609.08"/>
    <s v="Processing"/>
    <s v="Paid"/>
  </r>
  <r>
    <s v="INV-2026-03102"/>
    <x v="54"/>
    <s v="South"/>
    <s v="Kochi"/>
    <s v="Distributor"/>
    <s v="Rahul Sharma"/>
    <s v="ABC Corp"/>
    <x v="1"/>
    <s v="Cabinet"/>
    <n v="7"/>
    <n v="25349.29"/>
    <n v="177445.03"/>
    <n v="23383.96"/>
    <n v="0"/>
    <n v="154061.07"/>
    <s v="Processing"/>
    <s v="Paid"/>
  </r>
  <r>
    <s v="INV-2026-03103"/>
    <x v="17"/>
    <s v="West"/>
    <s v="Surat"/>
    <s v="Distributor"/>
    <s v="Priya Patel"/>
    <s v="Tech Solutions"/>
    <x v="0"/>
    <s v="Notebook"/>
    <n v="26"/>
    <n v="6094.29"/>
    <n v="158451.54"/>
    <n v="16621.2"/>
    <n v="0"/>
    <n v="141830.34"/>
    <s v="Completed"/>
    <s v="Paid"/>
  </r>
  <r>
    <s v="INV-2026-03104"/>
    <x v="80"/>
    <s v="North"/>
    <s v="Jaipur"/>
    <s v="Direct Sales"/>
    <s v="Rajesh Verma"/>
    <s v="Nexus Ltd"/>
    <x v="0"/>
    <s v="File Folder"/>
    <n v="25"/>
    <n v="17311.48"/>
    <n v="432787"/>
    <n v="52752.959999999999"/>
    <n v="0"/>
    <n v="380034.04"/>
    <s v="Cancelled"/>
    <s v="Pending"/>
  </r>
  <r>
    <s v="INV-2026-03105"/>
    <x v="9"/>
    <s v="West"/>
    <s v="Surat"/>
    <s v="Online"/>
    <s v="Suresh Gupta"/>
    <s v="Urban Store"/>
    <x v="5"/>
    <s v="TV"/>
    <n v="8"/>
    <n v="16693.05"/>
    <n v="133544.4"/>
    <n v="21511.360000000001"/>
    <n v="0"/>
    <n v="112033.04"/>
    <s v="Processing"/>
    <s v="Pending"/>
  </r>
  <r>
    <s v="INV-2026-03106"/>
    <x v="55"/>
    <s v="North"/>
    <s v="Delhi"/>
    <s v="Direct Sales"/>
    <s v="Anita Desai"/>
    <s v="Global Traders"/>
    <x v="0"/>
    <s v="Whiteboard"/>
    <n v="27"/>
    <n v="45078.13"/>
    <n v="1217109.51"/>
    <n v="0"/>
    <n v="0"/>
    <n v="1217109.51"/>
    <s v="Pending"/>
    <s v="Pending"/>
  </r>
  <r>
    <s v="INV-2026-03107"/>
    <x v="41"/>
    <s v="Central"/>
    <s v="Bhopal"/>
    <s v="Distributor"/>
    <s v="Suresh Gupta"/>
    <s v="Digital Hub"/>
    <x v="4"/>
    <s v="Jeans"/>
    <n v="6"/>
    <n v="14686.69"/>
    <n v="88120.14"/>
    <n v="6276.55"/>
    <n v="0"/>
    <n v="81843.59"/>
    <s v="Pending"/>
    <s v="Pending"/>
  </r>
  <r>
    <s v="INV-2026-03108"/>
    <x v="44"/>
    <s v="South"/>
    <s v="Bangalore"/>
    <s v="Direct Sales"/>
    <s v="Kavita Nair"/>
    <s v="Skyline Corp"/>
    <x v="1"/>
    <s v="Office Chair"/>
    <n v="18"/>
    <n v="25903.75"/>
    <n v="466267.5"/>
    <n v="0"/>
    <n v="68330.559999999998"/>
    <n v="397936.94"/>
    <s v="Completed"/>
    <s v="Paid"/>
  </r>
  <r>
    <s v="INV-2026-03109"/>
    <x v="64"/>
    <s v="North"/>
    <s v="Chandigarh"/>
    <s v="Direct Sales"/>
    <s v="Kavita Nair"/>
    <s v="Elite Enterprises"/>
    <x v="4"/>
    <s v="T-Shirt"/>
    <n v="2"/>
    <n v="12487.42"/>
    <n v="24974.84"/>
    <n v="0"/>
    <n v="0"/>
    <n v="24974.84"/>
    <s v="Cancelled"/>
    <s v="Pending"/>
  </r>
  <r>
    <s v="INV-2026-03110"/>
    <x v="26"/>
    <s v="North"/>
    <s v="Lucknow"/>
    <s v="Direct Sales"/>
    <s v="Kavita Nair"/>
    <s v="Nexus Ltd"/>
    <x v="1"/>
    <s v="Sofa"/>
    <n v="38"/>
    <n v="5324.75"/>
    <n v="202340.5"/>
    <n v="25548.52"/>
    <n v="0"/>
    <n v="176791.98"/>
    <s v="Cancelled"/>
    <s v="Pending"/>
  </r>
  <r>
    <s v="INV-2026-03111"/>
    <x v="66"/>
    <s v="North"/>
    <s v="Jaipur"/>
    <s v="Distributor"/>
    <s v="Suresh Gupta"/>
    <s v="ABC Corp"/>
    <x v="0"/>
    <s v="Desk Organizer"/>
    <n v="2"/>
    <n v="4164.8"/>
    <n v="8329.6"/>
    <n v="0"/>
    <n v="0"/>
    <n v="8329.6"/>
    <s v="Processing"/>
    <s v="Pending"/>
  </r>
  <r>
    <s v="INV-2026-03112"/>
    <x v="29"/>
    <s v="East"/>
    <s v="Patna"/>
    <s v="Direct Sales"/>
    <s v="Meera Joshi"/>
    <s v="Future Tech"/>
    <x v="4"/>
    <s v="Shoes"/>
    <n v="28"/>
    <n v="10852.55"/>
    <n v="303871.40000000002"/>
    <n v="0"/>
    <n v="0"/>
    <n v="303871.40000000002"/>
    <s v="Processing"/>
    <s v="Paid"/>
  </r>
  <r>
    <s v="INV-2026-03113"/>
    <x v="33"/>
    <s v="West"/>
    <s v="Mumbai"/>
    <s v="Distributor"/>
    <s v="Meera Joshi"/>
    <s v="ABC Corp"/>
    <x v="2"/>
    <s v="Football"/>
    <n v="30"/>
    <n v="21386.57"/>
    <n v="641597.1"/>
    <n v="38683.08"/>
    <n v="129207.55"/>
    <n v="473706.47"/>
    <s v="Completed"/>
    <s v="Paid"/>
  </r>
  <r>
    <s v="INV-2026-03114"/>
    <x v="24"/>
    <s v="East"/>
    <s v="Kolkata"/>
    <s v="Direct Sales"/>
    <s v="Kavita Nair"/>
    <s v="ABC Corp"/>
    <x v="4"/>
    <s v="Shoes"/>
    <n v="6"/>
    <n v="26239.88"/>
    <n v="157439.28"/>
    <n v="2299.54"/>
    <n v="0"/>
    <n v="155139.74"/>
    <s v="Completed"/>
    <s v="Paid"/>
  </r>
  <r>
    <s v="INV-2026-03115"/>
    <x v="90"/>
    <s v="South"/>
    <s v="Kochi"/>
    <s v="Online"/>
    <s v="Suresh Gupta"/>
    <s v="ABC Corp"/>
    <x v="1"/>
    <s v="Cabinet"/>
    <n v="16"/>
    <n v="16028.45"/>
    <n v="256455.2"/>
    <n v="0"/>
    <n v="0"/>
    <n v="256455.2"/>
    <s v="Processing"/>
    <s v="Pending"/>
  </r>
  <r>
    <s v="INV-2026-03116"/>
    <x v="15"/>
    <s v="West"/>
    <s v="Surat"/>
    <s v="Distributor"/>
    <s v="Rahul Sharma"/>
    <s v="Global Traders"/>
    <x v="4"/>
    <s v="T-Shirt"/>
    <n v="7"/>
    <n v="47901.54"/>
    <n v="335310.78000000003"/>
    <n v="62287.33"/>
    <n v="0"/>
    <n v="273023.45"/>
    <s v="Processing"/>
    <s v="Pending"/>
  </r>
  <r>
    <s v="INV-2026-03117"/>
    <x v="40"/>
    <s v="North"/>
    <s v="Chandigarh"/>
    <s v="Direct Sales"/>
    <s v="Kavita Nair"/>
    <s v="Elite Enterprises"/>
    <x v="0"/>
    <s v="Printer Paper"/>
    <n v="15"/>
    <n v="13661.89"/>
    <n v="204928.35"/>
    <n v="0"/>
    <n v="0"/>
    <n v="204928.35"/>
    <s v="Cancelled"/>
    <s v="Pending"/>
  </r>
  <r>
    <s v="INV-2026-03118"/>
    <x v="43"/>
    <s v="North"/>
    <s v="Lucknow"/>
    <s v="Online"/>
    <s v="Vijay Singh"/>
    <s v="Digital Hub"/>
    <x v="3"/>
    <s v="Smart Watch"/>
    <n v="27"/>
    <n v="15029.71"/>
    <n v="405802.17"/>
    <n v="25000.1"/>
    <n v="0"/>
    <n v="380802.07"/>
    <s v="Pending"/>
    <s v="Paid"/>
  </r>
  <r>
    <s v="INV-2026-03119"/>
    <x v="79"/>
    <s v="South"/>
    <s v="Bangalore"/>
    <s v="Distributor"/>
    <s v="Priya Patel"/>
    <s v="Alpha Trading"/>
    <x v="5"/>
    <s v="Refrigerator"/>
    <n v="5"/>
    <n v="46432.24"/>
    <n v="232161.2"/>
    <n v="10138.629999999999"/>
    <n v="34573.199999999997"/>
    <n v="187449.37"/>
    <s v="Cancelled"/>
    <s v="Pending"/>
  </r>
  <r>
    <s v="INV-2026-03120"/>
    <x v="69"/>
    <s v="East"/>
    <s v="Kolkata"/>
    <s v="Direct Sales"/>
    <s v="Amit Kumar"/>
    <s v="ABC Corp"/>
    <x v="1"/>
    <s v="Cabinet"/>
    <n v="46"/>
    <n v="17842.28"/>
    <n v="820744.88"/>
    <n v="124465.39"/>
    <n v="0"/>
    <n v="696279.49"/>
    <s v="Cancelled"/>
    <s v="Pending"/>
  </r>
  <r>
    <s v="INV-2026-03121"/>
    <x v="17"/>
    <s v="North"/>
    <s v="Jaipur"/>
    <s v="Retail Store"/>
    <s v="Kavita Nair"/>
    <s v="Tech Solutions"/>
    <x v="1"/>
    <s v="Office Chair"/>
    <n v="20"/>
    <n v="8352.5"/>
    <n v="167050"/>
    <n v="30883.119999999999"/>
    <n v="0"/>
    <n v="136166.88"/>
    <s v="Processing"/>
    <s v="Pending"/>
  </r>
  <r>
    <s v="INV-2026-03122"/>
    <x v="72"/>
    <s v="Central"/>
    <s v="Raipur"/>
    <s v="Distributor"/>
    <s v="Sneha Reddy"/>
    <s v="ABC Corp"/>
    <x v="5"/>
    <s v="Vacuum Cleaner"/>
    <n v="25"/>
    <n v="45418"/>
    <n v="1135450"/>
    <n v="0"/>
    <n v="329111.84000000003"/>
    <n v="806338.16"/>
    <s v="Pending"/>
    <s v="Pending"/>
  </r>
  <r>
    <s v="INV-2026-03123"/>
    <x v="35"/>
    <s v="North"/>
    <s v="Jaipur"/>
    <s v="Retail Store"/>
    <s v="Sneha Reddy"/>
    <s v="Tech Solutions"/>
    <x v="5"/>
    <s v="Vacuum Cleaner"/>
    <n v="38"/>
    <n v="35695.4"/>
    <n v="1356425.2"/>
    <n v="270414.93"/>
    <n v="0"/>
    <n v="1086010.27"/>
    <s v="Pending"/>
    <s v="Pending"/>
  </r>
  <r>
    <s v="INV-2026-03124"/>
    <x v="15"/>
    <s v="West"/>
    <s v="Ahmedabad"/>
    <s v="Distributor"/>
    <s v="Vijay Singh"/>
    <s v="Nexus Ltd"/>
    <x v="3"/>
    <s v="Smartphone"/>
    <n v="45"/>
    <n v="9439.4"/>
    <n v="424773"/>
    <n v="70726.820000000007"/>
    <n v="0"/>
    <n v="354046.18"/>
    <s v="Cancelled"/>
    <s v="Pending"/>
  </r>
  <r>
    <s v="INV-2026-03125"/>
    <x v="1"/>
    <s v="East"/>
    <s v="Kolkata"/>
    <s v="Retail Store"/>
    <s v="Sneha Reddy"/>
    <s v="Urban Store"/>
    <x v="4"/>
    <s v="Dress"/>
    <n v="1"/>
    <n v="41177.300000000003"/>
    <n v="41177.300000000003"/>
    <n v="4388.67"/>
    <n v="0"/>
    <n v="36788.629999999997"/>
    <s v="Completed"/>
    <s v="Paid"/>
  </r>
  <r>
    <s v="INV-2026-03126"/>
    <x v="25"/>
    <s v="Central"/>
    <s v="Bhopal"/>
    <s v="Distributor"/>
    <s v="Kavita Nair"/>
    <s v="Skyline Corp"/>
    <x v="2"/>
    <s v="Bicycle"/>
    <n v="47"/>
    <n v="47459.32"/>
    <n v="2230588.04"/>
    <n v="23574.38"/>
    <n v="0"/>
    <n v="2207013.66"/>
    <s v="Cancelled"/>
    <s v="Pending"/>
  </r>
  <r>
    <s v="INV-2026-03127"/>
    <x v="5"/>
    <s v="West"/>
    <s v="Surat"/>
    <s v="Online"/>
    <s v="Sneha Reddy"/>
    <s v="Digital Hub"/>
    <x v="5"/>
    <s v="Vacuum Cleaner"/>
    <n v="45"/>
    <n v="30232.49"/>
    <n v="1360462.05"/>
    <n v="178349.17"/>
    <n v="0"/>
    <n v="1182112.8799999999"/>
    <s v="Cancelled"/>
    <s v="Pending"/>
  </r>
  <r>
    <s v="INV-2026-03128"/>
    <x v="12"/>
    <s v="East"/>
    <s v="Guwahati"/>
    <s v="Retail Store"/>
    <s v="Rahul Sharma"/>
    <s v="Smart Systems"/>
    <x v="0"/>
    <s v="Pen Set"/>
    <n v="7"/>
    <n v="18559.009999999998"/>
    <n v="129913.07"/>
    <n v="13311.26"/>
    <n v="0"/>
    <n v="116601.81"/>
    <s v="Pending"/>
    <s v="Paid"/>
  </r>
  <r>
    <s v="INV-2026-03129"/>
    <x v="26"/>
    <s v="South"/>
    <s v="Kochi"/>
    <s v="Online"/>
    <s v="Rahul Sharma"/>
    <s v="XYZ Ltd"/>
    <x v="0"/>
    <s v="Printer Paper"/>
    <n v="8"/>
    <n v="1805.1"/>
    <n v="14440.8"/>
    <n v="482.16"/>
    <n v="0"/>
    <n v="13958.64"/>
    <s v="Processing"/>
    <s v="Paid"/>
  </r>
  <r>
    <s v="INV-2026-03130"/>
    <x v="3"/>
    <s v="North"/>
    <s v="Lucknow"/>
    <s v="Distributor"/>
    <s v="Rahul Sharma"/>
    <s v="Global Traders"/>
    <x v="5"/>
    <s v="Vacuum Cleaner"/>
    <n v="2"/>
    <n v="2178.9899999999998"/>
    <n v="4357.9799999999996"/>
    <n v="0"/>
    <n v="1162.29"/>
    <n v="3195.69"/>
    <s v="Completed"/>
    <s v="Paid"/>
  </r>
  <r>
    <s v="INV-2026-03131"/>
    <x v="36"/>
    <s v="South"/>
    <s v="Chennai"/>
    <s v="Retail Store"/>
    <s v="Rajesh Verma"/>
    <s v="Omega Stores"/>
    <x v="3"/>
    <s v="Smartphone"/>
    <n v="50"/>
    <n v="36597.47"/>
    <n v="1829873.5"/>
    <n v="249718.14"/>
    <n v="0"/>
    <n v="1580155.36"/>
    <s v="Completed"/>
    <s v="Paid"/>
  </r>
  <r>
    <s v="INV-2026-03132"/>
    <x v="73"/>
    <s v="Central"/>
    <s v="Indore"/>
    <s v="Direct Sales"/>
    <s v="Meera Joshi"/>
    <s v="Prime Retail"/>
    <x v="5"/>
    <s v="Refrigerator"/>
    <n v="40"/>
    <n v="10077.11"/>
    <n v="403084.4"/>
    <n v="44812.38"/>
    <n v="0"/>
    <n v="358272.02"/>
    <s v="Cancelled"/>
    <s v="Pending"/>
  </r>
  <r>
    <s v="INV-2026-03133"/>
    <x v="84"/>
    <s v="South"/>
    <s v="Chennai"/>
    <s v="Online"/>
    <s v="Rajesh Verma"/>
    <s v="Elite Enterprises"/>
    <x v="5"/>
    <s v="TV"/>
    <n v="5"/>
    <n v="13139.57"/>
    <n v="65697.850000000006"/>
    <n v="2667.88"/>
    <n v="2069.17"/>
    <n v="60960.800000000003"/>
    <s v="Pending"/>
    <s v="Pending"/>
  </r>
  <r>
    <s v="INV-2026-03134"/>
    <x v="53"/>
    <s v="East"/>
    <s v="Patna"/>
    <s v="Retail Store"/>
    <s v="Priya Patel"/>
    <s v="Metro Mart"/>
    <x v="4"/>
    <s v="Jeans"/>
    <n v="32"/>
    <n v="11983.26"/>
    <n v="383464.32"/>
    <n v="0"/>
    <n v="0"/>
    <n v="383464.32"/>
    <s v="Cancelled"/>
    <s v="Pending"/>
  </r>
  <r>
    <s v="INV-2026-03135"/>
    <x v="71"/>
    <s v="North"/>
    <s v="Jaipur"/>
    <s v="Distributor"/>
    <s v="Suresh Gupta"/>
    <s v="Digital Hub"/>
    <x v="2"/>
    <s v="Football"/>
    <n v="5"/>
    <n v="26934.57"/>
    <n v="134672.85"/>
    <n v="0"/>
    <n v="0"/>
    <n v="134672.85"/>
    <s v="Completed"/>
    <s v="Paid"/>
  </r>
  <r>
    <s v="INV-2026-03136"/>
    <x v="10"/>
    <s v="West"/>
    <s v="Surat"/>
    <s v="Distributor"/>
    <s v="Suresh Gupta"/>
    <s v="Omega Stores"/>
    <x v="2"/>
    <s v="Gym Equipment"/>
    <n v="30"/>
    <n v="21346.47"/>
    <n v="640394.1"/>
    <n v="0"/>
    <n v="124457.71"/>
    <n v="515936.39"/>
    <s v="Cancelled"/>
    <s v="Pending"/>
  </r>
  <r>
    <s v="INV-2026-03137"/>
    <x v="40"/>
    <s v="Central"/>
    <s v="Nagpur"/>
    <s v="Retail Store"/>
    <s v="Suresh Gupta"/>
    <s v="Prime Retail"/>
    <x v="0"/>
    <s v="Notebook"/>
    <n v="3"/>
    <n v="1468.61"/>
    <n v="4405.83"/>
    <n v="106.93"/>
    <n v="0"/>
    <n v="4298.8999999999996"/>
    <s v="Cancelled"/>
    <s v="Pending"/>
  </r>
  <r>
    <s v="INV-2026-03138"/>
    <x v="17"/>
    <s v="South"/>
    <s v="Kochi"/>
    <s v="Direct Sales"/>
    <s v="Rahul Sharma"/>
    <s v="XYZ Ltd"/>
    <x v="2"/>
    <s v="Cricket Bat"/>
    <n v="42"/>
    <n v="4603.87"/>
    <n v="193362.54"/>
    <n v="0"/>
    <n v="0"/>
    <n v="193362.54"/>
    <s v="Cancelled"/>
    <s v="Pending"/>
  </r>
  <r>
    <s v="INV-2026-03139"/>
    <x v="57"/>
    <s v="West"/>
    <s v="Ahmedabad"/>
    <s v="Retail Store"/>
    <s v="Rahul Sharma"/>
    <s v="Urban Store"/>
    <x v="5"/>
    <s v="Vacuum Cleaner"/>
    <n v="25"/>
    <n v="27829.03"/>
    <n v="695725.75"/>
    <n v="57421.39"/>
    <n v="0"/>
    <n v="638304.36"/>
    <s v="Cancelled"/>
    <s v="Pending"/>
  </r>
  <r>
    <s v="INV-2026-03140"/>
    <x v="90"/>
    <s v="North"/>
    <s v="Lucknow"/>
    <s v="Online"/>
    <s v="Amit Kumar"/>
    <s v="Elite Enterprises"/>
    <x v="4"/>
    <s v="Jeans"/>
    <n v="34"/>
    <n v="31118.48"/>
    <n v="1058028.32"/>
    <n v="50470.79"/>
    <n v="305335.09000000003"/>
    <n v="702222.44"/>
    <s v="Cancelled"/>
    <s v="Pending"/>
  </r>
  <r>
    <s v="INV-2026-03141"/>
    <x v="72"/>
    <s v="North"/>
    <s v="Jaipur"/>
    <s v="Direct Sales"/>
    <s v="Anita Desai"/>
    <s v="Nexus Ltd"/>
    <x v="4"/>
    <s v="Dress"/>
    <n v="30"/>
    <n v="44134.52"/>
    <n v="1324035.6000000001"/>
    <n v="251029.71"/>
    <n v="0"/>
    <n v="1073005.8899999999"/>
    <s v="Completed"/>
    <s v="Overdue"/>
  </r>
  <r>
    <s v="INV-2026-03142"/>
    <x v="79"/>
    <s v="East"/>
    <s v="Kolkata"/>
    <s v="Direct Sales"/>
    <s v="Sneha Reddy"/>
    <s v="Metro Mart"/>
    <x v="1"/>
    <s v="Office Chair"/>
    <n v="7"/>
    <n v="41920.050000000003"/>
    <n v="293440.34999999998"/>
    <n v="0"/>
    <n v="0"/>
    <n v="293440.34999999998"/>
    <s v="Processing"/>
    <s v="Pending"/>
  </r>
  <r>
    <s v="INV-2026-03143"/>
    <x v="23"/>
    <s v="Central"/>
    <s v="Nagpur"/>
    <s v="Online"/>
    <s v="Vijay Singh"/>
    <s v="ABC Corp"/>
    <x v="0"/>
    <s v="Desk Organizer"/>
    <n v="27"/>
    <n v="7942.02"/>
    <n v="214434.54"/>
    <n v="39799.56"/>
    <n v="0"/>
    <n v="174634.98"/>
    <s v="Cancelled"/>
    <s v="Pending"/>
  </r>
  <r>
    <s v="INV-2026-03144"/>
    <x v="60"/>
    <s v="Central"/>
    <s v="Indore"/>
    <s v="Retail Store"/>
    <s v="Priya Patel"/>
    <s v="Elite Enterprises"/>
    <x v="3"/>
    <s v="Laptop"/>
    <n v="41"/>
    <n v="1626.86"/>
    <n v="66701.259999999995"/>
    <n v="0"/>
    <n v="0"/>
    <n v="66701.259999999995"/>
    <s v="Processing"/>
    <s v="Pending"/>
  </r>
  <r>
    <s v="INV-2026-03145"/>
    <x v="34"/>
    <s v="North"/>
    <s v="Delhi"/>
    <s v="Direct Sales"/>
    <s v="Meera Joshi"/>
    <s v="Tech Solutions"/>
    <x v="3"/>
    <s v="Smart Watch"/>
    <n v="30"/>
    <n v="8887.92"/>
    <n v="266637.59999999998"/>
    <n v="1578.72"/>
    <n v="0"/>
    <n v="265058.88"/>
    <s v="Pending"/>
    <s v="Paid"/>
  </r>
  <r>
    <s v="INV-2026-03146"/>
    <x v="8"/>
    <s v="West"/>
    <s v="Surat"/>
    <s v="Online"/>
    <s v="Rajesh Verma"/>
    <s v="Metro Mart"/>
    <x v="5"/>
    <s v="Air Conditioner"/>
    <n v="48"/>
    <n v="49163.83"/>
    <n v="2359863.84"/>
    <n v="53241.67"/>
    <n v="562998.74"/>
    <n v="1743623.43"/>
    <s v="Processing"/>
    <s v="Pending"/>
  </r>
  <r>
    <s v="INV-2026-03147"/>
    <x v="77"/>
    <s v="Central"/>
    <s v="Raipur"/>
    <s v="Retail Store"/>
    <s v="Amit Kumar"/>
    <s v="Alpha Trading"/>
    <x v="2"/>
    <s v="Gym Equipment"/>
    <n v="11"/>
    <n v="34402.99"/>
    <n v="378432.89"/>
    <n v="0"/>
    <n v="0"/>
    <n v="378432.89"/>
    <s v="Completed"/>
    <s v="Paid"/>
  </r>
  <r>
    <s v="INV-2026-03148"/>
    <x v="76"/>
    <s v="East"/>
    <s v="Patna"/>
    <s v="Direct Sales"/>
    <s v="Vijay Singh"/>
    <s v="Digital Hub"/>
    <x v="2"/>
    <s v="Yoga Mat"/>
    <n v="31"/>
    <n v="21469.77"/>
    <n v="665562.87"/>
    <n v="2982.04"/>
    <n v="0"/>
    <n v="662580.82999999996"/>
    <s v="Processing"/>
    <s v="Pending"/>
  </r>
  <r>
    <s v="INV-2026-03149"/>
    <x v="14"/>
    <s v="North"/>
    <s v="Lucknow"/>
    <s v="Direct Sales"/>
    <s v="Sneha Reddy"/>
    <s v="Alpha Trading"/>
    <x v="3"/>
    <s v="Smartphone"/>
    <n v="18"/>
    <n v="24588.41"/>
    <n v="442591.38"/>
    <n v="2081.0100000000002"/>
    <n v="0"/>
    <n v="440510.37"/>
    <s v="Processing"/>
    <s v="Pending"/>
  </r>
  <r>
    <s v="INV-2026-03150"/>
    <x v="88"/>
    <s v="North"/>
    <s v="Lucknow"/>
    <s v="Distributor"/>
    <s v="Rahul Sharma"/>
    <s v="Digital Hub"/>
    <x v="3"/>
    <s v="Tablet"/>
    <n v="8"/>
    <n v="12904.21"/>
    <n v="103233.68"/>
    <n v="13888.61"/>
    <n v="0"/>
    <n v="89345.07"/>
    <s v="Cancelled"/>
    <s v="Pending"/>
  </r>
  <r>
    <s v="INV-2026-03151"/>
    <x v="40"/>
    <s v="West"/>
    <s v="Pune"/>
    <s v="Retail Store"/>
    <s v="Amit Kumar"/>
    <s v="Elite Enterprises"/>
    <x v="0"/>
    <s v="Notebook"/>
    <n v="5"/>
    <n v="12453.24"/>
    <n v="62266.2"/>
    <n v="4722.3900000000003"/>
    <n v="0"/>
    <n v="57543.81"/>
    <s v="Cancelled"/>
    <s v="Pending"/>
  </r>
  <r>
    <s v="INV-2026-03152"/>
    <x v="53"/>
    <s v="West"/>
    <s v="Mumbai"/>
    <s v="Distributor"/>
    <s v="Sneha Reddy"/>
    <s v="Omega Stores"/>
    <x v="1"/>
    <s v="Bookshelf"/>
    <n v="2"/>
    <n v="27856.47"/>
    <n v="55712.94"/>
    <n v="0"/>
    <n v="0"/>
    <n v="55712.94"/>
    <s v="Pending"/>
    <s v="Paid"/>
  </r>
  <r>
    <s v="INV-2026-03153"/>
    <x v="31"/>
    <s v="South"/>
    <s v="Bangalore"/>
    <s v="Retail Store"/>
    <s v="Amit Kumar"/>
    <s v="XYZ Ltd"/>
    <x v="2"/>
    <s v="Bicycle"/>
    <n v="39"/>
    <n v="47828.83"/>
    <n v="1865324.37"/>
    <n v="243158.7"/>
    <n v="0"/>
    <n v="1622165.67"/>
    <s v="Processing"/>
    <s v="Pending"/>
  </r>
  <r>
    <s v="INV-2026-03154"/>
    <x v="52"/>
    <s v="West"/>
    <s v="Mumbai"/>
    <s v="Distributor"/>
    <s v="Priya Patel"/>
    <s v="Future Tech"/>
    <x v="0"/>
    <s v="Whiteboard"/>
    <n v="5"/>
    <n v="3743.14"/>
    <n v="18715.7"/>
    <n v="3285.34"/>
    <n v="0"/>
    <n v="15430.36"/>
    <s v="Completed"/>
    <s v="Paid"/>
  </r>
  <r>
    <s v="INV-2026-03155"/>
    <x v="10"/>
    <s v="West"/>
    <s v="Ahmedabad"/>
    <s v="Distributor"/>
    <s v="Kavita Nair"/>
    <s v="Future Tech"/>
    <x v="2"/>
    <s v="Yoga Mat"/>
    <n v="26"/>
    <n v="7159.91"/>
    <n v="186157.66"/>
    <n v="0"/>
    <n v="0"/>
    <n v="186157.66"/>
    <s v="Cancelled"/>
    <s v="Pending"/>
  </r>
  <r>
    <s v="INV-2026-03156"/>
    <x v="29"/>
    <s v="East"/>
    <s v="Guwahati"/>
    <s v="Online"/>
    <s v="Rahul Sharma"/>
    <s v="Omega Stores"/>
    <x v="2"/>
    <s v="Gym Equipment"/>
    <n v="17"/>
    <n v="37166.76"/>
    <n v="631834.92000000004"/>
    <n v="61783.91"/>
    <n v="0"/>
    <n v="570051.01"/>
    <s v="Cancelled"/>
    <s v="Pending"/>
  </r>
  <r>
    <s v="INV-2026-03157"/>
    <x v="31"/>
    <s v="West"/>
    <s v="Ahmedabad"/>
    <s v="Distributor"/>
    <s v="Rajesh Verma"/>
    <s v="Digital Hub"/>
    <x v="3"/>
    <s v="Laptop"/>
    <n v="36"/>
    <n v="4333.96"/>
    <n v="156022.56"/>
    <n v="0"/>
    <n v="0"/>
    <n v="156022.56"/>
    <s v="Pending"/>
    <s v="Paid"/>
  </r>
  <r>
    <s v="INV-2026-03158"/>
    <x v="73"/>
    <s v="East"/>
    <s v="Kolkata"/>
    <s v="Direct Sales"/>
    <s v="Sneha Reddy"/>
    <s v="ABC Corp"/>
    <x v="4"/>
    <s v="Shoes"/>
    <n v="47"/>
    <n v="40319.449999999997"/>
    <n v="1895014.15"/>
    <n v="250789.99"/>
    <n v="208342.1"/>
    <n v="1435882.06"/>
    <s v="Processing"/>
    <s v="Pending"/>
  </r>
  <r>
    <s v="INV-2026-03159"/>
    <x v="48"/>
    <s v="South"/>
    <s v="Chennai"/>
    <s v="Online"/>
    <s v="Anita Desai"/>
    <s v="Prime Retail"/>
    <x v="2"/>
    <s v="Football"/>
    <n v="12"/>
    <n v="9081"/>
    <n v="108972"/>
    <n v="0"/>
    <n v="7671.86"/>
    <n v="101300.14"/>
    <s v="Cancelled"/>
    <s v="Pending"/>
  </r>
  <r>
    <s v="INV-2026-03160"/>
    <x v="5"/>
    <s v="South"/>
    <s v="Chennai"/>
    <s v="Distributor"/>
    <s v="Anita Desai"/>
    <s v="XYZ Ltd"/>
    <x v="1"/>
    <s v="Desk"/>
    <n v="38"/>
    <n v="22959.68"/>
    <n v="872467.84"/>
    <n v="0"/>
    <n v="0"/>
    <n v="872467.84"/>
    <s v="Completed"/>
    <s v="Overdue"/>
  </r>
  <r>
    <s v="INV-2026-03161"/>
    <x v="68"/>
    <s v="East"/>
    <s v="Guwahati"/>
    <s v="Retail Store"/>
    <s v="Vijay Singh"/>
    <s v="Urban Store"/>
    <x v="2"/>
    <s v="Bicycle"/>
    <n v="43"/>
    <n v="7634.22"/>
    <n v="328271.46000000002"/>
    <n v="46410.33"/>
    <n v="0"/>
    <n v="281861.13"/>
    <s v="Completed"/>
    <s v="Paid"/>
  </r>
  <r>
    <s v="INV-2026-03162"/>
    <x v="78"/>
    <s v="South"/>
    <s v="Hyderabad"/>
    <s v="Direct Sales"/>
    <s v="Rajesh Verma"/>
    <s v="ABC Corp"/>
    <x v="1"/>
    <s v="Conference Table"/>
    <n v="27"/>
    <n v="43597.74"/>
    <n v="1177138.98"/>
    <n v="212821.27"/>
    <n v="0"/>
    <n v="964317.71"/>
    <s v="Pending"/>
    <s v="Pending"/>
  </r>
  <r>
    <s v="INV-2026-03163"/>
    <x v="79"/>
    <s v="Central"/>
    <s v="Bhopal"/>
    <s v="Online"/>
    <s v="Meera Joshi"/>
    <s v="Metro Mart"/>
    <x v="1"/>
    <s v="Conference Table"/>
    <n v="30"/>
    <n v="48258.63"/>
    <n v="1447758.9"/>
    <n v="105088.54"/>
    <n v="0"/>
    <n v="1342670.36"/>
    <s v="Processing"/>
    <s v="Paid"/>
  </r>
  <r>
    <s v="INV-2026-03164"/>
    <x v="71"/>
    <s v="East"/>
    <s v="Bhubaneswar"/>
    <s v="Online"/>
    <s v="Priya Patel"/>
    <s v="Tech Solutions"/>
    <x v="5"/>
    <s v="Microwave"/>
    <n v="35"/>
    <n v="33624.559999999998"/>
    <n v="1176859.6000000001"/>
    <n v="0"/>
    <n v="0"/>
    <n v="1176859.6000000001"/>
    <s v="Processing"/>
    <s v="Pending"/>
  </r>
  <r>
    <s v="INV-2026-03165"/>
    <x v="45"/>
    <s v="North"/>
    <s v="Chandigarh"/>
    <s v="Direct Sales"/>
    <s v="Suresh Gupta"/>
    <s v="Alpha Trading"/>
    <x v="0"/>
    <s v="Whiteboard"/>
    <n v="48"/>
    <n v="19809.48"/>
    <n v="950855.04"/>
    <n v="40863.53"/>
    <n v="0"/>
    <n v="909991.51"/>
    <s v="Processing"/>
    <s v="Pending"/>
  </r>
  <r>
    <s v="INV-2026-03166"/>
    <x v="15"/>
    <s v="South"/>
    <s v="Chennai"/>
    <s v="Retail Store"/>
    <s v="Sneha Reddy"/>
    <s v="Smart Systems"/>
    <x v="4"/>
    <s v="Formal Shirt"/>
    <n v="27"/>
    <n v="7726.77"/>
    <n v="208622.79"/>
    <n v="0"/>
    <n v="0"/>
    <n v="208622.79"/>
    <s v="Completed"/>
    <s v="Paid"/>
  </r>
  <r>
    <s v="INV-2026-03167"/>
    <x v="82"/>
    <s v="North"/>
    <s v="Jaipur"/>
    <s v="Distributor"/>
    <s v="Suresh Gupta"/>
    <s v="Future Tech"/>
    <x v="4"/>
    <s v="Shoes"/>
    <n v="43"/>
    <n v="20406.560000000001"/>
    <n v="877482.08"/>
    <n v="152193"/>
    <n v="0"/>
    <n v="725289.08"/>
    <s v="Processing"/>
    <s v="Pending"/>
  </r>
  <r>
    <s v="INV-2026-03168"/>
    <x v="87"/>
    <s v="North"/>
    <s v="Lucknow"/>
    <s v="Online"/>
    <s v="Meera Joshi"/>
    <s v="Digital Hub"/>
    <x v="3"/>
    <s v="Headphones"/>
    <n v="12"/>
    <n v="40764.300000000003"/>
    <n v="489171.6"/>
    <n v="71993.490000000005"/>
    <n v="0"/>
    <n v="417178.11"/>
    <s v="Processing"/>
    <s v="Pending"/>
  </r>
  <r>
    <s v="INV-2026-03169"/>
    <x v="65"/>
    <s v="West"/>
    <s v="Surat"/>
    <s v="Retail Store"/>
    <s v="Rajesh Verma"/>
    <s v="Prime Retail"/>
    <x v="5"/>
    <s v="TV"/>
    <n v="17"/>
    <n v="4125.67"/>
    <n v="70136.39"/>
    <n v="566.87"/>
    <n v="0"/>
    <n v="69569.52"/>
    <s v="Pending"/>
    <s v="Pending"/>
  </r>
  <r>
    <s v="INV-2026-03170"/>
    <x v="22"/>
    <s v="East"/>
    <s v="Patna"/>
    <s v="Direct Sales"/>
    <s v="Rajesh Verma"/>
    <s v="Nexus Ltd"/>
    <x v="4"/>
    <s v="Dress"/>
    <n v="44"/>
    <n v="16458.5"/>
    <n v="724174"/>
    <n v="127545.03"/>
    <n v="0"/>
    <n v="596628.97"/>
    <s v="Completed"/>
    <s v="Paid"/>
  </r>
  <r>
    <s v="INV-2026-03171"/>
    <x v="60"/>
    <s v="North"/>
    <s v="Lucknow"/>
    <s v="Direct Sales"/>
    <s v="Vijay Singh"/>
    <s v="Tech Solutions"/>
    <x v="2"/>
    <s v="Yoga Mat"/>
    <n v="13"/>
    <n v="4242.01"/>
    <n v="55146.13"/>
    <n v="11012.39"/>
    <n v="0"/>
    <n v="44133.74"/>
    <s v="Completed"/>
    <s v="Paid"/>
  </r>
  <r>
    <s v="INV-2026-03172"/>
    <x v="14"/>
    <s v="North"/>
    <s v="Chandigarh"/>
    <s v="Distributor"/>
    <s v="Amit Kumar"/>
    <s v="Metro Mart"/>
    <x v="2"/>
    <s v="Gym Equipment"/>
    <n v="46"/>
    <n v="15337.02"/>
    <n v="705502.92"/>
    <n v="0"/>
    <n v="0"/>
    <n v="705502.92"/>
    <s v="Completed"/>
    <s v="Paid"/>
  </r>
  <r>
    <s v="INV-2026-03173"/>
    <x v="59"/>
    <s v="Central"/>
    <s v="Bhopal"/>
    <s v="Distributor"/>
    <s v="Kavita Nair"/>
    <s v="Digital Hub"/>
    <x v="1"/>
    <s v="Conference Table"/>
    <n v="23"/>
    <n v="24771.57"/>
    <n v="569746.11"/>
    <n v="4443.6499999999996"/>
    <n v="0"/>
    <n v="565302.46"/>
    <s v="Completed"/>
    <s v="Paid"/>
  </r>
  <r>
    <s v="INV-2026-03174"/>
    <x v="43"/>
    <s v="South"/>
    <s v="Hyderabad"/>
    <s v="Direct Sales"/>
    <s v="Meera Joshi"/>
    <s v="ABC Corp"/>
    <x v="1"/>
    <s v="Bookshelf"/>
    <n v="45"/>
    <n v="36914.54"/>
    <n v="1661154.3"/>
    <n v="0"/>
    <n v="0"/>
    <n v="1661154.3"/>
    <s v="Cancelled"/>
    <s v="Pending"/>
  </r>
  <r>
    <s v="INV-2026-03175"/>
    <x v="77"/>
    <s v="West"/>
    <s v="Surat"/>
    <s v="Retail Store"/>
    <s v="Kavita Nair"/>
    <s v="Global Traders"/>
    <x v="5"/>
    <s v="Washing Machine"/>
    <n v="26"/>
    <n v="39591.620000000003"/>
    <n v="1029382.12"/>
    <n v="22438.799999999999"/>
    <n v="0"/>
    <n v="1006943.32"/>
    <s v="Cancelled"/>
    <s v="Pending"/>
  </r>
  <r>
    <s v="INV-2026-03176"/>
    <x v="5"/>
    <s v="North"/>
    <s v="Jaipur"/>
    <s v="Retail Store"/>
    <s v="Suresh Gupta"/>
    <s v="Global Traders"/>
    <x v="3"/>
    <s v="Tablet"/>
    <n v="7"/>
    <n v="30767.39"/>
    <n v="215371.73"/>
    <n v="10814.16"/>
    <n v="0"/>
    <n v="204557.57"/>
    <s v="Processing"/>
    <s v="Pending"/>
  </r>
  <r>
    <s v="INV-2026-03177"/>
    <x v="74"/>
    <s v="Central"/>
    <s v="Bhopal"/>
    <s v="Online"/>
    <s v="Suresh Gupta"/>
    <s v="Global Traders"/>
    <x v="4"/>
    <s v="Jeans"/>
    <n v="30"/>
    <n v="38312.46"/>
    <n v="1149373.8"/>
    <n v="21197.85"/>
    <n v="292084.12"/>
    <n v="836091.83"/>
    <s v="Cancelled"/>
    <s v="Pending"/>
  </r>
  <r>
    <s v="INV-2026-03178"/>
    <x v="22"/>
    <s v="South"/>
    <s v="Hyderabad"/>
    <s v="Distributor"/>
    <s v="Rajesh Verma"/>
    <s v="Metro Mart"/>
    <x v="2"/>
    <s v="Tennis Racket"/>
    <n v="30"/>
    <n v="28821.53"/>
    <n v="864645.9"/>
    <n v="44352.45"/>
    <n v="0"/>
    <n v="820293.45"/>
    <s v="Processing"/>
    <s v="Paid"/>
  </r>
  <r>
    <s v="INV-2026-03179"/>
    <x v="1"/>
    <s v="North"/>
    <s v="Lucknow"/>
    <s v="Direct Sales"/>
    <s v="Rahul Sharma"/>
    <s v="Global Traders"/>
    <x v="2"/>
    <s v="Bicycle"/>
    <n v="44"/>
    <n v="27296.71"/>
    <n v="1201055.24"/>
    <n v="229132.24"/>
    <n v="0"/>
    <n v="971923"/>
    <s v="Cancelled"/>
    <s v="Pending"/>
  </r>
  <r>
    <s v="INV-2026-03180"/>
    <x v="77"/>
    <s v="Central"/>
    <s v="Bhopal"/>
    <s v="Distributor"/>
    <s v="Vijay Singh"/>
    <s v="Smart Systems"/>
    <x v="5"/>
    <s v="Microwave"/>
    <n v="34"/>
    <n v="45784.65"/>
    <n v="1556678.1"/>
    <n v="63708.45"/>
    <n v="0"/>
    <n v="1492969.65"/>
    <s v="Processing"/>
    <s v="Paid"/>
  </r>
  <r>
    <s v="INV-2026-03181"/>
    <x v="24"/>
    <s v="South"/>
    <s v="Bangalore"/>
    <s v="Retail Store"/>
    <s v="Meera Joshi"/>
    <s v="Smart Systems"/>
    <x v="3"/>
    <s v="Laptop"/>
    <n v="22"/>
    <n v="21233.89"/>
    <n v="467145.58"/>
    <n v="45906.98"/>
    <n v="2087.36"/>
    <n v="419151.24"/>
    <s v="Completed"/>
    <s v="Paid"/>
  </r>
  <r>
    <s v="INV-2026-03182"/>
    <x v="65"/>
    <s v="West"/>
    <s v="Ahmedabad"/>
    <s v="Direct Sales"/>
    <s v="Amit Kumar"/>
    <s v="Skyline Corp"/>
    <x v="3"/>
    <s v="Smart Watch"/>
    <n v="23"/>
    <n v="17512.21"/>
    <n v="402780.83"/>
    <n v="53379.19"/>
    <n v="0"/>
    <n v="349401.64"/>
    <s v="Completed"/>
    <s v="Paid"/>
  </r>
  <r>
    <s v="INV-2026-03183"/>
    <x v="47"/>
    <s v="North"/>
    <s v="Delhi"/>
    <s v="Direct Sales"/>
    <s v="Sneha Reddy"/>
    <s v="Skyline Corp"/>
    <x v="2"/>
    <s v="Tennis Racket"/>
    <n v="19"/>
    <n v="38652.879999999997"/>
    <n v="734404.72"/>
    <n v="144054.60999999999"/>
    <n v="0"/>
    <n v="590350.11"/>
    <s v="Completed"/>
    <s v="Paid"/>
  </r>
  <r>
    <s v="INV-2026-03184"/>
    <x v="29"/>
    <s v="Central"/>
    <s v="Indore"/>
    <s v="Distributor"/>
    <s v="Priya Patel"/>
    <s v="Global Traders"/>
    <x v="2"/>
    <s v="Yoga Mat"/>
    <n v="16"/>
    <n v="42477.1"/>
    <n v="679633.6"/>
    <n v="108220.72"/>
    <n v="0"/>
    <n v="571412.88"/>
    <s v="Pending"/>
    <s v="Pending"/>
  </r>
  <r>
    <s v="INV-2026-03185"/>
    <x v="41"/>
    <s v="Central"/>
    <s v="Bhopal"/>
    <s v="Online"/>
    <s v="Meera Joshi"/>
    <s v="Urban Store"/>
    <x v="1"/>
    <s v="Bookshelf"/>
    <n v="23"/>
    <n v="31490.43"/>
    <n v="724279.89"/>
    <n v="14353.27"/>
    <n v="0"/>
    <n v="709926.62"/>
    <s v="Completed"/>
    <s v="Paid"/>
  </r>
  <r>
    <s v="INV-2026-03186"/>
    <x v="90"/>
    <s v="Central"/>
    <s v="Indore"/>
    <s v="Retail Store"/>
    <s v="Anita Desai"/>
    <s v="Elite Enterprises"/>
    <x v="2"/>
    <s v="Cricket Bat"/>
    <n v="36"/>
    <n v="3174.56"/>
    <n v="114284.16"/>
    <n v="16871.689999999999"/>
    <n v="0"/>
    <n v="97412.47"/>
    <s v="Completed"/>
    <s v="Paid"/>
  </r>
  <r>
    <s v="INV-2026-03187"/>
    <x v="62"/>
    <s v="West"/>
    <s v="Mumbai"/>
    <s v="Direct Sales"/>
    <s v="Kavita Nair"/>
    <s v="ABC Corp"/>
    <x v="1"/>
    <s v="Sofa"/>
    <n v="35"/>
    <n v="47647.08"/>
    <n v="1667647.8"/>
    <n v="205881.01"/>
    <n v="0"/>
    <n v="1461766.79"/>
    <s v="Pending"/>
    <s v="Pending"/>
  </r>
  <r>
    <s v="INV-2026-03188"/>
    <x v="67"/>
    <s v="North"/>
    <s v="Delhi"/>
    <s v="Direct Sales"/>
    <s v="Rahul Sharma"/>
    <s v="Elite Enterprises"/>
    <x v="2"/>
    <s v="Cricket Bat"/>
    <n v="26"/>
    <n v="12026.73"/>
    <n v="312694.98"/>
    <n v="0"/>
    <n v="0"/>
    <n v="312694.98"/>
    <s v="Completed"/>
    <s v="Paid"/>
  </r>
  <r>
    <s v="INV-2026-03189"/>
    <x v="82"/>
    <s v="South"/>
    <s v="Chennai"/>
    <s v="Direct Sales"/>
    <s v="Rahul Sharma"/>
    <s v="Smart Systems"/>
    <x v="4"/>
    <s v="T-Shirt"/>
    <n v="28"/>
    <n v="9011.67"/>
    <n v="252326.76"/>
    <n v="0"/>
    <n v="0"/>
    <n v="252326.76"/>
    <s v="Pending"/>
    <s v="Pending"/>
  </r>
  <r>
    <s v="INV-2026-03190"/>
    <x v="34"/>
    <s v="West"/>
    <s v="Surat"/>
    <s v="Distributor"/>
    <s v="Amit Kumar"/>
    <s v="Alpha Trading"/>
    <x v="2"/>
    <s v="Gym Equipment"/>
    <n v="43"/>
    <n v="15873.63"/>
    <n v="682566.09"/>
    <n v="0"/>
    <n v="0"/>
    <n v="682566.09"/>
    <s v="Processing"/>
    <s v="Pending"/>
  </r>
  <r>
    <s v="INV-2026-03191"/>
    <x v="17"/>
    <s v="West"/>
    <s v="Mumbai"/>
    <s v="Online"/>
    <s v="Suresh Gupta"/>
    <s v="ABC Corp"/>
    <x v="3"/>
    <s v="Tablet"/>
    <n v="21"/>
    <n v="45296.66"/>
    <n v="951229.86"/>
    <n v="0"/>
    <n v="0"/>
    <n v="951229.86"/>
    <s v="Completed"/>
    <s v="Paid"/>
  </r>
  <r>
    <s v="INV-2026-03192"/>
    <x v="88"/>
    <s v="North"/>
    <s v="Jaipur"/>
    <s v="Direct Sales"/>
    <s v="Rajesh Verma"/>
    <s v="Future Tech"/>
    <x v="3"/>
    <s v="Smartphone"/>
    <n v="17"/>
    <n v="23429.51"/>
    <n v="398301.67"/>
    <n v="0"/>
    <n v="0"/>
    <n v="398301.67"/>
    <s v="Cancelled"/>
    <s v="Pending"/>
  </r>
  <r>
    <s v="INV-2026-03193"/>
    <x v="64"/>
    <s v="Central"/>
    <s v="Bhopal"/>
    <s v="Online"/>
    <s v="Priya Patel"/>
    <s v="Skyline Corp"/>
    <x v="1"/>
    <s v="Sofa"/>
    <n v="48"/>
    <n v="11240.28"/>
    <n v="539533.43999999994"/>
    <n v="52733.09"/>
    <n v="80544.22"/>
    <n v="406256.13"/>
    <s v="Completed"/>
    <s v="Paid"/>
  </r>
  <r>
    <s v="INV-2026-03194"/>
    <x v="39"/>
    <s v="North"/>
    <s v="Delhi"/>
    <s v="Online"/>
    <s v="Sneha Reddy"/>
    <s v="Tech Solutions"/>
    <x v="5"/>
    <s v="Air Conditioner"/>
    <n v="15"/>
    <n v="14005.41"/>
    <n v="210081.15"/>
    <n v="3946.16"/>
    <n v="33419.120000000003"/>
    <n v="172715.87"/>
    <s v="Completed"/>
    <s v="Paid"/>
  </r>
  <r>
    <s v="INV-2026-03195"/>
    <x v="36"/>
    <s v="North"/>
    <s v="Delhi"/>
    <s v="Retail Store"/>
    <s v="Vijay Singh"/>
    <s v="Future Tech"/>
    <x v="3"/>
    <s v="Headphones"/>
    <n v="5"/>
    <n v="13428.28"/>
    <n v="67141.399999999994"/>
    <n v="6639.86"/>
    <n v="0"/>
    <n v="60501.54"/>
    <s v="Processing"/>
    <s v="Pending"/>
  </r>
  <r>
    <s v="INV-2026-03196"/>
    <x v="75"/>
    <s v="South"/>
    <s v="Kochi"/>
    <s v="Direct Sales"/>
    <s v="Suresh Gupta"/>
    <s v="Alpha Trading"/>
    <x v="5"/>
    <s v="Refrigerator"/>
    <n v="27"/>
    <n v="7798.65"/>
    <n v="210563.55"/>
    <n v="0"/>
    <n v="0"/>
    <n v="210563.55"/>
    <s v="Pending"/>
    <s v="Paid"/>
  </r>
  <r>
    <s v="INV-2026-03197"/>
    <x v="72"/>
    <s v="North"/>
    <s v="Lucknow"/>
    <s v="Retail Store"/>
    <s v="Anita Desai"/>
    <s v="Smart Systems"/>
    <x v="5"/>
    <s v="Microwave"/>
    <n v="47"/>
    <n v="42696.78"/>
    <n v="2006748.66"/>
    <n v="38020.6"/>
    <n v="0"/>
    <n v="1968728.06"/>
    <s v="Cancelled"/>
    <s v="Pending"/>
  </r>
  <r>
    <s v="INV-2026-03198"/>
    <x v="56"/>
    <s v="East"/>
    <s v="Guwahati"/>
    <s v="Retail Store"/>
    <s v="Rahul Sharma"/>
    <s v="Future Tech"/>
    <x v="1"/>
    <s v="Bookshelf"/>
    <n v="49"/>
    <n v="10129.200000000001"/>
    <n v="496330.8"/>
    <n v="30623.96"/>
    <n v="0"/>
    <n v="465706.84"/>
    <s v="Processing"/>
    <s v="Pending"/>
  </r>
  <r>
    <s v="INV-2026-03199"/>
    <x v="40"/>
    <s v="North"/>
    <s v="Delhi"/>
    <s v="Direct Sales"/>
    <s v="Sneha Reddy"/>
    <s v="Elite Enterprises"/>
    <x v="1"/>
    <s v="Desk"/>
    <n v="3"/>
    <n v="4339.1000000000004"/>
    <n v="13017.3"/>
    <n v="1690.47"/>
    <n v="0"/>
    <n v="11326.83"/>
    <s v="Completed"/>
    <s v="Paid"/>
  </r>
  <r>
    <s v="INV-2026-03200"/>
    <x v="3"/>
    <s v="North"/>
    <s v="Jaipur"/>
    <s v="Online"/>
    <s v="Suresh Gupta"/>
    <s v="Urban Store"/>
    <x v="4"/>
    <s v="Jeans"/>
    <n v="45"/>
    <n v="44797.59"/>
    <n v="2015891.55"/>
    <n v="66644.3"/>
    <n v="0"/>
    <n v="1949247.25"/>
    <s v="Cancelled"/>
    <s v="Pending"/>
  </r>
  <r>
    <s v="INV-2026-03201"/>
    <x v="0"/>
    <s v="South"/>
    <s v="Chennai"/>
    <s v="Retail Store"/>
    <s v="Sneha Reddy"/>
    <s v="Tech Solutions"/>
    <x v="0"/>
    <s v="File Folder"/>
    <n v="49"/>
    <n v="41758.67"/>
    <n v="2046174.83"/>
    <n v="64565.4"/>
    <n v="0"/>
    <n v="1981609.43"/>
    <s v="Processing"/>
    <s v="Paid"/>
  </r>
  <r>
    <s v="INV-2026-03202"/>
    <x v="28"/>
    <s v="South"/>
    <s v="Chennai"/>
    <s v="Direct Sales"/>
    <s v="Rajesh Verma"/>
    <s v="ABC Corp"/>
    <x v="1"/>
    <s v="Sofa"/>
    <n v="49"/>
    <n v="4245.8999999999996"/>
    <n v="208049.1"/>
    <n v="0"/>
    <n v="0"/>
    <n v="208049.1"/>
    <s v="Processing"/>
    <s v="Pending"/>
  </r>
  <r>
    <s v="INV-2026-03203"/>
    <x v="77"/>
    <s v="South"/>
    <s v="Hyderabad"/>
    <s v="Direct Sales"/>
    <s v="Rahul Sharma"/>
    <s v="Omega Stores"/>
    <x v="5"/>
    <s v="Vacuum Cleaner"/>
    <n v="14"/>
    <n v="28536.66"/>
    <n v="399513.24"/>
    <n v="51740.95"/>
    <n v="0"/>
    <n v="347772.29"/>
    <s v="Completed"/>
    <s v="Paid"/>
  </r>
  <r>
    <s v="INV-2026-03204"/>
    <x v="45"/>
    <s v="Central"/>
    <s v="Nagpur"/>
    <s v="Online"/>
    <s v="Vijay Singh"/>
    <s v="ABC Corp"/>
    <x v="3"/>
    <s v="Smart Watch"/>
    <n v="25"/>
    <n v="15313.66"/>
    <n v="382841.5"/>
    <n v="0"/>
    <n v="0"/>
    <n v="382841.5"/>
    <s v="Pending"/>
    <s v="Paid"/>
  </r>
  <r>
    <s v="INV-2026-03205"/>
    <x v="42"/>
    <s v="West"/>
    <s v="Surat"/>
    <s v="Online"/>
    <s v="Anita Desai"/>
    <s v="Omega Stores"/>
    <x v="0"/>
    <s v="Printer Paper"/>
    <n v="44"/>
    <n v="45865.67"/>
    <n v="2018089.48"/>
    <n v="340911.65"/>
    <n v="147457.89000000001"/>
    <n v="1529719.94"/>
    <s v="Cancelled"/>
    <s v="Pending"/>
  </r>
  <r>
    <s v="INV-2026-03206"/>
    <x v="6"/>
    <s v="West"/>
    <s v="Mumbai"/>
    <s v="Online"/>
    <s v="Anita Desai"/>
    <s v="Urban Store"/>
    <x v="4"/>
    <s v="Formal Shirt"/>
    <n v="20"/>
    <n v="44963.69"/>
    <n v="899273.8"/>
    <n v="0"/>
    <n v="0"/>
    <n v="899273.8"/>
    <s v="Cancelled"/>
    <s v="Pending"/>
  </r>
  <r>
    <s v="INV-2026-03207"/>
    <x v="87"/>
    <s v="South"/>
    <s v="Chennai"/>
    <s v="Retail Store"/>
    <s v="Meera Joshi"/>
    <s v="Elite Enterprises"/>
    <x v="0"/>
    <s v="Desk Organizer"/>
    <n v="11"/>
    <n v="48376.03"/>
    <n v="532136.32999999996"/>
    <n v="0"/>
    <n v="0"/>
    <n v="532136.32999999996"/>
    <s v="Pending"/>
    <s v="Pending"/>
  </r>
  <r>
    <s v="INV-2026-03208"/>
    <x v="43"/>
    <s v="South"/>
    <s v="Chennai"/>
    <s v="Distributor"/>
    <s v="Kavita Nair"/>
    <s v="Tech Solutions"/>
    <x v="3"/>
    <s v="Headphones"/>
    <n v="25"/>
    <n v="21556.31"/>
    <n v="538907.75"/>
    <n v="0"/>
    <n v="0"/>
    <n v="538907.75"/>
    <s v="Cancelled"/>
    <s v="Pending"/>
  </r>
  <r>
    <s v="INV-2026-03209"/>
    <x v="59"/>
    <s v="South"/>
    <s v="Chennai"/>
    <s v="Retail Store"/>
    <s v="Suresh Gupta"/>
    <s v="Tech Solutions"/>
    <x v="5"/>
    <s v="TV"/>
    <n v="7"/>
    <n v="19014.32"/>
    <n v="133100.24"/>
    <n v="4605.9399999999996"/>
    <n v="0"/>
    <n v="128494.3"/>
    <s v="Completed"/>
    <s v="Paid"/>
  </r>
  <r>
    <s v="INV-2026-03210"/>
    <x v="80"/>
    <s v="East"/>
    <s v="Bhubaneswar"/>
    <s v="Retail Store"/>
    <s v="Sneha Reddy"/>
    <s v="Prime Retail"/>
    <x v="2"/>
    <s v="Cricket Bat"/>
    <n v="49"/>
    <n v="22832.53"/>
    <n v="1118793.97"/>
    <n v="0"/>
    <n v="0"/>
    <n v="1118793.97"/>
    <s v="Processing"/>
    <s v="Pending"/>
  </r>
  <r>
    <s v="INV-2026-03211"/>
    <x v="31"/>
    <s v="North"/>
    <s v="Lucknow"/>
    <s v="Online"/>
    <s v="Amit Kumar"/>
    <s v="Urban Store"/>
    <x v="3"/>
    <s v="Camera"/>
    <n v="2"/>
    <n v="38875.08"/>
    <n v="77750.16"/>
    <n v="10989.9"/>
    <n v="0"/>
    <n v="66760.259999999995"/>
    <s v="Pending"/>
    <s v="Paid"/>
  </r>
  <r>
    <s v="INV-2026-03212"/>
    <x v="51"/>
    <s v="North"/>
    <s v="Jaipur"/>
    <s v="Online"/>
    <s v="Amit Kumar"/>
    <s v="Global Traders"/>
    <x v="2"/>
    <s v="Bicycle"/>
    <n v="50"/>
    <n v="29317.74"/>
    <n v="1465887"/>
    <n v="0"/>
    <n v="0"/>
    <n v="1465887"/>
    <s v="Pending"/>
    <s v="Pending"/>
  </r>
  <r>
    <s v="INV-2026-03213"/>
    <x v="49"/>
    <s v="West"/>
    <s v="Pune"/>
    <s v="Online"/>
    <s v="Rahul Sharma"/>
    <s v="Urban Store"/>
    <x v="5"/>
    <s v="Air Conditioner"/>
    <n v="38"/>
    <n v="38130.46"/>
    <n v="1448957.48"/>
    <n v="84186.4"/>
    <n v="0"/>
    <n v="1364771.08"/>
    <s v="Processing"/>
    <s v="Pending"/>
  </r>
  <r>
    <s v="INV-2026-03214"/>
    <x v="6"/>
    <s v="Central"/>
    <s v="Bhopal"/>
    <s v="Online"/>
    <s v="Amit Kumar"/>
    <s v="Omega Stores"/>
    <x v="1"/>
    <s v="Conference Table"/>
    <n v="42"/>
    <n v="20498.46"/>
    <n v="860935.32"/>
    <n v="129430.66"/>
    <n v="205873.28"/>
    <n v="525631.38"/>
    <s v="Pending"/>
    <s v="Pending"/>
  </r>
  <r>
    <s v="INV-2026-03215"/>
    <x v="6"/>
    <s v="East"/>
    <s v="Bhubaneswar"/>
    <s v="Retail Store"/>
    <s v="Vijay Singh"/>
    <s v="Omega Stores"/>
    <x v="4"/>
    <s v="Jeans"/>
    <n v="14"/>
    <n v="2418.15"/>
    <n v="33854.1"/>
    <n v="0"/>
    <n v="3965.98"/>
    <n v="29888.12"/>
    <s v="Completed"/>
    <s v="Paid"/>
  </r>
  <r>
    <s v="INV-2026-03216"/>
    <x v="23"/>
    <s v="East"/>
    <s v="Guwahati"/>
    <s v="Retail Store"/>
    <s v="Rajesh Verma"/>
    <s v="Digital Hub"/>
    <x v="4"/>
    <s v="Jeans"/>
    <n v="46"/>
    <n v="44814.05"/>
    <n v="2061446.3"/>
    <n v="73057.990000000005"/>
    <n v="0"/>
    <n v="1988388.31"/>
    <s v="Processing"/>
    <s v="Pending"/>
  </r>
  <r>
    <s v="INV-2026-03217"/>
    <x v="24"/>
    <s v="North"/>
    <s v="Delhi"/>
    <s v="Direct Sales"/>
    <s v="Amit Kumar"/>
    <s v="Smart Systems"/>
    <x v="3"/>
    <s v="Headphones"/>
    <n v="36"/>
    <n v="40042.61"/>
    <n v="1441533.96"/>
    <n v="67206.31"/>
    <n v="0"/>
    <n v="1374327.65"/>
    <s v="Cancelled"/>
    <s v="Pending"/>
  </r>
  <r>
    <s v="INV-2026-03218"/>
    <x v="73"/>
    <s v="East"/>
    <s v="Patna"/>
    <s v="Direct Sales"/>
    <s v="Vijay Singh"/>
    <s v="Metro Mart"/>
    <x v="0"/>
    <s v="Pen Set"/>
    <n v="15"/>
    <n v="16014.44"/>
    <n v="240216.6"/>
    <n v="46735.45"/>
    <n v="16684.7"/>
    <n v="176796.45"/>
    <s v="Completed"/>
    <s v="Paid"/>
  </r>
  <r>
    <s v="INV-2026-03219"/>
    <x v="33"/>
    <s v="South"/>
    <s v="Kochi"/>
    <s v="Direct Sales"/>
    <s v="Sneha Reddy"/>
    <s v="Smart Systems"/>
    <x v="1"/>
    <s v="Desk"/>
    <n v="19"/>
    <n v="15392.29"/>
    <n v="292453.51"/>
    <n v="0"/>
    <n v="0"/>
    <n v="292453.51"/>
    <s v="Cancelled"/>
    <s v="Pending"/>
  </r>
  <r>
    <s v="INV-2026-03220"/>
    <x v="41"/>
    <s v="Central"/>
    <s v="Bhopal"/>
    <s v="Retail Store"/>
    <s v="Rajesh Verma"/>
    <s v="Nexus Ltd"/>
    <x v="1"/>
    <s v="Sofa"/>
    <n v="28"/>
    <n v="17085.400000000001"/>
    <n v="478391.2"/>
    <n v="0"/>
    <n v="0"/>
    <n v="478391.2"/>
    <s v="Cancelled"/>
    <s v="Pending"/>
  </r>
  <r>
    <s v="INV-2026-03221"/>
    <x v="8"/>
    <s v="West"/>
    <s v="Mumbai"/>
    <s v="Direct Sales"/>
    <s v="Amit Kumar"/>
    <s v="Prime Retail"/>
    <x v="4"/>
    <s v="Jeans"/>
    <n v="16"/>
    <n v="32330.04"/>
    <n v="517280.64"/>
    <n v="0"/>
    <n v="0"/>
    <n v="517280.64"/>
    <s v="Cancelled"/>
    <s v="Pending"/>
  </r>
  <r>
    <s v="INV-2026-03222"/>
    <x v="68"/>
    <s v="Central"/>
    <s v="Raipur"/>
    <s v="Direct Sales"/>
    <s v="Amit Kumar"/>
    <s v="Digital Hub"/>
    <x v="2"/>
    <s v="Cricket Bat"/>
    <n v="2"/>
    <n v="19418.91"/>
    <n v="38837.82"/>
    <n v="0"/>
    <n v="0"/>
    <n v="38837.82"/>
    <s v="Cancelled"/>
    <s v="Pending"/>
  </r>
  <r>
    <s v="INV-2026-03223"/>
    <x v="8"/>
    <s v="North"/>
    <s v="Jaipur"/>
    <s v="Direct Sales"/>
    <s v="Rajesh Verma"/>
    <s v="Tech Solutions"/>
    <x v="2"/>
    <s v="Tennis Racket"/>
    <n v="16"/>
    <n v="40307.620000000003"/>
    <n v="644921.92000000004"/>
    <n v="78684.679999999993"/>
    <n v="0"/>
    <n v="566237.24"/>
    <s v="Processing"/>
    <s v="Pending"/>
  </r>
  <r>
    <s v="INV-2026-03224"/>
    <x v="91"/>
    <s v="Central"/>
    <s v="Bhopal"/>
    <s v="Distributor"/>
    <s v="Rajesh Verma"/>
    <s v="Future Tech"/>
    <x v="0"/>
    <s v="Pen Set"/>
    <n v="42"/>
    <n v="25256.22"/>
    <n v="1060761.24"/>
    <n v="0"/>
    <n v="0"/>
    <n v="1060761.24"/>
    <s v="Pending"/>
    <s v="Paid"/>
  </r>
  <r>
    <s v="INV-2026-03225"/>
    <x v="22"/>
    <s v="East"/>
    <s v="Kolkata"/>
    <s v="Online"/>
    <s v="Rahul Sharma"/>
    <s v="Elite Enterprises"/>
    <x v="3"/>
    <s v="Laptop"/>
    <n v="22"/>
    <n v="39314.28"/>
    <n v="864914.16"/>
    <n v="0"/>
    <n v="0"/>
    <n v="864914.16"/>
    <s v="Processing"/>
    <s v="Pending"/>
  </r>
  <r>
    <s v="INV-2026-03226"/>
    <x v="86"/>
    <s v="South"/>
    <s v="Kochi"/>
    <s v="Direct Sales"/>
    <s v="Rajesh Verma"/>
    <s v="Future Tech"/>
    <x v="4"/>
    <s v="T-Shirt"/>
    <n v="19"/>
    <n v="18945.37"/>
    <n v="359962.03"/>
    <n v="0"/>
    <n v="0"/>
    <n v="359962.03"/>
    <s v="Completed"/>
    <s v="Paid"/>
  </r>
  <r>
    <s v="INV-2026-03227"/>
    <x v="47"/>
    <s v="East"/>
    <s v="Kolkata"/>
    <s v="Retail Store"/>
    <s v="Meera Joshi"/>
    <s v="Tech Solutions"/>
    <x v="2"/>
    <s v="Football"/>
    <n v="47"/>
    <n v="40322.730000000003"/>
    <n v="1895168.31"/>
    <n v="325049.13"/>
    <n v="0"/>
    <n v="1570119.18"/>
    <s v="Pending"/>
    <s v="Paid"/>
  </r>
  <r>
    <s v="INV-2026-03228"/>
    <x v="87"/>
    <s v="East"/>
    <s v="Kolkata"/>
    <s v="Direct Sales"/>
    <s v="Sneha Reddy"/>
    <s v="Digital Hub"/>
    <x v="2"/>
    <s v="Football"/>
    <n v="48"/>
    <n v="6153.31"/>
    <n v="295358.88"/>
    <n v="30027.87"/>
    <n v="32610.94"/>
    <n v="232720.07"/>
    <s v="Pending"/>
    <s v="Pending"/>
  </r>
  <r>
    <s v="INV-2026-03229"/>
    <x v="73"/>
    <s v="Central"/>
    <s v="Bhopal"/>
    <s v="Online"/>
    <s v="Anita Desai"/>
    <s v="XYZ Ltd"/>
    <x v="3"/>
    <s v="Laptop"/>
    <n v="32"/>
    <n v="39496.83"/>
    <n v="1263898.56"/>
    <n v="184228.37"/>
    <n v="0"/>
    <n v="1079670.19"/>
    <s v="Processing"/>
    <s v="Paid"/>
  </r>
  <r>
    <s v="INV-2026-03230"/>
    <x v="79"/>
    <s v="South"/>
    <s v="Hyderabad"/>
    <s v="Online"/>
    <s v="Rajesh Verma"/>
    <s v="ABC Corp"/>
    <x v="1"/>
    <s v="Cabinet"/>
    <n v="4"/>
    <n v="16236.73"/>
    <n v="64946.92"/>
    <n v="0"/>
    <n v="0"/>
    <n v="64946.92"/>
    <s v="Processing"/>
    <s v="Pending"/>
  </r>
  <r>
    <s v="INV-2026-03231"/>
    <x v="42"/>
    <s v="North"/>
    <s v="Lucknow"/>
    <s v="Distributor"/>
    <s v="Meera Joshi"/>
    <s v="Alpha Trading"/>
    <x v="5"/>
    <s v="Vacuum Cleaner"/>
    <n v="20"/>
    <n v="25686.54"/>
    <n v="513730.8"/>
    <n v="0"/>
    <n v="0"/>
    <n v="513730.8"/>
    <s v="Processing"/>
    <s v="Pending"/>
  </r>
  <r>
    <s v="INV-2026-03232"/>
    <x v="74"/>
    <s v="East"/>
    <s v="Patna"/>
    <s v="Retail Store"/>
    <s v="Vijay Singh"/>
    <s v="XYZ Ltd"/>
    <x v="5"/>
    <s v="Air Conditioner"/>
    <n v="19"/>
    <n v="15738.94"/>
    <n v="299039.86"/>
    <n v="51260.81"/>
    <n v="0"/>
    <n v="247779.05"/>
    <s v="Pending"/>
    <s v="Pending"/>
  </r>
  <r>
    <s v="INV-2026-03233"/>
    <x v="44"/>
    <s v="Central"/>
    <s v="Raipur"/>
    <s v="Online"/>
    <s v="Amit Kumar"/>
    <s v="Nexus Ltd"/>
    <x v="3"/>
    <s v="Camera"/>
    <n v="32"/>
    <n v="36948.71"/>
    <n v="1182358.72"/>
    <n v="0"/>
    <n v="0"/>
    <n v="1182358.72"/>
    <s v="Pending"/>
    <s v="Pending"/>
  </r>
  <r>
    <s v="INV-2026-03234"/>
    <x v="38"/>
    <s v="East"/>
    <s v="Patna"/>
    <s v="Distributor"/>
    <s v="Rahul Sharma"/>
    <s v="Nexus Ltd"/>
    <x v="3"/>
    <s v="Camera"/>
    <n v="41"/>
    <n v="50113.83"/>
    <n v="2054667.03"/>
    <n v="0"/>
    <n v="0"/>
    <n v="2054667.03"/>
    <s v="Pending"/>
    <s v="Pending"/>
  </r>
  <r>
    <s v="INV-2026-03235"/>
    <x v="21"/>
    <s v="Central"/>
    <s v="Nagpur"/>
    <s v="Online"/>
    <s v="Priya Patel"/>
    <s v="XYZ Ltd"/>
    <x v="4"/>
    <s v="Jeans"/>
    <n v="38"/>
    <n v="13401.62"/>
    <n v="509261.56"/>
    <n v="0"/>
    <n v="0"/>
    <n v="509261.56"/>
    <s v="Completed"/>
    <s v="Pending"/>
  </r>
  <r>
    <s v="INV-2026-03236"/>
    <x v="43"/>
    <s v="Central"/>
    <s v="Indore"/>
    <s v="Direct Sales"/>
    <s v="Meera Joshi"/>
    <s v="ABC Corp"/>
    <x v="5"/>
    <s v="Microwave"/>
    <n v="38"/>
    <n v="9317.41"/>
    <n v="354061.58"/>
    <n v="8223.49"/>
    <n v="0"/>
    <n v="345838.09"/>
    <s v="Processing"/>
    <s v="Pending"/>
  </r>
  <r>
    <s v="INV-2026-03237"/>
    <x v="25"/>
    <s v="South"/>
    <s v="Bangalore"/>
    <s v="Distributor"/>
    <s v="Sneha Reddy"/>
    <s v="Global Traders"/>
    <x v="2"/>
    <s v="Football"/>
    <n v="49"/>
    <n v="48487.040000000001"/>
    <n v="2375864.96"/>
    <n v="86705.27"/>
    <n v="540059.81000000006"/>
    <n v="1749099.88"/>
    <s v="Cancelled"/>
    <s v="Pending"/>
  </r>
  <r>
    <s v="INV-2026-03238"/>
    <x v="86"/>
    <s v="North"/>
    <s v="Delhi"/>
    <s v="Retail Store"/>
    <s v="Amit Kumar"/>
    <s v="Future Tech"/>
    <x v="1"/>
    <s v="Cabinet"/>
    <n v="30"/>
    <n v="5877.69"/>
    <n v="176330.7"/>
    <n v="10619.44"/>
    <n v="40002.25"/>
    <n v="125709.01"/>
    <s v="Completed"/>
    <s v="Paid"/>
  </r>
  <r>
    <s v="INV-2026-03239"/>
    <x v="34"/>
    <s v="South"/>
    <s v="Bangalore"/>
    <s v="Retail Store"/>
    <s v="Sneha Reddy"/>
    <s v="Alpha Trading"/>
    <x v="3"/>
    <s v="Camera"/>
    <n v="16"/>
    <n v="35843.040000000001"/>
    <n v="573488.64000000001"/>
    <n v="17194.830000000002"/>
    <n v="132346.69"/>
    <n v="423947.12"/>
    <s v="Pending"/>
    <s v="Pending"/>
  </r>
  <r>
    <s v="INV-2026-03240"/>
    <x v="75"/>
    <s v="South"/>
    <s v="Bangalore"/>
    <s v="Online"/>
    <s v="Vijay Singh"/>
    <s v="Elite Enterprises"/>
    <x v="2"/>
    <s v="Tennis Racket"/>
    <n v="46"/>
    <n v="48148.49"/>
    <n v="2214830.54"/>
    <n v="0"/>
    <n v="0"/>
    <n v="2214830.54"/>
    <s v="Cancelled"/>
    <s v="Pending"/>
  </r>
  <r>
    <s v="INV-2026-03241"/>
    <x v="51"/>
    <s v="North"/>
    <s v="Jaipur"/>
    <s v="Retail Store"/>
    <s v="Priya Patel"/>
    <s v="XYZ Ltd"/>
    <x v="0"/>
    <s v="Notebook"/>
    <n v="36"/>
    <n v="31731.040000000001"/>
    <n v="1142317.44"/>
    <n v="198328.01"/>
    <n v="0"/>
    <n v="943989.43"/>
    <s v="Pending"/>
    <s v="Pending"/>
  </r>
  <r>
    <s v="INV-2026-03242"/>
    <x v="86"/>
    <s v="Central"/>
    <s v="Nagpur"/>
    <s v="Distributor"/>
    <s v="Rahul Sharma"/>
    <s v="Global Traders"/>
    <x v="5"/>
    <s v="Washing Machine"/>
    <n v="24"/>
    <n v="734.85"/>
    <n v="17636.400000000001"/>
    <n v="0"/>
    <n v="0"/>
    <n v="17636.400000000001"/>
    <s v="Pending"/>
    <s v="Paid"/>
  </r>
  <r>
    <s v="INV-2026-03243"/>
    <x v="28"/>
    <s v="North"/>
    <s v="Lucknow"/>
    <s v="Direct Sales"/>
    <s v="Meera Joshi"/>
    <s v="Skyline Corp"/>
    <x v="3"/>
    <s v="Tablet"/>
    <n v="26"/>
    <n v="50070.78"/>
    <n v="1301840.28"/>
    <n v="33810.720000000001"/>
    <n v="0"/>
    <n v="1268029.56"/>
    <s v="Pending"/>
    <s v="Pending"/>
  </r>
  <r>
    <s v="INV-2026-03244"/>
    <x v="77"/>
    <s v="North"/>
    <s v="Delhi"/>
    <s v="Direct Sales"/>
    <s v="Amit Kumar"/>
    <s v="Global Traders"/>
    <x v="3"/>
    <s v="Camera"/>
    <n v="38"/>
    <n v="40041.35"/>
    <n v="1521571.3"/>
    <n v="85216.4"/>
    <n v="0"/>
    <n v="1436354.9"/>
    <s v="Completed"/>
    <s v="Paid"/>
  </r>
  <r>
    <s v="INV-2026-03245"/>
    <x v="49"/>
    <s v="West"/>
    <s v="Surat"/>
    <s v="Retail Store"/>
    <s v="Priya Patel"/>
    <s v="Elite Enterprises"/>
    <x v="2"/>
    <s v="Football"/>
    <n v="24"/>
    <n v="46319.14"/>
    <n v="1111659.3600000001"/>
    <n v="17265.8"/>
    <n v="51670.93"/>
    <n v="1042722.63"/>
    <s v="Cancelled"/>
    <s v="Pending"/>
  </r>
  <r>
    <s v="INV-2026-03246"/>
    <x v="89"/>
    <s v="West"/>
    <s v="Mumbai"/>
    <s v="Online"/>
    <s v="Meera Joshi"/>
    <s v="Tech Solutions"/>
    <x v="2"/>
    <s v="Yoga Mat"/>
    <n v="16"/>
    <n v="28843.360000000001"/>
    <n v="461493.76000000001"/>
    <n v="0"/>
    <n v="0"/>
    <n v="461493.76000000001"/>
    <s v="Cancelled"/>
    <s v="Pending"/>
  </r>
  <r>
    <s v="INV-2026-03247"/>
    <x v="57"/>
    <s v="North"/>
    <s v="Jaipur"/>
    <s v="Retail Store"/>
    <s v="Priya Patel"/>
    <s v="Urban Store"/>
    <x v="1"/>
    <s v="Bookshelf"/>
    <n v="48"/>
    <n v="35305.620000000003"/>
    <n v="1694669.76"/>
    <n v="110930.2"/>
    <n v="277982.23"/>
    <n v="1305757.33"/>
    <s v="Pending"/>
    <s v="Pending"/>
  </r>
  <r>
    <s v="INV-2026-03248"/>
    <x v="86"/>
    <s v="Central"/>
    <s v="Nagpur"/>
    <s v="Retail Store"/>
    <s v="Amit Kumar"/>
    <s v="Future Tech"/>
    <x v="1"/>
    <s v="Sofa"/>
    <n v="37"/>
    <n v="2029.52"/>
    <n v="75092.240000000005"/>
    <n v="5440.97"/>
    <n v="0"/>
    <n v="69651.27"/>
    <s v="Pending"/>
    <s v="Pending"/>
  </r>
  <r>
    <s v="INV-2026-03249"/>
    <x v="45"/>
    <s v="West"/>
    <s v="Pune"/>
    <s v="Direct Sales"/>
    <s v="Priya Patel"/>
    <s v="Omega Stores"/>
    <x v="5"/>
    <s v="Refrigerator"/>
    <n v="26"/>
    <n v="1611.73"/>
    <n v="41904.980000000003"/>
    <n v="7710.11"/>
    <n v="0"/>
    <n v="34194.870000000003"/>
    <s v="Pending"/>
    <s v="Pending"/>
  </r>
  <r>
    <s v="INV-2026-03250"/>
    <x v="48"/>
    <s v="North"/>
    <s v="Delhi"/>
    <s v="Retail Store"/>
    <s v="Rajesh Verma"/>
    <s v="Prime Retail"/>
    <x v="0"/>
    <s v="File Folder"/>
    <n v="31"/>
    <n v="14029.28"/>
    <n v="434907.68"/>
    <n v="0"/>
    <n v="0"/>
    <n v="434907.68"/>
    <s v="Completed"/>
    <s v="Paid"/>
  </r>
  <r>
    <s v="INV-2026-03251"/>
    <x v="64"/>
    <s v="West"/>
    <s v="Surat"/>
    <s v="Retail Store"/>
    <s v="Kavita Nair"/>
    <s v="Prime Retail"/>
    <x v="3"/>
    <s v="Laptop"/>
    <n v="28"/>
    <n v="32912.1"/>
    <n v="921538.8"/>
    <n v="182602.59"/>
    <n v="0"/>
    <n v="738936.21"/>
    <s v="Completed"/>
    <s v="Paid"/>
  </r>
  <r>
    <s v="INV-2026-03252"/>
    <x v="84"/>
    <s v="South"/>
    <s v="Hyderabad"/>
    <s v="Direct Sales"/>
    <s v="Anita Desai"/>
    <s v="Omega Stores"/>
    <x v="3"/>
    <s v="Smartphone"/>
    <n v="13"/>
    <n v="3082.22"/>
    <n v="40068.86"/>
    <n v="0"/>
    <n v="1321.34"/>
    <n v="38747.519999999997"/>
    <s v="Completed"/>
    <s v="Paid"/>
  </r>
  <r>
    <s v="INV-2026-03253"/>
    <x v="8"/>
    <s v="East"/>
    <s v="Patna"/>
    <s v="Online"/>
    <s v="Amit Kumar"/>
    <s v="Digital Hub"/>
    <x v="3"/>
    <s v="Laptop"/>
    <n v="2"/>
    <n v="9309.24"/>
    <n v="18618.48"/>
    <n v="0"/>
    <n v="0"/>
    <n v="18618.48"/>
    <s v="Completed"/>
    <s v="Paid"/>
  </r>
  <r>
    <s v="INV-2026-03254"/>
    <x v="78"/>
    <s v="Central"/>
    <s v="Bhopal"/>
    <s v="Direct Sales"/>
    <s v="Suresh Gupta"/>
    <s v="Alpha Trading"/>
    <x v="5"/>
    <s v="Air Conditioner"/>
    <n v="29"/>
    <n v="15708.12"/>
    <n v="455535.48"/>
    <n v="0"/>
    <n v="0"/>
    <n v="455535.48"/>
    <s v="Pending"/>
    <s v="Paid"/>
  </r>
  <r>
    <s v="INV-2026-03255"/>
    <x v="66"/>
    <s v="West"/>
    <s v="Pune"/>
    <s v="Online"/>
    <s v="Kavita Nair"/>
    <s v="Urban Store"/>
    <x v="3"/>
    <s v="Camera"/>
    <n v="24"/>
    <n v="28692.62"/>
    <n v="688622.88"/>
    <n v="86420.61"/>
    <n v="0"/>
    <n v="602202.27"/>
    <s v="Processing"/>
    <s v="Paid"/>
  </r>
  <r>
    <s v="INV-2026-03256"/>
    <x v="11"/>
    <s v="South"/>
    <s v="Kochi"/>
    <s v="Retail Store"/>
    <s v="Rajesh Verma"/>
    <s v="Alpha Trading"/>
    <x v="1"/>
    <s v="Cabinet"/>
    <n v="25"/>
    <n v="26658.22"/>
    <n v="666455.5"/>
    <n v="0"/>
    <n v="0"/>
    <n v="666455.5"/>
    <s v="Completed"/>
    <s v="Paid"/>
  </r>
  <r>
    <s v="INV-2026-03257"/>
    <x v="57"/>
    <s v="South"/>
    <s v="Kochi"/>
    <s v="Distributor"/>
    <s v="Kavita Nair"/>
    <s v="Omega Stores"/>
    <x v="0"/>
    <s v="Printer Paper"/>
    <n v="9"/>
    <n v="44292.47"/>
    <n v="398632.23"/>
    <n v="7903.18"/>
    <n v="0"/>
    <n v="390729.05"/>
    <s v="Pending"/>
    <s v="Pending"/>
  </r>
  <r>
    <s v="INV-2026-03258"/>
    <x v="31"/>
    <s v="Central"/>
    <s v="Indore"/>
    <s v="Retail Store"/>
    <s v="Amit Kumar"/>
    <s v="Skyline Corp"/>
    <x v="2"/>
    <s v="Football"/>
    <n v="37"/>
    <n v="7678.54"/>
    <n v="284105.98"/>
    <n v="35972.11"/>
    <n v="0"/>
    <n v="248133.87"/>
    <s v="Processing"/>
    <s v="Pending"/>
  </r>
  <r>
    <s v="INV-2026-03259"/>
    <x v="19"/>
    <s v="West"/>
    <s v="Mumbai"/>
    <s v="Direct Sales"/>
    <s v="Kavita Nair"/>
    <s v="Digital Hub"/>
    <x v="1"/>
    <s v="Office Chair"/>
    <n v="32"/>
    <n v="43447.05"/>
    <n v="1390305.6"/>
    <n v="169089.48"/>
    <n v="143666.13"/>
    <n v="1077549.99"/>
    <s v="Pending"/>
    <s v="Pending"/>
  </r>
  <r>
    <s v="INV-2026-03260"/>
    <x v="11"/>
    <s v="West"/>
    <s v="Mumbai"/>
    <s v="Retail Store"/>
    <s v="Meera Joshi"/>
    <s v="XYZ Ltd"/>
    <x v="1"/>
    <s v="Bookshelf"/>
    <n v="24"/>
    <n v="40146.17"/>
    <n v="963508.08"/>
    <n v="42969.48"/>
    <n v="0"/>
    <n v="920538.6"/>
    <s v="Cancelled"/>
    <s v="Pending"/>
  </r>
  <r>
    <s v="INV-2026-03261"/>
    <x v="56"/>
    <s v="North"/>
    <s v="Lucknow"/>
    <s v="Direct Sales"/>
    <s v="Sneha Reddy"/>
    <s v="Prime Retail"/>
    <x v="1"/>
    <s v="Office Chair"/>
    <n v="22"/>
    <n v="10913.46"/>
    <n v="240096.12"/>
    <n v="42390.07"/>
    <n v="0"/>
    <n v="197706.05"/>
    <s v="Processing"/>
    <s v="Pending"/>
  </r>
  <r>
    <s v="INV-2026-03262"/>
    <x v="2"/>
    <s v="Central"/>
    <s v="Nagpur"/>
    <s v="Online"/>
    <s v="Sneha Reddy"/>
    <s v="Metro Mart"/>
    <x v="0"/>
    <s v="Printer Paper"/>
    <n v="21"/>
    <n v="21539.200000000001"/>
    <n v="452323.2"/>
    <n v="0"/>
    <n v="0"/>
    <n v="452323.2"/>
    <s v="Completed"/>
    <s v="Paid"/>
  </r>
  <r>
    <s v="INV-2026-03263"/>
    <x v="59"/>
    <s v="South"/>
    <s v="Bangalore"/>
    <s v="Retail Store"/>
    <s v="Suresh Gupta"/>
    <s v="Prime Retail"/>
    <x v="3"/>
    <s v="Smart Watch"/>
    <n v="42"/>
    <n v="44015.13"/>
    <n v="1848635.46"/>
    <n v="0"/>
    <n v="0"/>
    <n v="1848635.46"/>
    <s v="Pending"/>
    <s v="Paid"/>
  </r>
  <r>
    <s v="INV-2026-03264"/>
    <x v="88"/>
    <s v="West"/>
    <s v="Surat"/>
    <s v="Retail Store"/>
    <s v="Vijay Singh"/>
    <s v="Omega Stores"/>
    <x v="3"/>
    <s v="Laptop"/>
    <n v="28"/>
    <n v="35826.81"/>
    <n v="1003150.68"/>
    <n v="155878.39999999999"/>
    <n v="46580.95"/>
    <n v="800691.33"/>
    <s v="Processing"/>
    <s v="Pending"/>
  </r>
  <r>
    <s v="INV-2026-03265"/>
    <x v="29"/>
    <s v="East"/>
    <s v="Kolkata"/>
    <s v="Direct Sales"/>
    <s v="Kavita Nair"/>
    <s v="Skyline Corp"/>
    <x v="2"/>
    <s v="Tennis Racket"/>
    <n v="34"/>
    <n v="17524.48"/>
    <n v="595832.31999999995"/>
    <n v="0"/>
    <n v="0"/>
    <n v="595832.31999999995"/>
    <s v="Cancelled"/>
    <s v="Pending"/>
  </r>
  <r>
    <s v="INV-2026-03266"/>
    <x v="51"/>
    <s v="West"/>
    <s v="Mumbai"/>
    <s v="Online"/>
    <s v="Sneha Reddy"/>
    <s v="Prime Retail"/>
    <x v="5"/>
    <s v="TV"/>
    <n v="14"/>
    <n v="38416.129999999997"/>
    <n v="537825.81999999995"/>
    <n v="41798.19"/>
    <n v="0"/>
    <n v="496027.63"/>
    <s v="Cancelled"/>
    <s v="Pending"/>
  </r>
  <r>
    <s v="INV-2026-03267"/>
    <x v="53"/>
    <s v="West"/>
    <s v="Surat"/>
    <s v="Direct Sales"/>
    <s v="Rajesh Verma"/>
    <s v="XYZ Ltd"/>
    <x v="1"/>
    <s v="Sofa"/>
    <n v="18"/>
    <n v="35111.57"/>
    <n v="632008.26"/>
    <n v="0"/>
    <n v="143081.85"/>
    <n v="488926.41"/>
    <s v="Cancelled"/>
    <s v="Pending"/>
  </r>
  <r>
    <s v="INV-2026-03268"/>
    <x v="66"/>
    <s v="North"/>
    <s v="Chandigarh"/>
    <s v="Distributor"/>
    <s v="Rajesh Verma"/>
    <s v="Future Tech"/>
    <x v="3"/>
    <s v="Camera"/>
    <n v="25"/>
    <n v="3271.13"/>
    <n v="81778.25"/>
    <n v="1980.81"/>
    <n v="19832.52"/>
    <n v="59964.92"/>
    <s v="Pending"/>
    <s v="Pending"/>
  </r>
  <r>
    <s v="INV-2026-03269"/>
    <x v="6"/>
    <s v="East"/>
    <s v="Kolkata"/>
    <s v="Distributor"/>
    <s v="Priya Patel"/>
    <s v="Future Tech"/>
    <x v="3"/>
    <s v="Smart Watch"/>
    <n v="28"/>
    <n v="1824.71"/>
    <n v="51091.88"/>
    <n v="5615.96"/>
    <n v="0"/>
    <n v="45475.92"/>
    <s v="Cancelled"/>
    <s v="Pending"/>
  </r>
  <r>
    <s v="INV-2026-03270"/>
    <x v="43"/>
    <s v="North"/>
    <s v="Lucknow"/>
    <s v="Online"/>
    <s v="Rahul Sharma"/>
    <s v="XYZ Ltd"/>
    <x v="2"/>
    <s v="Football"/>
    <n v="49"/>
    <n v="32568.14"/>
    <n v="1595838.86"/>
    <n v="22921.52"/>
    <n v="0"/>
    <n v="1572917.34"/>
    <s v="Processing"/>
    <s v="Paid"/>
  </r>
  <r>
    <s v="INV-2026-03271"/>
    <x v="39"/>
    <s v="East"/>
    <s v="Guwahati"/>
    <s v="Distributor"/>
    <s v="Sneha Reddy"/>
    <s v="XYZ Ltd"/>
    <x v="4"/>
    <s v="Jeans"/>
    <n v="42"/>
    <n v="33547.74"/>
    <n v="1409005.08"/>
    <n v="261116.44"/>
    <n v="0"/>
    <n v="1147888.6399999999"/>
    <s v="Completed"/>
    <s v="Paid"/>
  </r>
  <r>
    <s v="INV-2026-03272"/>
    <x v="64"/>
    <s v="Central"/>
    <s v="Indore"/>
    <s v="Online"/>
    <s v="Kavita Nair"/>
    <s v="Skyline Corp"/>
    <x v="2"/>
    <s v="Tennis Racket"/>
    <n v="19"/>
    <n v="4750.46"/>
    <n v="90258.74"/>
    <n v="0"/>
    <n v="0"/>
    <n v="90258.74"/>
    <s v="Cancelled"/>
    <s v="Pending"/>
  </r>
  <r>
    <s v="INV-2026-03273"/>
    <x v="66"/>
    <s v="West"/>
    <s v="Ahmedabad"/>
    <s v="Distributor"/>
    <s v="Amit Kumar"/>
    <s v="Smart Systems"/>
    <x v="4"/>
    <s v="Shoes"/>
    <n v="43"/>
    <n v="29375.81"/>
    <n v="1263159.83"/>
    <n v="0"/>
    <n v="0"/>
    <n v="1263159.83"/>
    <s v="Processing"/>
    <s v="Pending"/>
  </r>
  <r>
    <s v="INV-2026-03274"/>
    <x v="82"/>
    <s v="North"/>
    <s v="Delhi"/>
    <s v="Direct Sales"/>
    <s v="Meera Joshi"/>
    <s v="Tech Solutions"/>
    <x v="4"/>
    <s v="Formal Shirt"/>
    <n v="37"/>
    <n v="35300.400000000001"/>
    <n v="1306114.8"/>
    <n v="55.68"/>
    <n v="0"/>
    <n v="1306059.1200000001"/>
    <s v="Completed"/>
    <s v="Paid"/>
  </r>
  <r>
    <s v="INV-2026-03275"/>
    <x v="87"/>
    <s v="West"/>
    <s v="Ahmedabad"/>
    <s v="Direct Sales"/>
    <s v="Rahul Sharma"/>
    <s v="Urban Store"/>
    <x v="5"/>
    <s v="TV"/>
    <n v="20"/>
    <n v="42436.79"/>
    <n v="848735.8"/>
    <n v="95971.28"/>
    <n v="0"/>
    <n v="752764.52"/>
    <s v="Completed"/>
    <s v="Paid"/>
  </r>
  <r>
    <s v="INV-2026-03276"/>
    <x v="89"/>
    <s v="South"/>
    <s v="Kochi"/>
    <s v="Online"/>
    <s v="Vijay Singh"/>
    <s v="Digital Hub"/>
    <x v="1"/>
    <s v="Office Chair"/>
    <n v="6"/>
    <n v="11429.93"/>
    <n v="68579.58"/>
    <n v="4612.66"/>
    <n v="0"/>
    <n v="63966.92"/>
    <s v="Completed"/>
    <s v="Paid"/>
  </r>
  <r>
    <s v="INV-2026-03277"/>
    <x v="37"/>
    <s v="South"/>
    <s v="Hyderabad"/>
    <s v="Online"/>
    <s v="Kavita Nair"/>
    <s v="Omega Stores"/>
    <x v="3"/>
    <s v="Smartphone"/>
    <n v="8"/>
    <n v="9076.69"/>
    <n v="72613.52"/>
    <n v="8577.68"/>
    <n v="0"/>
    <n v="64035.839999999997"/>
    <s v="Cancelled"/>
    <s v="Pending"/>
  </r>
  <r>
    <s v="INV-2026-03278"/>
    <x v="32"/>
    <s v="East"/>
    <s v="Kolkata"/>
    <s v="Online"/>
    <s v="Suresh Gupta"/>
    <s v="XYZ Ltd"/>
    <x v="1"/>
    <s v="Cabinet"/>
    <n v="29"/>
    <n v="15163.38"/>
    <n v="439738.02"/>
    <n v="37918.25"/>
    <n v="0"/>
    <n v="401819.77"/>
    <s v="Pending"/>
    <s v="Paid"/>
  </r>
  <r>
    <s v="INV-2026-03279"/>
    <x v="31"/>
    <s v="East"/>
    <s v="Kolkata"/>
    <s v="Distributor"/>
    <s v="Suresh Gupta"/>
    <s v="Metro Mart"/>
    <x v="5"/>
    <s v="Washing Machine"/>
    <n v="12"/>
    <n v="48406.83"/>
    <n v="580881.96"/>
    <n v="71459.88"/>
    <n v="0"/>
    <n v="509422.08000000002"/>
    <s v="Processing"/>
    <s v="Paid"/>
  </r>
  <r>
    <s v="INV-2026-03280"/>
    <x v="71"/>
    <s v="West"/>
    <s v="Ahmedabad"/>
    <s v="Distributor"/>
    <s v="Rajesh Verma"/>
    <s v="Omega Stores"/>
    <x v="1"/>
    <s v="Bookshelf"/>
    <n v="15"/>
    <n v="38687.599999999999"/>
    <n v="580314"/>
    <n v="0"/>
    <n v="0"/>
    <n v="580314"/>
    <s v="Cancelled"/>
    <s v="Pending"/>
  </r>
  <r>
    <s v="INV-2026-03281"/>
    <x v="18"/>
    <s v="East"/>
    <s v="Bhubaneswar"/>
    <s v="Distributor"/>
    <s v="Rajesh Verma"/>
    <s v="Prime Retail"/>
    <x v="0"/>
    <s v="Pen Set"/>
    <n v="46"/>
    <n v="4421.3500000000004"/>
    <n v="203382.1"/>
    <n v="19016.54"/>
    <n v="0"/>
    <n v="184365.56"/>
    <s v="Processing"/>
    <s v="Pending"/>
  </r>
  <r>
    <s v="INV-2026-03282"/>
    <x v="62"/>
    <s v="East"/>
    <s v="Kolkata"/>
    <s v="Online"/>
    <s v="Rahul Sharma"/>
    <s v="ABC Corp"/>
    <x v="3"/>
    <s v="Smart Watch"/>
    <n v="29"/>
    <n v="17041.939999999999"/>
    <n v="494216.26"/>
    <n v="90798.11"/>
    <n v="0"/>
    <n v="403418.15"/>
    <s v="Cancelled"/>
    <s v="Pending"/>
  </r>
  <r>
    <s v="INV-2026-03283"/>
    <x v="3"/>
    <s v="North"/>
    <s v="Chandigarh"/>
    <s v="Distributor"/>
    <s v="Rajesh Verma"/>
    <s v="Tech Solutions"/>
    <x v="5"/>
    <s v="Vacuum Cleaner"/>
    <n v="47"/>
    <n v="7747.22"/>
    <n v="364119.34"/>
    <n v="52890.46"/>
    <n v="0"/>
    <n v="311228.88"/>
    <s v="Completed"/>
    <s v="Paid"/>
  </r>
  <r>
    <s v="INV-2026-03284"/>
    <x v="69"/>
    <s v="Central"/>
    <s v="Nagpur"/>
    <s v="Online"/>
    <s v="Anita Desai"/>
    <s v="Skyline Corp"/>
    <x v="1"/>
    <s v="Sofa"/>
    <n v="38"/>
    <n v="3904.84"/>
    <n v="148383.92000000001"/>
    <n v="0"/>
    <n v="0"/>
    <n v="148383.92000000001"/>
    <s v="Completed"/>
    <s v="Paid"/>
  </r>
  <r>
    <s v="INV-2026-03285"/>
    <x v="89"/>
    <s v="North"/>
    <s v="Delhi"/>
    <s v="Direct Sales"/>
    <s v="Amit Kumar"/>
    <s v="Digital Hub"/>
    <x v="2"/>
    <s v="Tennis Racket"/>
    <n v="29"/>
    <n v="46834.080000000002"/>
    <n v="1358188.32"/>
    <n v="214466.66"/>
    <n v="0"/>
    <n v="1143721.6599999999"/>
    <s v="Cancelled"/>
    <s v="Pending"/>
  </r>
  <r>
    <s v="INV-2026-03286"/>
    <x v="14"/>
    <s v="East"/>
    <s v="Guwahati"/>
    <s v="Online"/>
    <s v="Amit Kumar"/>
    <s v="XYZ Ltd"/>
    <x v="5"/>
    <s v="Washing Machine"/>
    <n v="40"/>
    <n v="32975.35"/>
    <n v="1319014"/>
    <n v="163334.62"/>
    <n v="117411.43"/>
    <n v="1038267.95"/>
    <s v="Completed"/>
    <s v="Paid"/>
  </r>
  <r>
    <s v="INV-2026-03287"/>
    <x v="51"/>
    <s v="South"/>
    <s v="Hyderabad"/>
    <s v="Online"/>
    <s v="Amit Kumar"/>
    <s v="Future Tech"/>
    <x v="5"/>
    <s v="Microwave"/>
    <n v="27"/>
    <n v="2196.52"/>
    <n v="59306.04"/>
    <n v="0"/>
    <n v="0"/>
    <n v="59306.04"/>
    <s v="Completed"/>
    <s v="Paid"/>
  </r>
  <r>
    <s v="INV-2026-03288"/>
    <x v="34"/>
    <s v="West"/>
    <s v="Ahmedabad"/>
    <s v="Distributor"/>
    <s v="Sneha Reddy"/>
    <s v="Global Traders"/>
    <x v="3"/>
    <s v="Camera"/>
    <n v="18"/>
    <n v="552.29"/>
    <n v="9941.2199999999993"/>
    <n v="147.01"/>
    <n v="0"/>
    <n v="9794.2099999999991"/>
    <s v="Completed"/>
    <s v="Paid"/>
  </r>
  <r>
    <s v="INV-2026-03289"/>
    <x v="64"/>
    <s v="Central"/>
    <s v="Raipur"/>
    <s v="Distributor"/>
    <s v="Kavita Nair"/>
    <s v="Prime Retail"/>
    <x v="4"/>
    <s v="Jacket"/>
    <n v="38"/>
    <n v="37244.07"/>
    <n v="1415274.66"/>
    <n v="220726.58"/>
    <n v="229682.18"/>
    <n v="964865.9"/>
    <s v="Pending"/>
    <s v="Paid"/>
  </r>
  <r>
    <s v="INV-2026-03290"/>
    <x v="35"/>
    <s v="East"/>
    <s v="Guwahati"/>
    <s v="Retail Store"/>
    <s v="Anita Desai"/>
    <s v="Digital Hub"/>
    <x v="1"/>
    <s v="Conference Table"/>
    <n v="30"/>
    <n v="45492.25"/>
    <n v="1364767.5"/>
    <n v="61935.57"/>
    <n v="0"/>
    <n v="1302831.93"/>
    <s v="Completed"/>
    <s v="Paid"/>
  </r>
  <r>
    <s v="INV-2026-03291"/>
    <x v="24"/>
    <s v="North"/>
    <s v="Jaipur"/>
    <s v="Distributor"/>
    <s v="Anita Desai"/>
    <s v="Prime Retail"/>
    <x v="2"/>
    <s v="Gym Equipment"/>
    <n v="35"/>
    <n v="45739.95"/>
    <n v="1600898.25"/>
    <n v="261194.97"/>
    <n v="0"/>
    <n v="1339703.28"/>
    <s v="Processing"/>
    <s v="Pending"/>
  </r>
  <r>
    <s v="INV-2026-03292"/>
    <x v="70"/>
    <s v="East"/>
    <s v="Patna"/>
    <s v="Online"/>
    <s v="Meera Joshi"/>
    <s v="ABC Corp"/>
    <x v="5"/>
    <s v="Air Conditioner"/>
    <n v="8"/>
    <n v="4777.74"/>
    <n v="38221.919999999998"/>
    <n v="6924.51"/>
    <n v="0"/>
    <n v="31297.41"/>
    <s v="Pending"/>
    <s v="Pending"/>
  </r>
  <r>
    <s v="INV-2026-03293"/>
    <x v="20"/>
    <s v="North"/>
    <s v="Jaipur"/>
    <s v="Online"/>
    <s v="Suresh Gupta"/>
    <s v="Global Traders"/>
    <x v="0"/>
    <s v="Whiteboard"/>
    <n v="30"/>
    <n v="14168.55"/>
    <n v="425056.5"/>
    <n v="0"/>
    <n v="0"/>
    <n v="425056.5"/>
    <s v="Pending"/>
    <s v="Pending"/>
  </r>
  <r>
    <s v="INV-2026-03294"/>
    <x v="49"/>
    <s v="Central"/>
    <s v="Nagpur"/>
    <s v="Retail Store"/>
    <s v="Amit Kumar"/>
    <s v="Nexus Ltd"/>
    <x v="2"/>
    <s v="Yoga Mat"/>
    <n v="44"/>
    <n v="35301.620000000003"/>
    <n v="1553271.28"/>
    <n v="282862.44"/>
    <n v="0"/>
    <n v="1270408.8400000001"/>
    <s v="Completed"/>
    <s v="Paid"/>
  </r>
  <r>
    <s v="INV-2026-03295"/>
    <x v="67"/>
    <s v="East"/>
    <s v="Patna"/>
    <s v="Distributor"/>
    <s v="Kavita Nair"/>
    <s v="Elite Enterprises"/>
    <x v="2"/>
    <s v="Football"/>
    <n v="41"/>
    <n v="24590.89"/>
    <n v="1008226.49"/>
    <n v="0"/>
    <n v="0"/>
    <n v="1008226.49"/>
    <s v="Completed"/>
    <s v="Paid"/>
  </r>
  <r>
    <s v="INV-2026-03296"/>
    <x v="23"/>
    <s v="Central"/>
    <s v="Raipur"/>
    <s v="Direct Sales"/>
    <s v="Vijay Singh"/>
    <s v="Tech Solutions"/>
    <x v="5"/>
    <s v="Microwave"/>
    <n v="8"/>
    <n v="22612.01"/>
    <n v="180896.08"/>
    <n v="4471.16"/>
    <n v="0"/>
    <n v="176424.92"/>
    <s v="Processing"/>
    <s v="Pending"/>
  </r>
  <r>
    <s v="INV-2026-03297"/>
    <x v="67"/>
    <s v="Central"/>
    <s v="Indore"/>
    <s v="Direct Sales"/>
    <s v="Meera Joshi"/>
    <s v="Omega Stores"/>
    <x v="0"/>
    <s v="Printer Paper"/>
    <n v="34"/>
    <n v="31782.33"/>
    <n v="1080599.22"/>
    <n v="42394.559999999998"/>
    <n v="0"/>
    <n v="1038204.66"/>
    <s v="Processing"/>
    <s v="Pending"/>
  </r>
  <r>
    <s v="INV-2026-03298"/>
    <x v="43"/>
    <s v="West"/>
    <s v="Pune"/>
    <s v="Distributor"/>
    <s v="Suresh Gupta"/>
    <s v="Global Traders"/>
    <x v="1"/>
    <s v="Desk"/>
    <n v="39"/>
    <n v="18456.37"/>
    <n v="719798.43"/>
    <n v="87263.16"/>
    <n v="0"/>
    <n v="632535.27"/>
    <s v="Completed"/>
    <s v="Paid"/>
  </r>
  <r>
    <s v="INV-2026-03299"/>
    <x v="68"/>
    <s v="Central"/>
    <s v="Raipur"/>
    <s v="Retail Store"/>
    <s v="Kavita Nair"/>
    <s v="Digital Hub"/>
    <x v="2"/>
    <s v="Bicycle"/>
    <n v="21"/>
    <n v="49961.01"/>
    <n v="1049181.21"/>
    <n v="0"/>
    <n v="0"/>
    <n v="1049181.21"/>
    <s v="Pending"/>
    <s v="Pending"/>
  </r>
  <r>
    <s v="INV-2026-03300"/>
    <x v="5"/>
    <s v="North"/>
    <s v="Chandigarh"/>
    <s v="Retail Store"/>
    <s v="Amit Kumar"/>
    <s v="Urban Store"/>
    <x v="2"/>
    <s v="Yoga Mat"/>
    <n v="30"/>
    <n v="46908.29"/>
    <n v="1407248.7"/>
    <n v="0"/>
    <n v="0"/>
    <n v="1407248.7"/>
    <s v="Pending"/>
    <s v="Pending"/>
  </r>
  <r>
    <s v="INV-2026-03301"/>
    <x v="5"/>
    <s v="North"/>
    <s v="Chandigarh"/>
    <s v="Direct Sales"/>
    <s v="Rahul Sharma"/>
    <s v="Global Traders"/>
    <x v="1"/>
    <s v="Bookshelf"/>
    <n v="23"/>
    <n v="5040.34"/>
    <n v="115927.82"/>
    <n v="0"/>
    <n v="0"/>
    <n v="115927.82"/>
    <s v="Completed"/>
    <s v="Paid"/>
  </r>
  <r>
    <s v="INV-2026-03302"/>
    <x v="34"/>
    <s v="Central"/>
    <s v="Indore"/>
    <s v="Online"/>
    <s v="Sneha Reddy"/>
    <s v="Global Traders"/>
    <x v="5"/>
    <s v="Air Conditioner"/>
    <n v="48"/>
    <n v="19421.509999999998"/>
    <n v="932232.48"/>
    <n v="102970.43"/>
    <n v="0"/>
    <n v="829262.05"/>
    <s v="Completed"/>
    <s v="Paid"/>
  </r>
  <r>
    <s v="INV-2026-03303"/>
    <x v="12"/>
    <s v="North"/>
    <s v="Lucknow"/>
    <s v="Distributor"/>
    <s v="Amit Kumar"/>
    <s v="Omega Stores"/>
    <x v="3"/>
    <s v="Headphones"/>
    <n v="47"/>
    <n v="12688.27"/>
    <n v="596348.68999999994"/>
    <n v="0"/>
    <n v="0"/>
    <n v="596348.68999999994"/>
    <s v="Completed"/>
    <s v="Paid"/>
  </r>
  <r>
    <s v="INV-2026-03304"/>
    <x v="42"/>
    <s v="Central"/>
    <s v="Bhopal"/>
    <s v="Online"/>
    <s v="Priya Patel"/>
    <s v="Skyline Corp"/>
    <x v="2"/>
    <s v="Gym Equipment"/>
    <n v="35"/>
    <n v="3611.47"/>
    <n v="126401.45"/>
    <n v="16730.5"/>
    <n v="0"/>
    <n v="109670.95"/>
    <s v="Pending"/>
    <s v="Pending"/>
  </r>
  <r>
    <s v="INV-2026-03305"/>
    <x v="84"/>
    <s v="East"/>
    <s v="Guwahati"/>
    <s v="Retail Store"/>
    <s v="Rahul Sharma"/>
    <s v="Elite Enterprises"/>
    <x v="3"/>
    <s v="Tablet"/>
    <n v="1"/>
    <n v="24484.799999999999"/>
    <n v="24484.799999999999"/>
    <n v="0"/>
    <n v="707.9"/>
    <n v="23776.9"/>
    <s v="Completed"/>
    <s v="Paid"/>
  </r>
  <r>
    <s v="INV-2026-03306"/>
    <x v="26"/>
    <s v="East"/>
    <s v="Bhubaneswar"/>
    <s v="Retail Store"/>
    <s v="Rahul Sharma"/>
    <s v="Tech Solutions"/>
    <x v="3"/>
    <s v="Laptop"/>
    <n v="21"/>
    <n v="36112.620000000003"/>
    <n v="758365.02"/>
    <n v="145665.99"/>
    <n v="0"/>
    <n v="612699.03"/>
    <s v="Completed"/>
    <s v="Pending"/>
  </r>
  <r>
    <s v="INV-2026-03307"/>
    <x v="73"/>
    <s v="South"/>
    <s v="Chennai"/>
    <s v="Distributor"/>
    <s v="Rajesh Verma"/>
    <s v="ABC Corp"/>
    <x v="2"/>
    <s v="Yoga Mat"/>
    <n v="49"/>
    <n v="29583.17"/>
    <n v="1449575.33"/>
    <n v="273765.84000000003"/>
    <n v="0"/>
    <n v="1175809.49"/>
    <s v="Pending"/>
    <s v="Pending"/>
  </r>
  <r>
    <s v="INV-2026-03308"/>
    <x v="44"/>
    <s v="West"/>
    <s v="Mumbai"/>
    <s v="Direct Sales"/>
    <s v="Suresh Gupta"/>
    <s v="Alpha Trading"/>
    <x v="2"/>
    <s v="Yoga Mat"/>
    <n v="33"/>
    <n v="32628.3"/>
    <n v="1076733.8999999999"/>
    <n v="0"/>
    <n v="0"/>
    <n v="1076733.8999999999"/>
    <s v="Cancelled"/>
    <s v="Pending"/>
  </r>
  <r>
    <s v="INV-2026-03309"/>
    <x v="91"/>
    <s v="North"/>
    <s v="Jaipur"/>
    <s v="Online"/>
    <s v="Suresh Gupta"/>
    <s v="Skyline Corp"/>
    <x v="4"/>
    <s v="T-Shirt"/>
    <n v="28"/>
    <n v="37702.65"/>
    <n v="1055674.2"/>
    <n v="146411.67000000001"/>
    <n v="0"/>
    <n v="909262.53"/>
    <s v="Completed"/>
    <s v="Paid"/>
  </r>
  <r>
    <s v="INV-2026-03310"/>
    <x v="52"/>
    <s v="South"/>
    <s v="Bangalore"/>
    <s v="Direct Sales"/>
    <s v="Anita Desai"/>
    <s v="Tech Solutions"/>
    <x v="4"/>
    <s v="Formal Shirt"/>
    <n v="4"/>
    <n v="43910.27"/>
    <n v="175641.08"/>
    <n v="22890.29"/>
    <n v="0"/>
    <n v="152750.79"/>
    <s v="Pending"/>
    <s v="Pending"/>
  </r>
  <r>
    <s v="INV-2026-03311"/>
    <x v="54"/>
    <s v="West"/>
    <s v="Pune"/>
    <s v="Online"/>
    <s v="Rajesh Verma"/>
    <s v="ABC Corp"/>
    <x v="2"/>
    <s v="Football"/>
    <n v="4"/>
    <n v="13247.12"/>
    <n v="52988.480000000003"/>
    <n v="0"/>
    <n v="0"/>
    <n v="52988.480000000003"/>
    <s v="Cancelled"/>
    <s v="Pending"/>
  </r>
  <r>
    <s v="INV-2026-03312"/>
    <x v="89"/>
    <s v="West"/>
    <s v="Ahmedabad"/>
    <s v="Retail Store"/>
    <s v="Priya Patel"/>
    <s v="Future Tech"/>
    <x v="1"/>
    <s v="Cabinet"/>
    <n v="36"/>
    <n v="26734.14"/>
    <n v="962429.04"/>
    <n v="0"/>
    <n v="0"/>
    <n v="962429.04"/>
    <s v="Cancelled"/>
    <s v="Pending"/>
  </r>
  <r>
    <s v="INV-2026-03313"/>
    <x v="69"/>
    <s v="South"/>
    <s v="Hyderabad"/>
    <s v="Retail Store"/>
    <s v="Suresh Gupta"/>
    <s v="XYZ Ltd"/>
    <x v="3"/>
    <s v="Headphones"/>
    <n v="27"/>
    <n v="20253.96"/>
    <n v="546856.92000000004"/>
    <n v="0"/>
    <n v="0"/>
    <n v="546856.92000000004"/>
    <s v="Processing"/>
    <s v="Pending"/>
  </r>
  <r>
    <s v="INV-2026-03314"/>
    <x v="20"/>
    <s v="North"/>
    <s v="Delhi"/>
    <s v="Online"/>
    <s v="Anita Desai"/>
    <s v="Future Tech"/>
    <x v="1"/>
    <s v="Bookshelf"/>
    <n v="27"/>
    <n v="10246.379999999999"/>
    <n v="276652.26"/>
    <n v="19712.849999999999"/>
    <n v="0"/>
    <n v="256939.41"/>
    <s v="Completed"/>
    <s v="Paid"/>
  </r>
  <r>
    <s v="INV-2026-03315"/>
    <x v="12"/>
    <s v="East"/>
    <s v="Patna"/>
    <s v="Retail Store"/>
    <s v="Rajesh Verma"/>
    <s v="Future Tech"/>
    <x v="1"/>
    <s v="Office Chair"/>
    <n v="7"/>
    <n v="3658.96"/>
    <n v="25612.720000000001"/>
    <n v="0"/>
    <n v="0"/>
    <n v="25612.720000000001"/>
    <s v="Completed"/>
    <s v="Paid"/>
  </r>
  <r>
    <s v="INV-2026-03316"/>
    <x v="55"/>
    <s v="East"/>
    <s v="Guwahati"/>
    <s v="Direct Sales"/>
    <s v="Priya Patel"/>
    <s v="ABC Corp"/>
    <x v="0"/>
    <s v="Pen Set"/>
    <n v="46"/>
    <n v="23094"/>
    <n v="1062324"/>
    <n v="184211.11"/>
    <n v="0"/>
    <n v="878112.89"/>
    <s v="Cancelled"/>
    <s v="Pending"/>
  </r>
  <r>
    <s v="INV-2026-03317"/>
    <x v="39"/>
    <s v="Central"/>
    <s v="Bhopal"/>
    <s v="Retail Store"/>
    <s v="Amit Kumar"/>
    <s v="Omega Stores"/>
    <x v="0"/>
    <s v="Printer Paper"/>
    <n v="16"/>
    <n v="21071.71"/>
    <n v="337147.36"/>
    <n v="0"/>
    <n v="22841.67"/>
    <n v="314305.69"/>
    <s v="Cancelled"/>
    <s v="Pending"/>
  </r>
  <r>
    <s v="INV-2026-03318"/>
    <x v="13"/>
    <s v="West"/>
    <s v="Mumbai"/>
    <s v="Direct Sales"/>
    <s v="Vijay Singh"/>
    <s v="Urban Store"/>
    <x v="5"/>
    <s v="Air Conditioner"/>
    <n v="15"/>
    <n v="31885.53"/>
    <n v="478282.95"/>
    <n v="0"/>
    <n v="0"/>
    <n v="478282.95"/>
    <s v="Pending"/>
    <s v="Pending"/>
  </r>
  <r>
    <s v="INV-2026-03319"/>
    <x v="88"/>
    <s v="East"/>
    <s v="Guwahati"/>
    <s v="Online"/>
    <s v="Rajesh Verma"/>
    <s v="Metro Mart"/>
    <x v="1"/>
    <s v="Conference Table"/>
    <n v="19"/>
    <n v="13686.32"/>
    <n v="260040.08"/>
    <n v="6829.45"/>
    <n v="0"/>
    <n v="253210.63"/>
    <s v="Processing"/>
    <s v="Pending"/>
  </r>
  <r>
    <s v="INV-2026-03320"/>
    <x v="77"/>
    <s v="East"/>
    <s v="Patna"/>
    <s v="Distributor"/>
    <s v="Vijay Singh"/>
    <s v="ABC Corp"/>
    <x v="2"/>
    <s v="Cricket Bat"/>
    <n v="28"/>
    <n v="23638.639999999999"/>
    <n v="661881.92000000004"/>
    <n v="25146.98"/>
    <n v="139693"/>
    <n v="497041.94"/>
    <s v="Processing"/>
    <s v="Paid"/>
  </r>
  <r>
    <s v="INV-2026-03321"/>
    <x v="8"/>
    <s v="South"/>
    <s v="Kochi"/>
    <s v="Retail Store"/>
    <s v="Rajesh Verma"/>
    <s v="XYZ Ltd"/>
    <x v="3"/>
    <s v="Headphones"/>
    <n v="46"/>
    <n v="26981.13"/>
    <n v="1241131.98"/>
    <n v="80065.7"/>
    <n v="0"/>
    <n v="1161066.28"/>
    <s v="Cancelled"/>
    <s v="Pending"/>
  </r>
  <r>
    <s v="INV-2026-03322"/>
    <x v="15"/>
    <s v="North"/>
    <s v="Chandigarh"/>
    <s v="Distributor"/>
    <s v="Rajesh Verma"/>
    <s v="Smart Systems"/>
    <x v="0"/>
    <s v="Whiteboard"/>
    <n v="5"/>
    <n v="735.98"/>
    <n v="3679.9"/>
    <n v="0"/>
    <n v="477.37"/>
    <n v="3202.53"/>
    <s v="Processing"/>
    <s v="Pending"/>
  </r>
  <r>
    <s v="INV-2026-03323"/>
    <x v="4"/>
    <s v="Central"/>
    <s v="Bhopal"/>
    <s v="Retail Store"/>
    <s v="Vijay Singh"/>
    <s v="Alpha Trading"/>
    <x v="0"/>
    <s v="Printer Paper"/>
    <n v="6"/>
    <n v="31949.599999999999"/>
    <n v="191697.6"/>
    <n v="17133.509999999998"/>
    <n v="0"/>
    <n v="174564.09"/>
    <s v="Processing"/>
    <s v="Pending"/>
  </r>
  <r>
    <s v="INV-2026-03324"/>
    <x v="50"/>
    <s v="West"/>
    <s v="Surat"/>
    <s v="Distributor"/>
    <s v="Amit Kumar"/>
    <s v="XYZ Ltd"/>
    <x v="2"/>
    <s v="Gym Equipment"/>
    <n v="28"/>
    <n v="36283.72"/>
    <n v="1015944.16"/>
    <n v="0"/>
    <n v="0"/>
    <n v="1015944.16"/>
    <s v="Completed"/>
    <s v="Paid"/>
  </r>
  <r>
    <s v="INV-2026-03325"/>
    <x v="51"/>
    <s v="West"/>
    <s v="Ahmedabad"/>
    <s v="Online"/>
    <s v="Meera Joshi"/>
    <s v="Smart Systems"/>
    <x v="4"/>
    <s v="T-Shirt"/>
    <n v="8"/>
    <n v="10113.52"/>
    <n v="80908.160000000003"/>
    <n v="0"/>
    <n v="15370.81"/>
    <n v="65537.350000000006"/>
    <s v="Cancelled"/>
    <s v="Pending"/>
  </r>
  <r>
    <s v="INV-2026-03326"/>
    <x v="70"/>
    <s v="East"/>
    <s v="Guwahati"/>
    <s v="Distributor"/>
    <s v="Kavita Nair"/>
    <s v="Omega Stores"/>
    <x v="2"/>
    <s v="Bicycle"/>
    <n v="43"/>
    <n v="27158.62"/>
    <n v="1167820.6599999999"/>
    <n v="0"/>
    <n v="0"/>
    <n v="1167820.6599999999"/>
    <s v="Pending"/>
    <s v="Pending"/>
  </r>
  <r>
    <s v="INV-2026-03327"/>
    <x v="75"/>
    <s v="East"/>
    <s v="Bhubaneswar"/>
    <s v="Online"/>
    <s v="Rajesh Verma"/>
    <s v="Nexus Ltd"/>
    <x v="5"/>
    <s v="Vacuum Cleaner"/>
    <n v="16"/>
    <n v="7433.43"/>
    <n v="118934.88"/>
    <n v="0"/>
    <n v="0"/>
    <n v="118934.88"/>
    <s v="Completed"/>
    <s v="Paid"/>
  </r>
  <r>
    <s v="INV-2026-03328"/>
    <x v="3"/>
    <s v="West"/>
    <s v="Ahmedabad"/>
    <s v="Online"/>
    <s v="Anita Desai"/>
    <s v="Metro Mart"/>
    <x v="3"/>
    <s v="Tablet"/>
    <n v="47"/>
    <n v="45175.16"/>
    <n v="2123232.52"/>
    <n v="411675.02"/>
    <n v="0"/>
    <n v="1711557.5"/>
    <s v="Cancelled"/>
    <s v="Pending"/>
  </r>
  <r>
    <s v="INV-2026-03329"/>
    <x v="5"/>
    <s v="South"/>
    <s v="Hyderabad"/>
    <s v="Online"/>
    <s v="Rajesh Verma"/>
    <s v="Prime Retail"/>
    <x v="3"/>
    <s v="Tablet"/>
    <n v="33"/>
    <n v="17836.68"/>
    <n v="588610.43999999994"/>
    <n v="98993.72"/>
    <n v="0"/>
    <n v="489616.72"/>
    <s v="Cancelled"/>
    <s v="Pending"/>
  </r>
  <r>
    <s v="INV-2026-03330"/>
    <x v="41"/>
    <s v="West"/>
    <s v="Surat"/>
    <s v="Direct Sales"/>
    <s v="Anita Desai"/>
    <s v="Tech Solutions"/>
    <x v="2"/>
    <s v="Cricket Bat"/>
    <n v="15"/>
    <n v="34413.72"/>
    <n v="516205.8"/>
    <n v="96965.37"/>
    <n v="0"/>
    <n v="419240.43"/>
    <s v="Processing"/>
    <s v="Paid"/>
  </r>
  <r>
    <s v="INV-2026-03331"/>
    <x v="77"/>
    <s v="Central"/>
    <s v="Indore"/>
    <s v="Distributor"/>
    <s v="Anita Desai"/>
    <s v="Skyline Corp"/>
    <x v="0"/>
    <s v="Printer Paper"/>
    <n v="15"/>
    <n v="31356.959999999999"/>
    <n v="470354.4"/>
    <n v="0"/>
    <n v="133010.28"/>
    <n v="337344.12"/>
    <s v="Pending"/>
    <s v="Paid"/>
  </r>
  <r>
    <s v="INV-2026-03332"/>
    <x v="66"/>
    <s v="South"/>
    <s v="Kochi"/>
    <s v="Direct Sales"/>
    <s v="Sneha Reddy"/>
    <s v="Smart Systems"/>
    <x v="3"/>
    <s v="Laptop"/>
    <n v="8"/>
    <n v="24392.41"/>
    <n v="195139.28"/>
    <n v="0"/>
    <n v="20840.080000000002"/>
    <n v="174299.2"/>
    <s v="Pending"/>
    <s v="Paid"/>
  </r>
  <r>
    <s v="INV-2026-03333"/>
    <x v="74"/>
    <s v="East"/>
    <s v="Bhubaneswar"/>
    <s v="Online"/>
    <s v="Vijay Singh"/>
    <s v="ABC Corp"/>
    <x v="5"/>
    <s v="Vacuum Cleaner"/>
    <n v="33"/>
    <n v="12357.77"/>
    <n v="407806.41"/>
    <n v="72486.649999999994"/>
    <n v="0"/>
    <n v="335319.76"/>
    <s v="Pending"/>
    <s v="Pending"/>
  </r>
  <r>
    <s v="INV-2026-03334"/>
    <x v="5"/>
    <s v="South"/>
    <s v="Bangalore"/>
    <s v="Retail Store"/>
    <s v="Amit Kumar"/>
    <s v="Alpha Trading"/>
    <x v="5"/>
    <s v="TV"/>
    <n v="38"/>
    <n v="16377.18"/>
    <n v="622332.84"/>
    <n v="0"/>
    <n v="0"/>
    <n v="622332.84"/>
    <s v="Processing"/>
    <s v="Paid"/>
  </r>
  <r>
    <s v="INV-2026-03335"/>
    <x v="49"/>
    <s v="South"/>
    <s v="Kochi"/>
    <s v="Online"/>
    <s v="Anita Desai"/>
    <s v="Alpha Trading"/>
    <x v="3"/>
    <s v="Camera"/>
    <n v="19"/>
    <n v="43903.71"/>
    <n v="834170.49"/>
    <n v="0"/>
    <n v="0"/>
    <n v="834170.49"/>
    <s v="Completed"/>
    <s v="Paid"/>
  </r>
  <r>
    <s v="INV-2026-03336"/>
    <x v="34"/>
    <s v="West"/>
    <s v="Pune"/>
    <s v="Retail Store"/>
    <s v="Vijay Singh"/>
    <s v="Metro Mart"/>
    <x v="2"/>
    <s v="Bicycle"/>
    <n v="21"/>
    <n v="5803.89"/>
    <n v="121881.69"/>
    <n v="9764.9699999999993"/>
    <n v="0"/>
    <n v="112116.72"/>
    <s v="Processing"/>
    <s v="Pending"/>
  </r>
  <r>
    <s v="INV-2026-03337"/>
    <x v="72"/>
    <s v="North"/>
    <s v="Jaipur"/>
    <s v="Online"/>
    <s v="Rajesh Verma"/>
    <s v="Tech Solutions"/>
    <x v="3"/>
    <s v="Camera"/>
    <n v="18"/>
    <n v="26272.99"/>
    <n v="472913.82"/>
    <n v="0"/>
    <n v="0"/>
    <n v="472913.82"/>
    <s v="Cancelled"/>
    <s v="Pending"/>
  </r>
  <r>
    <s v="INV-2026-03338"/>
    <x v="42"/>
    <s v="East"/>
    <s v="Bhubaneswar"/>
    <s v="Retail Store"/>
    <s v="Kavita Nair"/>
    <s v="Omega Stores"/>
    <x v="0"/>
    <s v="Desk Organizer"/>
    <n v="8"/>
    <n v="20930.93"/>
    <n v="167447.44"/>
    <n v="17689.93"/>
    <n v="0"/>
    <n v="149757.51"/>
    <s v="Completed"/>
    <s v="Paid"/>
  </r>
  <r>
    <s v="INV-2026-03339"/>
    <x v="52"/>
    <s v="Central"/>
    <s v="Indore"/>
    <s v="Retail Store"/>
    <s v="Kavita Nair"/>
    <s v="Alpha Trading"/>
    <x v="0"/>
    <s v="File Folder"/>
    <n v="39"/>
    <n v="16159.9"/>
    <n v="630236.1"/>
    <n v="4980.4799999999996"/>
    <n v="0"/>
    <n v="625255.62"/>
    <s v="Processing"/>
    <s v="Pending"/>
  </r>
  <r>
    <s v="INV-2026-03340"/>
    <x v="67"/>
    <s v="South"/>
    <s v="Kochi"/>
    <s v="Retail Store"/>
    <s v="Rahul Sharma"/>
    <s v="Smart Systems"/>
    <x v="2"/>
    <s v="Tennis Racket"/>
    <n v="41"/>
    <n v="21219"/>
    <n v="869979"/>
    <n v="142621.25"/>
    <n v="0"/>
    <n v="727357.75"/>
    <s v="Pending"/>
    <s v="Paid"/>
  </r>
  <r>
    <s v="INV-2026-03341"/>
    <x v="45"/>
    <s v="Central"/>
    <s v="Raipur"/>
    <s v="Retail Store"/>
    <s v="Vijay Singh"/>
    <s v="Prime Retail"/>
    <x v="2"/>
    <s v="Football"/>
    <n v="7"/>
    <n v="40904.67"/>
    <n v="286332.69"/>
    <n v="0"/>
    <n v="0"/>
    <n v="286332.69"/>
    <s v="Cancelled"/>
    <s v="Pending"/>
  </r>
  <r>
    <s v="INV-2026-03342"/>
    <x v="34"/>
    <s v="West"/>
    <s v="Pune"/>
    <s v="Online"/>
    <s v="Vijay Singh"/>
    <s v="Urban Store"/>
    <x v="5"/>
    <s v="Microwave"/>
    <n v="39"/>
    <n v="33667.72"/>
    <n v="1313041.08"/>
    <n v="0"/>
    <n v="0"/>
    <n v="1313041.08"/>
    <s v="Processing"/>
    <s v="Paid"/>
  </r>
  <r>
    <s v="INV-2026-03343"/>
    <x v="65"/>
    <s v="Central"/>
    <s v="Raipur"/>
    <s v="Retail Store"/>
    <s v="Priya Patel"/>
    <s v="Alpha Trading"/>
    <x v="2"/>
    <s v="Gym Equipment"/>
    <n v="15"/>
    <n v="20857.060000000001"/>
    <n v="312855.90000000002"/>
    <n v="25760.799999999999"/>
    <n v="0"/>
    <n v="287095.09999999998"/>
    <s v="Completed"/>
    <s v="Paid"/>
  </r>
  <r>
    <s v="INV-2026-03344"/>
    <x v="31"/>
    <s v="East"/>
    <s v="Kolkata"/>
    <s v="Online"/>
    <s v="Priya Patel"/>
    <s v="Alpha Trading"/>
    <x v="4"/>
    <s v="Dress"/>
    <n v="49"/>
    <n v="6613.11"/>
    <n v="324042.39"/>
    <n v="25395.26"/>
    <n v="0"/>
    <n v="298647.13"/>
    <s v="Processing"/>
    <s v="Pending"/>
  </r>
  <r>
    <s v="INV-2026-03345"/>
    <x v="26"/>
    <s v="East"/>
    <s v="Guwahati"/>
    <s v="Online"/>
    <s v="Rajesh Verma"/>
    <s v="Prime Retail"/>
    <x v="3"/>
    <s v="Smart Watch"/>
    <n v="10"/>
    <n v="22005.14"/>
    <n v="220051.4"/>
    <n v="0"/>
    <n v="0"/>
    <n v="220051.4"/>
    <s v="Completed"/>
    <s v="Paid"/>
  </r>
  <r>
    <s v="INV-2026-03346"/>
    <x v="0"/>
    <s v="North"/>
    <s v="Delhi"/>
    <s v="Retail Store"/>
    <s v="Sneha Reddy"/>
    <s v="Skyline Corp"/>
    <x v="3"/>
    <s v="Tablet"/>
    <n v="1"/>
    <n v="3081.9"/>
    <n v="3081.9"/>
    <n v="0"/>
    <n v="0"/>
    <n v="3081.9"/>
    <s v="Completed"/>
    <s v="Overdue"/>
  </r>
  <r>
    <s v="INV-2026-03347"/>
    <x v="20"/>
    <s v="North"/>
    <s v="Chandigarh"/>
    <s v="Online"/>
    <s v="Kavita Nair"/>
    <s v="Alpha Trading"/>
    <x v="3"/>
    <s v="Smart Watch"/>
    <n v="8"/>
    <n v="20931.580000000002"/>
    <n v="167452.64000000001"/>
    <n v="0"/>
    <n v="0"/>
    <n v="167452.64000000001"/>
    <s v="Processing"/>
    <s v="Pending"/>
  </r>
  <r>
    <s v="INV-2026-03348"/>
    <x v="33"/>
    <s v="Central"/>
    <s v="Raipur"/>
    <s v="Retail Store"/>
    <s v="Rajesh Verma"/>
    <s v="Metro Mart"/>
    <x v="4"/>
    <s v="Shoes"/>
    <n v="33"/>
    <n v="27603.05"/>
    <n v="910900.65"/>
    <n v="69728.42"/>
    <n v="0"/>
    <n v="841172.23"/>
    <s v="Processing"/>
    <s v="Pending"/>
  </r>
  <r>
    <s v="INV-2026-03349"/>
    <x v="75"/>
    <s v="East"/>
    <s v="Kolkata"/>
    <s v="Direct Sales"/>
    <s v="Rajesh Verma"/>
    <s v="XYZ Ltd"/>
    <x v="2"/>
    <s v="Tennis Racket"/>
    <n v="48"/>
    <n v="22038.18"/>
    <n v="1057832.6399999999"/>
    <n v="112839.74"/>
    <n v="0"/>
    <n v="944992.9"/>
    <s v="Cancelled"/>
    <s v="Pending"/>
  </r>
  <r>
    <s v="INV-2026-03350"/>
    <x v="56"/>
    <s v="East"/>
    <s v="Bhubaneswar"/>
    <s v="Retail Store"/>
    <s v="Kavita Nair"/>
    <s v="Skyline Corp"/>
    <x v="1"/>
    <s v="Cabinet"/>
    <n v="16"/>
    <n v="48898.64"/>
    <n v="782378.24"/>
    <n v="74289.490000000005"/>
    <n v="0"/>
    <n v="708088.75"/>
    <s v="Pending"/>
    <s v="Pending"/>
  </r>
  <r>
    <s v="INV-2026-03351"/>
    <x v="62"/>
    <s v="West"/>
    <s v="Pune"/>
    <s v="Direct Sales"/>
    <s v="Sneha Reddy"/>
    <s v="Tech Solutions"/>
    <x v="5"/>
    <s v="TV"/>
    <n v="38"/>
    <n v="3324.05"/>
    <n v="126313.9"/>
    <n v="13919.53"/>
    <n v="17163.509999999998"/>
    <n v="95230.86"/>
    <s v="Completed"/>
    <s v="Paid"/>
  </r>
  <r>
    <s v="INV-2026-03352"/>
    <x v="27"/>
    <s v="Central"/>
    <s v="Bhopal"/>
    <s v="Distributor"/>
    <s v="Rahul Sharma"/>
    <s v="Omega Stores"/>
    <x v="5"/>
    <s v="Washing Machine"/>
    <n v="37"/>
    <n v="42932.39"/>
    <n v="1588498.43"/>
    <n v="284807.01"/>
    <n v="0"/>
    <n v="1303691.42"/>
    <s v="Processing"/>
    <s v="Paid"/>
  </r>
  <r>
    <s v="INV-2026-03353"/>
    <x v="49"/>
    <s v="North"/>
    <s v="Lucknow"/>
    <s v="Online"/>
    <s v="Kavita Nair"/>
    <s v="Smart Systems"/>
    <x v="2"/>
    <s v="Cricket Bat"/>
    <n v="34"/>
    <n v="27176.85"/>
    <n v="924012.9"/>
    <n v="51677.55"/>
    <n v="0"/>
    <n v="872335.35"/>
    <s v="Completed"/>
    <s v="Paid"/>
  </r>
  <r>
    <s v="INV-2026-03354"/>
    <x v="36"/>
    <s v="Central"/>
    <s v="Nagpur"/>
    <s v="Retail Store"/>
    <s v="Rahul Sharma"/>
    <s v="XYZ Ltd"/>
    <x v="1"/>
    <s v="Sofa"/>
    <n v="6"/>
    <n v="33231.96"/>
    <n v="199391.76"/>
    <n v="0"/>
    <n v="0"/>
    <n v="199391.76"/>
    <s v="Processing"/>
    <s v="Pending"/>
  </r>
  <r>
    <s v="INV-2026-03355"/>
    <x v="40"/>
    <s v="South"/>
    <s v="Bangalore"/>
    <s v="Direct Sales"/>
    <s v="Priya Patel"/>
    <s v="Skyline Corp"/>
    <x v="2"/>
    <s v="Tennis Racket"/>
    <n v="38"/>
    <n v="16459.29"/>
    <n v="625453.02"/>
    <n v="67011.820000000007"/>
    <n v="0"/>
    <n v="558441.19999999995"/>
    <s v="Cancelled"/>
    <s v="Pending"/>
  </r>
  <r>
    <s v="INV-2026-03356"/>
    <x v="89"/>
    <s v="East"/>
    <s v="Kolkata"/>
    <s v="Direct Sales"/>
    <s v="Suresh Gupta"/>
    <s v="Digital Hub"/>
    <x v="3"/>
    <s v="Camera"/>
    <n v="23"/>
    <n v="40716.449999999997"/>
    <n v="936478.35"/>
    <n v="0"/>
    <n v="0"/>
    <n v="936478.35"/>
    <s v="Pending"/>
    <s v="Pending"/>
  </r>
  <r>
    <s v="INV-2026-03357"/>
    <x v="43"/>
    <s v="East"/>
    <s v="Guwahati"/>
    <s v="Direct Sales"/>
    <s v="Amit Kumar"/>
    <s v="Digital Hub"/>
    <x v="1"/>
    <s v="Cabinet"/>
    <n v="23"/>
    <n v="38542.17"/>
    <n v="886469.91"/>
    <n v="0"/>
    <n v="0"/>
    <n v="886469.91"/>
    <s v="Processing"/>
    <s v="Pending"/>
  </r>
  <r>
    <s v="INV-2026-03358"/>
    <x v="10"/>
    <s v="West"/>
    <s v="Pune"/>
    <s v="Retail Store"/>
    <s v="Vijay Singh"/>
    <s v="XYZ Ltd"/>
    <x v="3"/>
    <s v="Camera"/>
    <n v="23"/>
    <n v="17500.63"/>
    <n v="402514.49"/>
    <n v="0"/>
    <n v="0"/>
    <n v="402514.49"/>
    <s v="Pending"/>
    <s v="Paid"/>
  </r>
  <r>
    <s v="INV-2026-03359"/>
    <x v="32"/>
    <s v="East"/>
    <s v="Patna"/>
    <s v="Online"/>
    <s v="Priya Patel"/>
    <s v="Digital Hub"/>
    <x v="4"/>
    <s v="Shoes"/>
    <n v="9"/>
    <n v="33303.61"/>
    <n v="299732.49"/>
    <n v="27453.65"/>
    <n v="0"/>
    <n v="272278.84000000003"/>
    <s v="Cancelled"/>
    <s v="Pending"/>
  </r>
  <r>
    <s v="INV-2026-03360"/>
    <x v="0"/>
    <s v="Central"/>
    <s v="Indore"/>
    <s v="Distributor"/>
    <s v="Amit Kumar"/>
    <s v="Nexus Ltd"/>
    <x v="1"/>
    <s v="Cabinet"/>
    <n v="7"/>
    <n v="7381.02"/>
    <n v="51667.14"/>
    <n v="1190.28"/>
    <n v="0"/>
    <n v="50476.86"/>
    <s v="Processing"/>
    <s v="Paid"/>
  </r>
  <r>
    <s v="INV-2026-03361"/>
    <x v="68"/>
    <s v="North"/>
    <s v="Delhi"/>
    <s v="Online"/>
    <s v="Rajesh Verma"/>
    <s v="Nexus Ltd"/>
    <x v="4"/>
    <s v="Shoes"/>
    <n v="28"/>
    <n v="39011.86"/>
    <n v="1092332.08"/>
    <n v="0"/>
    <n v="0"/>
    <n v="1092332.08"/>
    <s v="Completed"/>
    <s v="Paid"/>
  </r>
  <r>
    <s v="INV-2026-03362"/>
    <x v="31"/>
    <s v="North"/>
    <s v="Delhi"/>
    <s v="Retail Store"/>
    <s v="Amit Kumar"/>
    <s v="Smart Systems"/>
    <x v="5"/>
    <s v="Washing Machine"/>
    <n v="21"/>
    <n v="4540.32"/>
    <n v="95346.72"/>
    <n v="0"/>
    <n v="0"/>
    <n v="95346.72"/>
    <s v="Cancelled"/>
    <s v="Pending"/>
  </r>
  <r>
    <s v="INV-2026-03363"/>
    <x v="73"/>
    <s v="North"/>
    <s v="Jaipur"/>
    <s v="Direct Sales"/>
    <s v="Rajesh Verma"/>
    <s v="Future Tech"/>
    <x v="0"/>
    <s v="Whiteboard"/>
    <n v="8"/>
    <n v="13551.74"/>
    <n v="108413.92"/>
    <n v="16870.990000000002"/>
    <n v="10462.879999999999"/>
    <n v="81080.05"/>
    <s v="Pending"/>
    <s v="Pending"/>
  </r>
  <r>
    <s v="INV-2026-03364"/>
    <x v="40"/>
    <s v="North"/>
    <s v="Chandigarh"/>
    <s v="Retail Store"/>
    <s v="Meera Joshi"/>
    <s v="Prime Retail"/>
    <x v="5"/>
    <s v="Air Conditioner"/>
    <n v="42"/>
    <n v="22649.73"/>
    <n v="951288.66"/>
    <n v="0"/>
    <n v="0"/>
    <n v="951288.66"/>
    <s v="Cancelled"/>
    <s v="Pending"/>
  </r>
  <r>
    <s v="INV-2026-03365"/>
    <x v="65"/>
    <s v="North"/>
    <s v="Jaipur"/>
    <s v="Retail Store"/>
    <s v="Rajesh Verma"/>
    <s v="Global Traders"/>
    <x v="1"/>
    <s v="Cabinet"/>
    <n v="13"/>
    <n v="3462.52"/>
    <n v="45012.76"/>
    <n v="0"/>
    <n v="0"/>
    <n v="45012.76"/>
    <s v="Processing"/>
    <s v="Pending"/>
  </r>
  <r>
    <s v="INV-2026-03366"/>
    <x v="51"/>
    <s v="Central"/>
    <s v="Raipur"/>
    <s v="Direct Sales"/>
    <s v="Vijay Singh"/>
    <s v="ABC Corp"/>
    <x v="3"/>
    <s v="Laptop"/>
    <n v="19"/>
    <n v="5319.48"/>
    <n v="101070.12"/>
    <n v="0"/>
    <n v="0"/>
    <n v="101070.12"/>
    <s v="Processing"/>
    <s v="Pending"/>
  </r>
  <r>
    <s v="INV-2026-03367"/>
    <x v="31"/>
    <s v="East"/>
    <s v="Kolkata"/>
    <s v="Direct Sales"/>
    <s v="Priya Patel"/>
    <s v="Urban Store"/>
    <x v="5"/>
    <s v="Refrigerator"/>
    <n v="43"/>
    <n v="49704.52"/>
    <n v="2137294.36"/>
    <n v="0"/>
    <n v="0"/>
    <n v="2137294.36"/>
    <s v="Cancelled"/>
    <s v="Pending"/>
  </r>
  <r>
    <s v="INV-2026-03368"/>
    <x v="61"/>
    <s v="North"/>
    <s v="Delhi"/>
    <s v="Online"/>
    <s v="Vijay Singh"/>
    <s v="Prime Retail"/>
    <x v="0"/>
    <s v="Desk Organizer"/>
    <n v="37"/>
    <n v="24166.47"/>
    <n v="894159.39"/>
    <n v="101837.69"/>
    <n v="0"/>
    <n v="792321.7"/>
    <s v="Cancelled"/>
    <s v="Pending"/>
  </r>
  <r>
    <s v="INV-2026-03369"/>
    <x v="78"/>
    <s v="Central"/>
    <s v="Bhopal"/>
    <s v="Retail Store"/>
    <s v="Anita Desai"/>
    <s v="Prime Retail"/>
    <x v="2"/>
    <s v="Bicycle"/>
    <n v="39"/>
    <n v="42071.199999999997"/>
    <n v="1640776.8"/>
    <n v="75218.720000000001"/>
    <n v="393621.81"/>
    <n v="1171936.27"/>
    <s v="Cancelled"/>
    <s v="Pending"/>
  </r>
  <r>
    <s v="INV-2026-03370"/>
    <x v="41"/>
    <s v="South"/>
    <s v="Kochi"/>
    <s v="Online"/>
    <s v="Vijay Singh"/>
    <s v="ABC Corp"/>
    <x v="5"/>
    <s v="Vacuum Cleaner"/>
    <n v="49"/>
    <n v="37114.550000000003"/>
    <n v="1818612.95"/>
    <n v="319975.94"/>
    <n v="0"/>
    <n v="1498637.01"/>
    <s v="Completed"/>
    <s v="Paid"/>
  </r>
  <r>
    <s v="INV-2026-03371"/>
    <x v="68"/>
    <s v="South"/>
    <s v="Bangalore"/>
    <s v="Direct Sales"/>
    <s v="Suresh Gupta"/>
    <s v="Elite Enterprises"/>
    <x v="5"/>
    <s v="Air Conditioner"/>
    <n v="19"/>
    <n v="45883.42"/>
    <n v="871784.98"/>
    <n v="52309.03"/>
    <n v="0"/>
    <n v="819475.95"/>
    <s v="Pending"/>
    <s v="Pending"/>
  </r>
  <r>
    <s v="INV-2026-03372"/>
    <x v="85"/>
    <s v="North"/>
    <s v="Lucknow"/>
    <s v="Retail Store"/>
    <s v="Rahul Sharma"/>
    <s v="ABC Corp"/>
    <x v="0"/>
    <s v="Whiteboard"/>
    <n v="11"/>
    <n v="11870.89"/>
    <n v="130579.79"/>
    <n v="11827.99"/>
    <n v="0"/>
    <n v="118751.8"/>
    <s v="Completed"/>
    <s v="Overdue"/>
  </r>
  <r>
    <s v="INV-2026-03373"/>
    <x v="58"/>
    <s v="West"/>
    <s v="Pune"/>
    <s v="Online"/>
    <s v="Vijay Singh"/>
    <s v="Global Traders"/>
    <x v="0"/>
    <s v="File Folder"/>
    <n v="26"/>
    <n v="23790.35"/>
    <n v="618549.1"/>
    <n v="0"/>
    <n v="0"/>
    <n v="618549.1"/>
    <s v="Pending"/>
    <s v="Paid"/>
  </r>
  <r>
    <s v="INV-2026-03374"/>
    <x v="49"/>
    <s v="Central"/>
    <s v="Raipur"/>
    <s v="Retail Store"/>
    <s v="Rajesh Verma"/>
    <s v="Future Tech"/>
    <x v="5"/>
    <s v="Air Conditioner"/>
    <n v="38"/>
    <n v="19985.400000000001"/>
    <n v="759445.2"/>
    <n v="150751.76999999999"/>
    <n v="123060.22"/>
    <n v="485633.21"/>
    <s v="Cancelled"/>
    <s v="Pending"/>
  </r>
  <r>
    <s v="INV-2026-03375"/>
    <x v="14"/>
    <s v="Central"/>
    <s v="Nagpur"/>
    <s v="Direct Sales"/>
    <s v="Rahul Sharma"/>
    <s v="Nexus Ltd"/>
    <x v="5"/>
    <s v="Air Conditioner"/>
    <n v="16"/>
    <n v="23046.74"/>
    <n v="368747.84"/>
    <n v="0"/>
    <n v="0"/>
    <n v="368747.84"/>
    <s v="Completed"/>
    <s v="Paid"/>
  </r>
  <r>
    <s v="INV-2026-03376"/>
    <x v="57"/>
    <s v="Central"/>
    <s v="Raipur"/>
    <s v="Online"/>
    <s v="Meera Joshi"/>
    <s v="Smart Systems"/>
    <x v="2"/>
    <s v="Bicycle"/>
    <n v="38"/>
    <n v="27944.69"/>
    <n v="1061898.22"/>
    <n v="109613.51"/>
    <n v="0"/>
    <n v="952284.71"/>
    <s v="Processing"/>
    <s v="Pending"/>
  </r>
  <r>
    <s v="INV-2026-03377"/>
    <x v="90"/>
    <s v="North"/>
    <s v="Delhi"/>
    <s v="Online"/>
    <s v="Meera Joshi"/>
    <s v="Prime Retail"/>
    <x v="2"/>
    <s v="Football"/>
    <n v="18"/>
    <n v="12621.43"/>
    <n v="227185.74"/>
    <n v="13660.84"/>
    <n v="64602.51"/>
    <n v="148922.39000000001"/>
    <s v="Cancelled"/>
    <s v="Pending"/>
  </r>
  <r>
    <s v="INV-2026-03378"/>
    <x v="44"/>
    <s v="West"/>
    <s v="Surat"/>
    <s v="Retail Store"/>
    <s v="Vijay Singh"/>
    <s v="ABC Corp"/>
    <x v="0"/>
    <s v="Pen Set"/>
    <n v="18"/>
    <n v="5740.06"/>
    <n v="103321.08"/>
    <n v="15780.23"/>
    <n v="0"/>
    <n v="87540.85"/>
    <s v="Completed"/>
    <s v="Overdue"/>
  </r>
  <r>
    <s v="INV-2026-03379"/>
    <x v="55"/>
    <s v="Central"/>
    <s v="Indore"/>
    <s v="Distributor"/>
    <s v="Kavita Nair"/>
    <s v="Elite Enterprises"/>
    <x v="1"/>
    <s v="Office Chair"/>
    <n v="24"/>
    <n v="40205.97"/>
    <n v="964943.28"/>
    <n v="0"/>
    <n v="0"/>
    <n v="964943.28"/>
    <s v="Completed"/>
    <s v="Paid"/>
  </r>
  <r>
    <s v="INV-2026-03380"/>
    <x v="38"/>
    <s v="East"/>
    <s v="Kolkata"/>
    <s v="Retail Store"/>
    <s v="Vijay Singh"/>
    <s v="XYZ Ltd"/>
    <x v="2"/>
    <s v="Gym Equipment"/>
    <n v="42"/>
    <n v="11593.1"/>
    <n v="486910.2"/>
    <n v="96479.15"/>
    <n v="0"/>
    <n v="390431.05"/>
    <s v="Cancelled"/>
    <s v="Pending"/>
  </r>
  <r>
    <s v="INV-2026-03381"/>
    <x v="21"/>
    <s v="East"/>
    <s v="Guwahati"/>
    <s v="Direct Sales"/>
    <s v="Sneha Reddy"/>
    <s v="Urban Store"/>
    <x v="3"/>
    <s v="Smartphone"/>
    <n v="42"/>
    <n v="11007.7"/>
    <n v="462323.4"/>
    <n v="83019.759999999995"/>
    <n v="121648.23"/>
    <n v="257655.41"/>
    <s v="Pending"/>
    <s v="Pending"/>
  </r>
  <r>
    <s v="INV-2026-03382"/>
    <x v="61"/>
    <s v="West"/>
    <s v="Surat"/>
    <s v="Retail Store"/>
    <s v="Anita Desai"/>
    <s v="ABC Corp"/>
    <x v="1"/>
    <s v="Office Chair"/>
    <n v="31"/>
    <n v="4599.75"/>
    <n v="142592.25"/>
    <n v="0"/>
    <n v="0"/>
    <n v="142592.25"/>
    <s v="Processing"/>
    <s v="Pending"/>
  </r>
  <r>
    <s v="INV-2026-03383"/>
    <x v="86"/>
    <s v="North"/>
    <s v="Delhi"/>
    <s v="Distributor"/>
    <s v="Priya Patel"/>
    <s v="Digital Hub"/>
    <x v="0"/>
    <s v="File Folder"/>
    <n v="38"/>
    <n v="24931.66"/>
    <n v="947403.08"/>
    <n v="102329.93"/>
    <n v="0"/>
    <n v="845073.15"/>
    <s v="Cancelled"/>
    <s v="Pending"/>
  </r>
  <r>
    <s v="INV-2026-03384"/>
    <x v="65"/>
    <s v="East"/>
    <s v="Bhubaneswar"/>
    <s v="Direct Sales"/>
    <s v="Suresh Gupta"/>
    <s v="Elite Enterprises"/>
    <x v="1"/>
    <s v="Sofa"/>
    <n v="20"/>
    <n v="13106.87"/>
    <n v="262137.4"/>
    <n v="12413.77"/>
    <n v="0"/>
    <n v="249723.63"/>
    <s v="Pending"/>
    <s v="Pending"/>
  </r>
  <r>
    <s v="INV-2026-03385"/>
    <x v="46"/>
    <s v="North"/>
    <s v="Jaipur"/>
    <s v="Retail Store"/>
    <s v="Rajesh Verma"/>
    <s v="XYZ Ltd"/>
    <x v="0"/>
    <s v="Printer Paper"/>
    <n v="35"/>
    <n v="7886.22"/>
    <n v="276017.7"/>
    <n v="19583.23"/>
    <n v="0"/>
    <n v="256434.47"/>
    <s v="Processing"/>
    <s v="Pending"/>
  </r>
  <r>
    <s v="INV-2026-03386"/>
    <x v="77"/>
    <s v="West"/>
    <s v="Mumbai"/>
    <s v="Retail Store"/>
    <s v="Kavita Nair"/>
    <s v="Urban Store"/>
    <x v="2"/>
    <s v="Cricket Bat"/>
    <n v="6"/>
    <n v="13955.76"/>
    <n v="83734.559999999998"/>
    <n v="13631.27"/>
    <n v="13737.3"/>
    <n v="56365.99"/>
    <s v="Completed"/>
    <s v="Paid"/>
  </r>
  <r>
    <s v="INV-2026-03387"/>
    <x v="66"/>
    <s v="North"/>
    <s v="Lucknow"/>
    <s v="Distributor"/>
    <s v="Amit Kumar"/>
    <s v="Digital Hub"/>
    <x v="0"/>
    <s v="Notebook"/>
    <n v="36"/>
    <n v="36727.129999999997"/>
    <n v="1322176.68"/>
    <n v="193136.34"/>
    <n v="0"/>
    <n v="1129040.3400000001"/>
    <s v="Cancelled"/>
    <s v="Pending"/>
  </r>
  <r>
    <s v="INV-2026-03388"/>
    <x v="72"/>
    <s v="East"/>
    <s v="Bhubaneswar"/>
    <s v="Retail Store"/>
    <s v="Amit Kumar"/>
    <s v="Alpha Trading"/>
    <x v="3"/>
    <s v="Camera"/>
    <n v="7"/>
    <n v="3538.8"/>
    <n v="24771.599999999999"/>
    <n v="4133.1400000000003"/>
    <n v="0"/>
    <n v="20638.46"/>
    <s v="Cancelled"/>
    <s v="Pending"/>
  </r>
  <r>
    <s v="INV-2026-03389"/>
    <x v="73"/>
    <s v="Central"/>
    <s v="Indore"/>
    <s v="Direct Sales"/>
    <s v="Meera Joshi"/>
    <s v="Skyline Corp"/>
    <x v="3"/>
    <s v="Camera"/>
    <n v="14"/>
    <n v="21479.38"/>
    <n v="300711.32"/>
    <n v="51809.57"/>
    <n v="0"/>
    <n v="248901.75"/>
    <s v="Processing"/>
    <s v="Paid"/>
  </r>
  <r>
    <s v="INV-2026-03390"/>
    <x v="49"/>
    <s v="North"/>
    <s v="Chandigarh"/>
    <s v="Online"/>
    <s v="Priya Patel"/>
    <s v="Omega Stores"/>
    <x v="4"/>
    <s v="Dress"/>
    <n v="19"/>
    <n v="42845.33"/>
    <n v="814061.27"/>
    <n v="153399.76"/>
    <n v="0"/>
    <n v="660661.51"/>
    <s v="Completed"/>
    <s v="Paid"/>
  </r>
  <r>
    <s v="INV-2026-03391"/>
    <x v="52"/>
    <s v="West"/>
    <s v="Surat"/>
    <s v="Distributor"/>
    <s v="Amit Kumar"/>
    <s v="Omega Stores"/>
    <x v="1"/>
    <s v="Bookshelf"/>
    <n v="2"/>
    <n v="9367.26"/>
    <n v="18734.52"/>
    <n v="0"/>
    <n v="0"/>
    <n v="18734.52"/>
    <s v="Completed"/>
    <s v="Paid"/>
  </r>
  <r>
    <s v="INV-2026-03392"/>
    <x v="40"/>
    <s v="Central"/>
    <s v="Nagpur"/>
    <s v="Retail Store"/>
    <s v="Sneha Reddy"/>
    <s v="XYZ Ltd"/>
    <x v="1"/>
    <s v="Conference Table"/>
    <n v="8"/>
    <n v="17431.310000000001"/>
    <n v="139450.48000000001"/>
    <n v="22979.68"/>
    <n v="36108.14"/>
    <n v="80362.66"/>
    <s v="Completed"/>
    <s v="Paid"/>
  </r>
  <r>
    <s v="INV-2026-03393"/>
    <x v="19"/>
    <s v="South"/>
    <s v="Chennai"/>
    <s v="Distributor"/>
    <s v="Amit Kumar"/>
    <s v="Urban Store"/>
    <x v="3"/>
    <s v="Headphones"/>
    <n v="27"/>
    <n v="10650.65"/>
    <n v="287567.55"/>
    <n v="0"/>
    <n v="0"/>
    <n v="287567.55"/>
    <s v="Cancelled"/>
    <s v="Pending"/>
  </r>
  <r>
    <s v="INV-2026-03394"/>
    <x v="45"/>
    <s v="South"/>
    <s v="Hyderabad"/>
    <s v="Retail Store"/>
    <s v="Kavita Nair"/>
    <s v="XYZ Ltd"/>
    <x v="4"/>
    <s v="T-Shirt"/>
    <n v="4"/>
    <n v="41749.99"/>
    <n v="166999.96"/>
    <n v="26309.73"/>
    <n v="0"/>
    <n v="140690.23000000001"/>
    <s v="Pending"/>
    <s v="Pending"/>
  </r>
  <r>
    <s v="INV-2026-03395"/>
    <x v="91"/>
    <s v="South"/>
    <s v="Bangalore"/>
    <s v="Online"/>
    <s v="Suresh Gupta"/>
    <s v="Elite Enterprises"/>
    <x v="3"/>
    <s v="Tablet"/>
    <n v="46"/>
    <n v="27009.37"/>
    <n v="1242431.02"/>
    <n v="99061.54"/>
    <n v="0"/>
    <n v="1143369.48"/>
    <s v="Cancelled"/>
    <s v="Pending"/>
  </r>
  <r>
    <s v="INV-2026-03396"/>
    <x v="73"/>
    <s v="North"/>
    <s v="Delhi"/>
    <s v="Online"/>
    <s v="Anita Desai"/>
    <s v="Smart Systems"/>
    <x v="2"/>
    <s v="Tennis Racket"/>
    <n v="9"/>
    <n v="39430.39"/>
    <n v="354873.51"/>
    <n v="30959.43"/>
    <n v="0"/>
    <n v="323914.08"/>
    <s v="Cancelled"/>
    <s v="Pending"/>
  </r>
  <r>
    <s v="INV-2026-03397"/>
    <x v="4"/>
    <s v="North"/>
    <s v="Delhi"/>
    <s v="Online"/>
    <s v="Amit Kumar"/>
    <s v="Nexus Ltd"/>
    <x v="0"/>
    <s v="Notebook"/>
    <n v="12"/>
    <n v="7175.4"/>
    <n v="86104.8"/>
    <n v="0"/>
    <n v="0"/>
    <n v="86104.8"/>
    <s v="Processing"/>
    <s v="Paid"/>
  </r>
  <r>
    <s v="INV-2026-03398"/>
    <x v="33"/>
    <s v="North"/>
    <s v="Jaipur"/>
    <s v="Distributor"/>
    <s v="Rahul Sharma"/>
    <s v="ABC Corp"/>
    <x v="4"/>
    <s v="Jacket"/>
    <n v="41"/>
    <n v="44583.61"/>
    <n v="1827928.01"/>
    <n v="40707.29"/>
    <n v="0"/>
    <n v="1787220.72"/>
    <s v="Completed"/>
    <s v="Paid"/>
  </r>
  <r>
    <s v="INV-2026-03399"/>
    <x v="14"/>
    <s v="North"/>
    <s v="Lucknow"/>
    <s v="Retail Store"/>
    <s v="Suresh Gupta"/>
    <s v="Prime Retail"/>
    <x v="0"/>
    <s v="File Folder"/>
    <n v="26"/>
    <n v="23352.71"/>
    <n v="607170.46"/>
    <n v="24476.97"/>
    <n v="0"/>
    <n v="582693.49"/>
    <s v="Processing"/>
    <s v="Pending"/>
  </r>
  <r>
    <s v="INV-2026-03400"/>
    <x v="30"/>
    <s v="South"/>
    <s v="Bangalore"/>
    <s v="Distributor"/>
    <s v="Sneha Reddy"/>
    <s v="Alpha Trading"/>
    <x v="0"/>
    <s v="Desk Organizer"/>
    <n v="28"/>
    <n v="3633.45"/>
    <n v="101736.6"/>
    <n v="3736.21"/>
    <n v="0"/>
    <n v="98000.39"/>
    <s v="Completed"/>
    <s v="Paid"/>
  </r>
  <r>
    <s v="INV-2026-03401"/>
    <x v="84"/>
    <s v="South"/>
    <s v="Chennai"/>
    <s v="Retail Store"/>
    <s v="Sneha Reddy"/>
    <s v="Nexus Ltd"/>
    <x v="3"/>
    <s v="Laptop"/>
    <n v="43"/>
    <n v="16120.37"/>
    <n v="693175.91"/>
    <n v="0"/>
    <n v="0"/>
    <n v="693175.91"/>
    <s v="Completed"/>
    <s v="Paid"/>
  </r>
  <r>
    <s v="INV-2026-03402"/>
    <x v="56"/>
    <s v="East"/>
    <s v="Bhubaneswar"/>
    <s v="Retail Store"/>
    <s v="Rahul Sharma"/>
    <s v="Digital Hub"/>
    <x v="0"/>
    <s v="Pen Set"/>
    <n v="1"/>
    <n v="34880.17"/>
    <n v="34880.17"/>
    <n v="5334.01"/>
    <n v="0"/>
    <n v="29546.16"/>
    <s v="Cancelled"/>
    <s v="Pending"/>
  </r>
  <r>
    <s v="INV-2026-03403"/>
    <x v="6"/>
    <s v="South"/>
    <s v="Kochi"/>
    <s v="Direct Sales"/>
    <s v="Vijay Singh"/>
    <s v="Smart Systems"/>
    <x v="3"/>
    <s v="Camera"/>
    <n v="40"/>
    <n v="46731.19"/>
    <n v="1869247.6"/>
    <n v="152181.99"/>
    <n v="0"/>
    <n v="1717065.61"/>
    <s v="Pending"/>
    <s v="Pending"/>
  </r>
  <r>
    <s v="INV-2026-03404"/>
    <x v="54"/>
    <s v="Central"/>
    <s v="Nagpur"/>
    <s v="Online"/>
    <s v="Vijay Singh"/>
    <s v="Skyline Corp"/>
    <x v="2"/>
    <s v="Yoga Mat"/>
    <n v="31"/>
    <n v="2557.36"/>
    <n v="79278.16"/>
    <n v="4318.67"/>
    <n v="0"/>
    <n v="74959.490000000005"/>
    <s v="Pending"/>
    <s v="Paid"/>
  </r>
  <r>
    <s v="INV-2026-03405"/>
    <x v="24"/>
    <s v="North"/>
    <s v="Delhi"/>
    <s v="Distributor"/>
    <s v="Anita Desai"/>
    <s v="Prime Retail"/>
    <x v="5"/>
    <s v="Vacuum Cleaner"/>
    <n v="46"/>
    <n v="11159.46"/>
    <n v="513335.16"/>
    <n v="0"/>
    <n v="0"/>
    <n v="513335.16"/>
    <s v="Pending"/>
    <s v="Pending"/>
  </r>
  <r>
    <s v="INV-2026-03406"/>
    <x v="48"/>
    <s v="North"/>
    <s v="Jaipur"/>
    <s v="Direct Sales"/>
    <s v="Amit Kumar"/>
    <s v="Global Traders"/>
    <x v="4"/>
    <s v="Dress"/>
    <n v="42"/>
    <n v="46051.199999999997"/>
    <n v="1934150.4"/>
    <n v="73458.490000000005"/>
    <n v="0"/>
    <n v="1860691.91"/>
    <s v="Completed"/>
    <s v="Paid"/>
  </r>
  <r>
    <s v="INV-2026-03407"/>
    <x v="82"/>
    <s v="South"/>
    <s v="Kochi"/>
    <s v="Online"/>
    <s v="Priya Patel"/>
    <s v="Smart Systems"/>
    <x v="0"/>
    <s v="Printer Paper"/>
    <n v="18"/>
    <n v="11487.92"/>
    <n v="206782.56"/>
    <n v="22884.78"/>
    <n v="0"/>
    <n v="183897.78"/>
    <s v="Processing"/>
    <s v="Pending"/>
  </r>
  <r>
    <s v="INV-2026-03408"/>
    <x v="73"/>
    <s v="North"/>
    <s v="Chandigarh"/>
    <s v="Distributor"/>
    <s v="Meera Joshi"/>
    <s v="Urban Store"/>
    <x v="4"/>
    <s v="Shoes"/>
    <n v="21"/>
    <n v="43948.39"/>
    <n v="922916.19"/>
    <n v="134600.76999999999"/>
    <n v="88978.19"/>
    <n v="699337.23"/>
    <s v="Cancelled"/>
    <s v="Pending"/>
  </r>
  <r>
    <s v="INV-2026-03409"/>
    <x v="46"/>
    <s v="South"/>
    <s v="Chennai"/>
    <s v="Distributor"/>
    <s v="Rahul Sharma"/>
    <s v="Global Traders"/>
    <x v="1"/>
    <s v="Office Chair"/>
    <n v="39"/>
    <n v="48427.94"/>
    <n v="1888689.66"/>
    <n v="139760.91"/>
    <n v="0"/>
    <n v="1748928.75"/>
    <s v="Processing"/>
    <s v="Pending"/>
  </r>
  <r>
    <s v="INV-2026-03410"/>
    <x v="65"/>
    <s v="East"/>
    <s v="Patna"/>
    <s v="Online"/>
    <s v="Priya Patel"/>
    <s v="Tech Solutions"/>
    <x v="3"/>
    <s v="Tablet"/>
    <n v="26"/>
    <n v="25626.38"/>
    <n v="666285.88"/>
    <n v="0"/>
    <n v="0"/>
    <n v="666285.88"/>
    <s v="Completed"/>
    <s v="Paid"/>
  </r>
  <r>
    <s v="INV-2026-03411"/>
    <x v="20"/>
    <s v="North"/>
    <s v="Jaipur"/>
    <s v="Online"/>
    <s v="Amit Kumar"/>
    <s v="Tech Solutions"/>
    <x v="1"/>
    <s v="Bookshelf"/>
    <n v="11"/>
    <n v="30733.4"/>
    <n v="338067.4"/>
    <n v="8985.33"/>
    <n v="0"/>
    <n v="329082.07"/>
    <s v="Completed"/>
    <s v="Paid"/>
  </r>
  <r>
    <s v="INV-2026-03412"/>
    <x v="44"/>
    <s v="Central"/>
    <s v="Nagpur"/>
    <s v="Retail Store"/>
    <s v="Amit Kumar"/>
    <s v="Skyline Corp"/>
    <x v="5"/>
    <s v="Vacuum Cleaner"/>
    <n v="7"/>
    <n v="672.91"/>
    <n v="4710.37"/>
    <n v="93.66"/>
    <n v="0"/>
    <n v="4616.71"/>
    <s v="Processing"/>
    <s v="Pending"/>
  </r>
  <r>
    <s v="INV-2026-03413"/>
    <x v="30"/>
    <s v="West"/>
    <s v="Ahmedabad"/>
    <s v="Online"/>
    <s v="Vijay Singh"/>
    <s v="Prime Retail"/>
    <x v="5"/>
    <s v="Vacuum Cleaner"/>
    <n v="11"/>
    <n v="36319.82"/>
    <n v="399518.02"/>
    <n v="1465.9"/>
    <n v="11265.92"/>
    <n v="386786.2"/>
    <s v="Completed"/>
    <s v="Paid"/>
  </r>
  <r>
    <s v="INV-2026-03414"/>
    <x v="20"/>
    <s v="West"/>
    <s v="Pune"/>
    <s v="Distributor"/>
    <s v="Sneha Reddy"/>
    <s v="Elite Enterprises"/>
    <x v="4"/>
    <s v="Shoes"/>
    <n v="29"/>
    <n v="27270.99"/>
    <n v="790858.71"/>
    <n v="71553.240000000005"/>
    <n v="0"/>
    <n v="719305.47"/>
    <s v="Pending"/>
    <s v="Paid"/>
  </r>
  <r>
    <s v="INV-2026-03415"/>
    <x v="34"/>
    <s v="West"/>
    <s v="Surat"/>
    <s v="Online"/>
    <s v="Rahul Sharma"/>
    <s v="Urban Store"/>
    <x v="0"/>
    <s v="Printer Paper"/>
    <n v="24"/>
    <n v="5392.05"/>
    <n v="129409.2"/>
    <n v="0"/>
    <n v="0"/>
    <n v="129409.2"/>
    <s v="Completed"/>
    <s v="Paid"/>
  </r>
  <r>
    <s v="INV-2026-03416"/>
    <x v="4"/>
    <s v="South"/>
    <s v="Chennai"/>
    <s v="Direct Sales"/>
    <s v="Rahul Sharma"/>
    <s v="Alpha Trading"/>
    <x v="2"/>
    <s v="Yoga Mat"/>
    <n v="49"/>
    <n v="5111.84"/>
    <n v="250480.16"/>
    <n v="0"/>
    <n v="0"/>
    <n v="250480.16"/>
    <s v="Cancelled"/>
    <s v="Pending"/>
  </r>
  <r>
    <s v="INV-2026-03417"/>
    <x v="41"/>
    <s v="Central"/>
    <s v="Bhopal"/>
    <s v="Online"/>
    <s v="Kavita Nair"/>
    <s v="Skyline Corp"/>
    <x v="2"/>
    <s v="Gym Equipment"/>
    <n v="31"/>
    <n v="32338.35"/>
    <n v="1002488.85"/>
    <n v="130796.93"/>
    <n v="0"/>
    <n v="871691.92"/>
    <s v="Cancelled"/>
    <s v="Pending"/>
  </r>
  <r>
    <s v="INV-2026-03418"/>
    <x v="60"/>
    <s v="North"/>
    <s v="Jaipur"/>
    <s v="Direct Sales"/>
    <s v="Vijay Singh"/>
    <s v="Metro Mart"/>
    <x v="3"/>
    <s v="Smart Watch"/>
    <n v="27"/>
    <n v="30325.96"/>
    <n v="818800.92"/>
    <n v="0"/>
    <n v="0"/>
    <n v="818800.92"/>
    <s v="Processing"/>
    <s v="Paid"/>
  </r>
  <r>
    <s v="INV-2026-03419"/>
    <x v="32"/>
    <s v="North"/>
    <s v="Lucknow"/>
    <s v="Direct Sales"/>
    <s v="Rajesh Verma"/>
    <s v="Digital Hub"/>
    <x v="4"/>
    <s v="Shoes"/>
    <n v="24"/>
    <n v="28030.27"/>
    <n v="672726.48"/>
    <n v="6826.34"/>
    <n v="0"/>
    <n v="665900.14"/>
    <s v="Processing"/>
    <s v="Pending"/>
  </r>
  <r>
    <s v="INV-2026-03420"/>
    <x v="90"/>
    <s v="East"/>
    <s v="Bhubaneswar"/>
    <s v="Distributor"/>
    <s v="Kavita Nair"/>
    <s v="Smart Systems"/>
    <x v="1"/>
    <s v="Sofa"/>
    <n v="28"/>
    <n v="42716.46"/>
    <n v="1196060.8799999999"/>
    <n v="181799.2"/>
    <n v="0"/>
    <n v="1014261.68"/>
    <s v="Pending"/>
    <s v="Pending"/>
  </r>
  <r>
    <s v="INV-2026-03421"/>
    <x v="31"/>
    <s v="West"/>
    <s v="Pune"/>
    <s v="Distributor"/>
    <s v="Sneha Reddy"/>
    <s v="Smart Systems"/>
    <x v="1"/>
    <s v="Office Chair"/>
    <n v="34"/>
    <n v="7978.66"/>
    <n v="271274.44"/>
    <n v="0"/>
    <n v="0"/>
    <n v="271274.44"/>
    <s v="Completed"/>
    <s v="Paid"/>
  </r>
  <r>
    <s v="INV-2026-03422"/>
    <x v="80"/>
    <s v="East"/>
    <s v="Guwahati"/>
    <s v="Retail Store"/>
    <s v="Sneha Reddy"/>
    <s v="Prime Retail"/>
    <x v="5"/>
    <s v="Air Conditioner"/>
    <n v="46"/>
    <n v="2006.39"/>
    <n v="92293.94"/>
    <n v="11014.01"/>
    <n v="1371.45"/>
    <n v="79908.479999999996"/>
    <s v="Pending"/>
    <s v="Pending"/>
  </r>
  <r>
    <s v="INV-2026-03423"/>
    <x v="4"/>
    <s v="Central"/>
    <s v="Bhopal"/>
    <s v="Direct Sales"/>
    <s v="Suresh Gupta"/>
    <s v="XYZ Ltd"/>
    <x v="2"/>
    <s v="Tennis Racket"/>
    <n v="25"/>
    <n v="4301.4399999999996"/>
    <n v="107536"/>
    <n v="0"/>
    <n v="0"/>
    <n v="107536"/>
    <s v="Cancelled"/>
    <s v="Pending"/>
  </r>
  <r>
    <s v="INV-2026-03424"/>
    <x v="91"/>
    <s v="East"/>
    <s v="Guwahati"/>
    <s v="Direct Sales"/>
    <s v="Sneha Reddy"/>
    <s v="Urban Store"/>
    <x v="4"/>
    <s v="T-Shirt"/>
    <n v="18"/>
    <n v="5843.18"/>
    <n v="105177.24"/>
    <n v="15492.02"/>
    <n v="0"/>
    <n v="89685.22"/>
    <s v="Processing"/>
    <s v="Pending"/>
  </r>
  <r>
    <s v="INV-2026-03425"/>
    <x v="72"/>
    <s v="Central"/>
    <s v="Bhopal"/>
    <s v="Retail Store"/>
    <s v="Rajesh Verma"/>
    <s v="Prime Retail"/>
    <x v="5"/>
    <s v="Air Conditioner"/>
    <n v="35"/>
    <n v="12882.14"/>
    <n v="450874.9"/>
    <n v="13926.53"/>
    <n v="0"/>
    <n v="436948.37"/>
    <s v="Processing"/>
    <s v="Pending"/>
  </r>
  <r>
    <s v="INV-2026-03426"/>
    <x v="29"/>
    <s v="East"/>
    <s v="Bhubaneswar"/>
    <s v="Online"/>
    <s v="Meera Joshi"/>
    <s v="Future Tech"/>
    <x v="1"/>
    <s v="Sofa"/>
    <n v="1"/>
    <n v="4959.57"/>
    <n v="4959.57"/>
    <n v="541.77"/>
    <n v="0"/>
    <n v="4417.8"/>
    <s v="Completed"/>
    <s v="Paid"/>
  </r>
  <r>
    <s v="INV-2026-03427"/>
    <x v="50"/>
    <s v="Central"/>
    <s v="Indore"/>
    <s v="Online"/>
    <s v="Amit Kumar"/>
    <s v="Nexus Ltd"/>
    <x v="5"/>
    <s v="TV"/>
    <n v="50"/>
    <n v="12374.27"/>
    <n v="618713.5"/>
    <n v="85641.02"/>
    <n v="0"/>
    <n v="533072.48"/>
    <s v="Pending"/>
    <s v="Paid"/>
  </r>
  <r>
    <s v="INV-2026-03428"/>
    <x v="2"/>
    <s v="West"/>
    <s v="Ahmedabad"/>
    <s v="Retail Store"/>
    <s v="Suresh Gupta"/>
    <s v="Metro Mart"/>
    <x v="1"/>
    <s v="Desk"/>
    <n v="5"/>
    <n v="43727.72"/>
    <n v="218638.6"/>
    <n v="0"/>
    <n v="0"/>
    <n v="218638.6"/>
    <s v="Pending"/>
    <s v="Pending"/>
  </r>
  <r>
    <s v="INV-2026-03429"/>
    <x v="68"/>
    <s v="East"/>
    <s v="Guwahati"/>
    <s v="Distributor"/>
    <s v="Rahul Sharma"/>
    <s v="XYZ Ltd"/>
    <x v="0"/>
    <s v="Pen Set"/>
    <n v="25"/>
    <n v="28548.27"/>
    <n v="713706.75"/>
    <n v="0"/>
    <n v="0"/>
    <n v="713706.75"/>
    <s v="Cancelled"/>
    <s v="Pending"/>
  </r>
  <r>
    <s v="INV-2026-03430"/>
    <x v="11"/>
    <s v="North"/>
    <s v="Chandigarh"/>
    <s v="Direct Sales"/>
    <s v="Meera Joshi"/>
    <s v="XYZ Ltd"/>
    <x v="1"/>
    <s v="Conference Table"/>
    <n v="40"/>
    <n v="37041.42"/>
    <n v="1481656.8"/>
    <n v="231127.36"/>
    <n v="0"/>
    <n v="1250529.44"/>
    <s v="Processing"/>
    <s v="Pending"/>
  </r>
  <r>
    <s v="INV-2026-03431"/>
    <x v="57"/>
    <s v="North"/>
    <s v="Lucknow"/>
    <s v="Direct Sales"/>
    <s v="Rajesh Verma"/>
    <s v="Alpha Trading"/>
    <x v="0"/>
    <s v="Printer Paper"/>
    <n v="21"/>
    <n v="9959.34"/>
    <n v="209146.14"/>
    <n v="13071.74"/>
    <n v="0"/>
    <n v="196074.4"/>
    <s v="Processing"/>
    <s v="Pending"/>
  </r>
  <r>
    <s v="INV-2026-03432"/>
    <x v="0"/>
    <s v="North"/>
    <s v="Chandigarh"/>
    <s v="Direct Sales"/>
    <s v="Rajesh Verma"/>
    <s v="Digital Hub"/>
    <x v="0"/>
    <s v="Pen Set"/>
    <n v="38"/>
    <n v="48054.85"/>
    <n v="1826084.3"/>
    <n v="1805.2"/>
    <n v="0"/>
    <n v="1824279.1"/>
    <s v="Cancelled"/>
    <s v="Pending"/>
  </r>
  <r>
    <s v="INV-2026-03433"/>
    <x v="60"/>
    <s v="North"/>
    <s v="Lucknow"/>
    <s v="Distributor"/>
    <s v="Sneha Reddy"/>
    <s v="Nexus Ltd"/>
    <x v="0"/>
    <s v="File Folder"/>
    <n v="36"/>
    <n v="46378.44"/>
    <n v="1669623.84"/>
    <n v="147699.85"/>
    <n v="0"/>
    <n v="1521923.99"/>
    <s v="Completed"/>
    <s v="Overdue"/>
  </r>
  <r>
    <s v="INV-2026-03434"/>
    <x v="51"/>
    <s v="South"/>
    <s v="Kochi"/>
    <s v="Direct Sales"/>
    <s v="Anita Desai"/>
    <s v="Alpha Trading"/>
    <x v="1"/>
    <s v="Cabinet"/>
    <n v="30"/>
    <n v="24640.95"/>
    <n v="739228.5"/>
    <n v="35964.050000000003"/>
    <n v="0"/>
    <n v="703264.45"/>
    <s v="Completed"/>
    <s v="Paid"/>
  </r>
  <r>
    <s v="INV-2026-03435"/>
    <x v="47"/>
    <s v="West"/>
    <s v="Ahmedabad"/>
    <s v="Distributor"/>
    <s v="Rajesh Verma"/>
    <s v="Nexus Ltd"/>
    <x v="3"/>
    <s v="Tablet"/>
    <n v="38"/>
    <n v="12823.81"/>
    <n v="487304.78"/>
    <n v="0"/>
    <n v="0"/>
    <n v="487304.78"/>
    <s v="Processing"/>
    <s v="Pending"/>
  </r>
  <r>
    <s v="INV-2026-03436"/>
    <x v="12"/>
    <s v="West"/>
    <s v="Mumbai"/>
    <s v="Retail Store"/>
    <s v="Suresh Gupta"/>
    <s v="Alpha Trading"/>
    <x v="3"/>
    <s v="Camera"/>
    <n v="44"/>
    <n v="26273.82"/>
    <n v="1156048.08"/>
    <n v="18788.52"/>
    <n v="0"/>
    <n v="1137259.56"/>
    <s v="Pending"/>
    <s v="Pending"/>
  </r>
  <r>
    <s v="INV-2026-03437"/>
    <x v="22"/>
    <s v="Central"/>
    <s v="Raipur"/>
    <s v="Retail Store"/>
    <s v="Amit Kumar"/>
    <s v="Elite Enterprises"/>
    <x v="4"/>
    <s v="Dress"/>
    <n v="14"/>
    <n v="36534.9"/>
    <n v="511488.6"/>
    <n v="0"/>
    <n v="0"/>
    <n v="511488.6"/>
    <s v="Processing"/>
    <s v="Pending"/>
  </r>
  <r>
    <s v="INV-2026-03438"/>
    <x v="77"/>
    <s v="West"/>
    <s v="Surat"/>
    <s v="Distributor"/>
    <s v="Suresh Gupta"/>
    <s v="Prime Retail"/>
    <x v="1"/>
    <s v="Sofa"/>
    <n v="48"/>
    <n v="18585.580000000002"/>
    <n v="892107.84"/>
    <n v="19609.07"/>
    <n v="0"/>
    <n v="872498.77"/>
    <s v="Completed"/>
    <s v="Paid"/>
  </r>
  <r>
    <s v="INV-2026-03439"/>
    <x v="80"/>
    <s v="West"/>
    <s v="Mumbai"/>
    <s v="Retail Store"/>
    <s v="Sneha Reddy"/>
    <s v="Global Traders"/>
    <x v="3"/>
    <s v="Headphones"/>
    <n v="34"/>
    <n v="14639.97"/>
    <n v="497758.98"/>
    <n v="0"/>
    <n v="0"/>
    <n v="497758.98"/>
    <s v="Pending"/>
    <s v="Paid"/>
  </r>
  <r>
    <s v="INV-2026-03440"/>
    <x v="19"/>
    <s v="North"/>
    <s v="Jaipur"/>
    <s v="Direct Sales"/>
    <s v="Kavita Nair"/>
    <s v="Alpha Trading"/>
    <x v="3"/>
    <s v="Smartphone"/>
    <n v="28"/>
    <n v="2726.64"/>
    <n v="76345.919999999998"/>
    <n v="0"/>
    <n v="0"/>
    <n v="76345.919999999998"/>
    <s v="Processing"/>
    <s v="Paid"/>
  </r>
  <r>
    <s v="INV-2026-03441"/>
    <x v="83"/>
    <s v="Central"/>
    <s v="Raipur"/>
    <s v="Retail Store"/>
    <s v="Anita Desai"/>
    <s v="Metro Mart"/>
    <x v="1"/>
    <s v="Sofa"/>
    <n v="33"/>
    <n v="29725.52"/>
    <n v="980942.16"/>
    <n v="0"/>
    <n v="0"/>
    <n v="980942.16"/>
    <s v="Pending"/>
    <s v="Paid"/>
  </r>
  <r>
    <s v="INV-2026-03442"/>
    <x v="51"/>
    <s v="West"/>
    <s v="Ahmedabad"/>
    <s v="Direct Sales"/>
    <s v="Rajesh Verma"/>
    <s v="ABC Corp"/>
    <x v="0"/>
    <s v="Whiteboard"/>
    <n v="10"/>
    <n v="29452.79"/>
    <n v="294527.90000000002"/>
    <n v="17183.23"/>
    <n v="0"/>
    <n v="277344.67"/>
    <s v="Processing"/>
    <s v="Pending"/>
  </r>
  <r>
    <s v="INV-2026-03443"/>
    <x v="22"/>
    <s v="South"/>
    <s v="Kochi"/>
    <s v="Direct Sales"/>
    <s v="Anita Desai"/>
    <s v="Omega Stores"/>
    <x v="5"/>
    <s v="TV"/>
    <n v="28"/>
    <n v="7592.94"/>
    <n v="212602.32"/>
    <n v="3864.98"/>
    <n v="0"/>
    <n v="208737.34"/>
    <s v="Completed"/>
    <s v="Paid"/>
  </r>
  <r>
    <s v="INV-2026-03444"/>
    <x v="59"/>
    <s v="West"/>
    <s v="Ahmedabad"/>
    <s v="Online"/>
    <s v="Suresh Gupta"/>
    <s v="Skyline Corp"/>
    <x v="1"/>
    <s v="Sofa"/>
    <n v="41"/>
    <n v="37311.06"/>
    <n v="1529753.46"/>
    <n v="0"/>
    <n v="0"/>
    <n v="1529753.46"/>
    <s v="Completed"/>
    <s v="Paid"/>
  </r>
  <r>
    <s v="INV-2026-03445"/>
    <x v="21"/>
    <s v="North"/>
    <s v="Jaipur"/>
    <s v="Online"/>
    <s v="Amit Kumar"/>
    <s v="Skyline Corp"/>
    <x v="1"/>
    <s v="Bookshelf"/>
    <n v="15"/>
    <n v="44512.05"/>
    <n v="667680.75"/>
    <n v="0"/>
    <n v="0"/>
    <n v="667680.75"/>
    <s v="Processing"/>
    <s v="Pending"/>
  </r>
  <r>
    <s v="INV-2026-03446"/>
    <x v="17"/>
    <s v="East"/>
    <s v="Kolkata"/>
    <s v="Retail Store"/>
    <s v="Meera Joshi"/>
    <s v="Metro Mart"/>
    <x v="3"/>
    <s v="Laptop"/>
    <n v="9"/>
    <n v="12588.38"/>
    <n v="113295.42"/>
    <n v="495.11"/>
    <n v="5723.98"/>
    <n v="107076.33"/>
    <s v="Cancelled"/>
    <s v="Pending"/>
  </r>
  <r>
    <s v="INV-2026-03447"/>
    <x v="10"/>
    <s v="East"/>
    <s v="Bhubaneswar"/>
    <s v="Retail Store"/>
    <s v="Suresh Gupta"/>
    <s v="Smart Systems"/>
    <x v="4"/>
    <s v="Formal Shirt"/>
    <n v="20"/>
    <n v="6177.64"/>
    <n v="123552.8"/>
    <n v="14633.44"/>
    <n v="0"/>
    <n v="108919.36"/>
    <s v="Pending"/>
    <s v="Paid"/>
  </r>
  <r>
    <s v="INV-2026-03448"/>
    <x v="71"/>
    <s v="East"/>
    <s v="Guwahati"/>
    <s v="Distributor"/>
    <s v="Meera Joshi"/>
    <s v="Omega Stores"/>
    <x v="0"/>
    <s v="Printer Paper"/>
    <n v="18"/>
    <n v="8393.59"/>
    <n v="151084.62"/>
    <n v="0"/>
    <n v="0"/>
    <n v="151084.62"/>
    <s v="Processing"/>
    <s v="Pending"/>
  </r>
  <r>
    <s v="INV-2026-03449"/>
    <x v="63"/>
    <s v="North"/>
    <s v="Delhi"/>
    <s v="Distributor"/>
    <s v="Priya Patel"/>
    <s v="Omega Stores"/>
    <x v="4"/>
    <s v="T-Shirt"/>
    <n v="10"/>
    <n v="4846.51"/>
    <n v="48465.1"/>
    <n v="6028.32"/>
    <n v="0"/>
    <n v="42436.78"/>
    <s v="Completed"/>
    <s v="Paid"/>
  </r>
  <r>
    <s v="INV-2026-03450"/>
    <x v="85"/>
    <s v="South"/>
    <s v="Hyderabad"/>
    <s v="Online"/>
    <s v="Rahul Sharma"/>
    <s v="Digital Hub"/>
    <x v="5"/>
    <s v="Refrigerator"/>
    <n v="49"/>
    <n v="13993.38"/>
    <n v="685675.62"/>
    <n v="101110.85"/>
    <n v="0"/>
    <n v="584564.77"/>
    <s v="Cancelled"/>
    <s v="Pending"/>
  </r>
  <r>
    <s v="INV-2026-03451"/>
    <x v="40"/>
    <s v="North"/>
    <s v="Chandigarh"/>
    <s v="Direct Sales"/>
    <s v="Rahul Sharma"/>
    <s v="Skyline Corp"/>
    <x v="3"/>
    <s v="Camera"/>
    <n v="8"/>
    <n v="31042.46"/>
    <n v="248339.68"/>
    <n v="0"/>
    <n v="0"/>
    <n v="248339.68"/>
    <s v="Completed"/>
    <s v="Overdue"/>
  </r>
  <r>
    <s v="INV-2026-03452"/>
    <x v="67"/>
    <s v="South"/>
    <s v="Hyderabad"/>
    <s v="Online"/>
    <s v="Kavita Nair"/>
    <s v="Skyline Corp"/>
    <x v="1"/>
    <s v="Conference Table"/>
    <n v="14"/>
    <n v="47508.58"/>
    <n v="665120.12"/>
    <n v="74497.119999999995"/>
    <n v="0"/>
    <n v="590623"/>
    <s v="Cancelled"/>
    <s v="Pending"/>
  </r>
  <r>
    <s v="INV-2026-03453"/>
    <x v="43"/>
    <s v="East"/>
    <s v="Bhubaneswar"/>
    <s v="Direct Sales"/>
    <s v="Priya Patel"/>
    <s v="Elite Enterprises"/>
    <x v="2"/>
    <s v="Football"/>
    <n v="29"/>
    <n v="576.63"/>
    <n v="16722.27"/>
    <n v="0"/>
    <n v="0"/>
    <n v="16722.27"/>
    <s v="Pending"/>
    <s v="Pending"/>
  </r>
  <r>
    <s v="INV-2026-03454"/>
    <x v="52"/>
    <s v="Central"/>
    <s v="Bhopal"/>
    <s v="Distributor"/>
    <s v="Sneha Reddy"/>
    <s v="Elite Enterprises"/>
    <x v="1"/>
    <s v="Desk"/>
    <n v="8"/>
    <n v="48273.46"/>
    <n v="386187.68"/>
    <n v="12244.04"/>
    <n v="0"/>
    <n v="373943.64"/>
    <s v="Pending"/>
    <s v="Pending"/>
  </r>
  <r>
    <s v="INV-2026-03455"/>
    <x v="78"/>
    <s v="South"/>
    <s v="Kochi"/>
    <s v="Retail Store"/>
    <s v="Meera Joshi"/>
    <s v="Smart Systems"/>
    <x v="5"/>
    <s v="Washing Machine"/>
    <n v="36"/>
    <n v="15864.01"/>
    <n v="571104.36"/>
    <n v="0"/>
    <n v="0"/>
    <n v="571104.36"/>
    <s v="Processing"/>
    <s v="Paid"/>
  </r>
  <r>
    <s v="INV-2026-03456"/>
    <x v="26"/>
    <s v="East"/>
    <s v="Patna"/>
    <s v="Online"/>
    <s v="Kavita Nair"/>
    <s v="Digital Hub"/>
    <x v="1"/>
    <s v="Office Chair"/>
    <n v="24"/>
    <n v="43542.27"/>
    <n v="1045014.48"/>
    <n v="0"/>
    <n v="163626.93"/>
    <n v="881387.55"/>
    <s v="Processing"/>
    <s v="Pending"/>
  </r>
  <r>
    <s v="INV-2026-03457"/>
    <x v="13"/>
    <s v="East"/>
    <s v="Guwahati"/>
    <s v="Direct Sales"/>
    <s v="Anita Desai"/>
    <s v="Prime Retail"/>
    <x v="4"/>
    <s v="Formal Shirt"/>
    <n v="15"/>
    <n v="15474.74"/>
    <n v="232121.1"/>
    <n v="0"/>
    <n v="14900.64"/>
    <n v="217220.46"/>
    <s v="Processing"/>
    <s v="Pending"/>
  </r>
  <r>
    <s v="INV-2026-03458"/>
    <x v="60"/>
    <s v="West"/>
    <s v="Mumbai"/>
    <s v="Direct Sales"/>
    <s v="Meera Joshi"/>
    <s v="Omega Stores"/>
    <x v="1"/>
    <s v="Desk"/>
    <n v="8"/>
    <n v="2361.11"/>
    <n v="18888.88"/>
    <n v="3340.33"/>
    <n v="0"/>
    <n v="15548.55"/>
    <s v="Completed"/>
    <s v="Paid"/>
  </r>
  <r>
    <s v="INV-2026-03459"/>
    <x v="61"/>
    <s v="West"/>
    <s v="Surat"/>
    <s v="Retail Store"/>
    <s v="Rahul Sharma"/>
    <s v="Omega Stores"/>
    <x v="3"/>
    <s v="Smart Watch"/>
    <n v="46"/>
    <n v="24805.25"/>
    <n v="1141041.5"/>
    <n v="118452.59"/>
    <n v="0"/>
    <n v="1022588.91"/>
    <s v="Completed"/>
    <s v="Paid"/>
  </r>
  <r>
    <s v="INV-2026-03460"/>
    <x v="59"/>
    <s v="Central"/>
    <s v="Nagpur"/>
    <s v="Distributor"/>
    <s v="Meera Joshi"/>
    <s v="Alpha Trading"/>
    <x v="0"/>
    <s v="Notebook"/>
    <n v="8"/>
    <n v="32938.76"/>
    <n v="263510.08"/>
    <n v="40890.35"/>
    <n v="0"/>
    <n v="222619.73"/>
    <s v="Cancelled"/>
    <s v="Pending"/>
  </r>
  <r>
    <s v="INV-2026-03461"/>
    <x v="48"/>
    <s v="East"/>
    <s v="Bhubaneswar"/>
    <s v="Online"/>
    <s v="Kavita Nair"/>
    <s v="Prime Retail"/>
    <x v="5"/>
    <s v="Washing Machine"/>
    <n v="41"/>
    <n v="16899.38"/>
    <n v="692874.58"/>
    <n v="0"/>
    <n v="0"/>
    <n v="692874.58"/>
    <s v="Processing"/>
    <s v="Paid"/>
  </r>
  <r>
    <s v="INV-2026-03462"/>
    <x v="64"/>
    <s v="East"/>
    <s v="Patna"/>
    <s v="Distributor"/>
    <s v="Sneha Reddy"/>
    <s v="Tech Solutions"/>
    <x v="5"/>
    <s v="Air Conditioner"/>
    <n v="28"/>
    <n v="13263.17"/>
    <n v="371368.76"/>
    <n v="0"/>
    <n v="0"/>
    <n v="371368.76"/>
    <s v="Processing"/>
    <s v="Pending"/>
  </r>
  <r>
    <s v="INV-2026-03463"/>
    <x v="49"/>
    <s v="West"/>
    <s v="Surat"/>
    <s v="Distributor"/>
    <s v="Suresh Gupta"/>
    <s v="Tech Solutions"/>
    <x v="5"/>
    <s v="Air Conditioner"/>
    <n v="9"/>
    <n v="15905.07"/>
    <n v="143145.63"/>
    <n v="0"/>
    <n v="0"/>
    <n v="143145.63"/>
    <s v="Cancelled"/>
    <s v="Pending"/>
  </r>
  <r>
    <s v="INV-2026-03464"/>
    <x v="46"/>
    <s v="Central"/>
    <s v="Bhopal"/>
    <s v="Retail Store"/>
    <s v="Vijay Singh"/>
    <s v="Nexus Ltd"/>
    <x v="0"/>
    <s v="Desk Organizer"/>
    <n v="22"/>
    <n v="17395.48"/>
    <n v="382700.56"/>
    <n v="59200.53"/>
    <n v="40744.449999999997"/>
    <n v="282755.58"/>
    <s v="Processing"/>
    <s v="Pending"/>
  </r>
  <r>
    <s v="INV-2026-03465"/>
    <x v="83"/>
    <s v="Central"/>
    <s v="Raipur"/>
    <s v="Retail Store"/>
    <s v="Rajesh Verma"/>
    <s v="Metro Mart"/>
    <x v="1"/>
    <s v="Desk"/>
    <n v="14"/>
    <n v="4760.09"/>
    <n v="66641.259999999995"/>
    <n v="0"/>
    <n v="0"/>
    <n v="66641.259999999995"/>
    <s v="Pending"/>
    <s v="Pending"/>
  </r>
  <r>
    <s v="INV-2026-03466"/>
    <x v="38"/>
    <s v="Central"/>
    <s v="Raipur"/>
    <s v="Direct Sales"/>
    <s v="Rajesh Verma"/>
    <s v="XYZ Ltd"/>
    <x v="0"/>
    <s v="Desk Organizer"/>
    <n v="9"/>
    <n v="1303.8900000000001"/>
    <n v="11735.01"/>
    <n v="2287.6999999999998"/>
    <n v="484.15"/>
    <n v="8963.16"/>
    <s v="Cancelled"/>
    <s v="Pending"/>
  </r>
  <r>
    <s v="INV-2026-03467"/>
    <x v="15"/>
    <s v="North"/>
    <s v="Chandigarh"/>
    <s v="Direct Sales"/>
    <s v="Suresh Gupta"/>
    <s v="Prime Retail"/>
    <x v="5"/>
    <s v="Refrigerator"/>
    <n v="36"/>
    <n v="9379.76"/>
    <n v="337671.36"/>
    <n v="0"/>
    <n v="0"/>
    <n v="337671.36"/>
    <s v="Pending"/>
    <s v="Pending"/>
  </r>
  <r>
    <s v="INV-2026-03468"/>
    <x v="91"/>
    <s v="East"/>
    <s v="Patna"/>
    <s v="Online"/>
    <s v="Sneha Reddy"/>
    <s v="Global Traders"/>
    <x v="0"/>
    <s v="Notebook"/>
    <n v="21"/>
    <n v="45204.75"/>
    <n v="949299.75"/>
    <n v="180724.12"/>
    <n v="0"/>
    <n v="768575.63"/>
    <s v="Cancelled"/>
    <s v="Pending"/>
  </r>
  <r>
    <s v="INV-2026-03469"/>
    <x v="0"/>
    <s v="South"/>
    <s v="Hyderabad"/>
    <s v="Distributor"/>
    <s v="Anita Desai"/>
    <s v="Global Traders"/>
    <x v="4"/>
    <s v="Jacket"/>
    <n v="32"/>
    <n v="11431.77"/>
    <n v="365816.64"/>
    <n v="58399.68"/>
    <n v="85315.58"/>
    <n v="222101.38"/>
    <s v="Cancelled"/>
    <s v="Pending"/>
  </r>
  <r>
    <s v="INV-2026-03470"/>
    <x v="78"/>
    <s v="South"/>
    <s v="Kochi"/>
    <s v="Online"/>
    <s v="Vijay Singh"/>
    <s v="Tech Solutions"/>
    <x v="1"/>
    <s v="Desk"/>
    <n v="38"/>
    <n v="30716.52"/>
    <n v="1167227.76"/>
    <n v="0"/>
    <n v="0"/>
    <n v="1167227.76"/>
    <s v="Pending"/>
    <s v="Pending"/>
  </r>
  <r>
    <s v="INV-2026-03471"/>
    <x v="68"/>
    <s v="East"/>
    <s v="Guwahati"/>
    <s v="Direct Sales"/>
    <s v="Priya Patel"/>
    <s v="Omega Stores"/>
    <x v="4"/>
    <s v="Dress"/>
    <n v="16"/>
    <n v="3788.44"/>
    <n v="60615.040000000001"/>
    <n v="8010.7"/>
    <n v="3074.36"/>
    <n v="49529.98"/>
    <s v="Pending"/>
    <s v="Pending"/>
  </r>
  <r>
    <s v="INV-2026-03472"/>
    <x v="85"/>
    <s v="South"/>
    <s v="Chennai"/>
    <s v="Direct Sales"/>
    <s v="Suresh Gupta"/>
    <s v="Global Traders"/>
    <x v="1"/>
    <s v="Bookshelf"/>
    <n v="45"/>
    <n v="10268.99"/>
    <n v="462104.55"/>
    <n v="0"/>
    <n v="136484.04999999999"/>
    <n v="325620.5"/>
    <s v="Cancelled"/>
    <s v="Pending"/>
  </r>
  <r>
    <s v="INV-2026-03473"/>
    <x v="51"/>
    <s v="South"/>
    <s v="Kochi"/>
    <s v="Distributor"/>
    <s v="Vijay Singh"/>
    <s v="Prime Retail"/>
    <x v="1"/>
    <s v="Office Chair"/>
    <n v="14"/>
    <n v="5298.1"/>
    <n v="74173.399999999994"/>
    <n v="0"/>
    <n v="0"/>
    <n v="74173.399999999994"/>
    <s v="Pending"/>
    <s v="Pending"/>
  </r>
  <r>
    <s v="INV-2026-03474"/>
    <x v="53"/>
    <s v="West"/>
    <s v="Ahmedabad"/>
    <s v="Distributor"/>
    <s v="Meera Joshi"/>
    <s v="Digital Hub"/>
    <x v="2"/>
    <s v="Yoga Mat"/>
    <n v="24"/>
    <n v="1480.6"/>
    <n v="35534.400000000001"/>
    <n v="5137.07"/>
    <n v="0"/>
    <n v="30397.33"/>
    <s v="Completed"/>
    <s v="Paid"/>
  </r>
  <r>
    <s v="INV-2026-03475"/>
    <x v="43"/>
    <s v="North"/>
    <s v="Jaipur"/>
    <s v="Direct Sales"/>
    <s v="Vijay Singh"/>
    <s v="Metro Mart"/>
    <x v="4"/>
    <s v="Dress"/>
    <n v="25"/>
    <n v="4259.0200000000004"/>
    <n v="106475.5"/>
    <n v="18273.900000000001"/>
    <n v="0"/>
    <n v="88201.600000000006"/>
    <s v="Processing"/>
    <s v="Paid"/>
  </r>
  <r>
    <s v="INV-2026-03476"/>
    <x v="84"/>
    <s v="Central"/>
    <s v="Indore"/>
    <s v="Direct Sales"/>
    <s v="Rahul Sharma"/>
    <s v="Metro Mart"/>
    <x v="5"/>
    <s v="Air Conditioner"/>
    <n v="26"/>
    <n v="21809.81"/>
    <n v="567055.06000000006"/>
    <n v="84546.15"/>
    <n v="0"/>
    <n v="482508.91"/>
    <s v="Pending"/>
    <s v="Pending"/>
  </r>
  <r>
    <s v="INV-2026-03477"/>
    <x v="46"/>
    <s v="Central"/>
    <s v="Nagpur"/>
    <s v="Distributor"/>
    <s v="Rajesh Verma"/>
    <s v="Urban Store"/>
    <x v="0"/>
    <s v="Notebook"/>
    <n v="26"/>
    <n v="39807.42"/>
    <n v="1034992.92"/>
    <n v="0"/>
    <n v="0"/>
    <n v="1034992.92"/>
    <s v="Cancelled"/>
    <s v="Pending"/>
  </r>
  <r>
    <s v="INV-2026-03478"/>
    <x v="80"/>
    <s v="South"/>
    <s v="Kochi"/>
    <s v="Distributor"/>
    <s v="Rahul Sharma"/>
    <s v="Digital Hub"/>
    <x v="4"/>
    <s v="Shoes"/>
    <n v="10"/>
    <n v="14747.4"/>
    <n v="147474"/>
    <n v="8830.4500000000007"/>
    <n v="0"/>
    <n v="138643.54999999999"/>
    <s v="Completed"/>
    <s v="Paid"/>
  </r>
  <r>
    <s v="INV-2026-03479"/>
    <x v="89"/>
    <s v="Central"/>
    <s v="Raipur"/>
    <s v="Direct Sales"/>
    <s v="Vijay Singh"/>
    <s v="Urban Store"/>
    <x v="4"/>
    <s v="Jeans"/>
    <n v="50"/>
    <n v="32177.7"/>
    <n v="1608885"/>
    <n v="133682.57999999999"/>
    <n v="0"/>
    <n v="1475202.42"/>
    <s v="Pending"/>
    <s v="Pending"/>
  </r>
  <r>
    <s v="INV-2026-03480"/>
    <x v="56"/>
    <s v="East"/>
    <s v="Bhubaneswar"/>
    <s v="Distributor"/>
    <s v="Suresh Gupta"/>
    <s v="Nexus Ltd"/>
    <x v="1"/>
    <s v="Desk"/>
    <n v="4"/>
    <n v="1469.35"/>
    <n v="5877.4"/>
    <n v="0"/>
    <n v="0"/>
    <n v="5877.4"/>
    <s v="Completed"/>
    <s v="Pending"/>
  </r>
  <r>
    <s v="INV-2026-03481"/>
    <x v="15"/>
    <s v="South"/>
    <s v="Bangalore"/>
    <s v="Online"/>
    <s v="Suresh Gupta"/>
    <s v="Urban Store"/>
    <x v="2"/>
    <s v="Gym Equipment"/>
    <n v="15"/>
    <n v="21354.21"/>
    <n v="320313.15000000002"/>
    <n v="27655.38"/>
    <n v="0"/>
    <n v="292657.77"/>
    <s v="Cancelled"/>
    <s v="Pending"/>
  </r>
  <r>
    <s v="INV-2026-03482"/>
    <x v="46"/>
    <s v="South"/>
    <s v="Chennai"/>
    <s v="Direct Sales"/>
    <s v="Vijay Singh"/>
    <s v="Metro Mart"/>
    <x v="1"/>
    <s v="Desk"/>
    <n v="49"/>
    <n v="47689.84"/>
    <n v="2336802.16"/>
    <n v="278740.36"/>
    <n v="0"/>
    <n v="2058061.8"/>
    <s v="Cancelled"/>
    <s v="Pending"/>
  </r>
  <r>
    <s v="INV-2026-03483"/>
    <x v="33"/>
    <s v="West"/>
    <s v="Surat"/>
    <s v="Distributor"/>
    <s v="Amit Kumar"/>
    <s v="Nexus Ltd"/>
    <x v="0"/>
    <s v="File Folder"/>
    <n v="45"/>
    <n v="27022.9"/>
    <n v="1216030.5"/>
    <n v="0"/>
    <n v="0"/>
    <n v="1216030.5"/>
    <s v="Pending"/>
    <s v="Pending"/>
  </r>
  <r>
    <s v="INV-2026-03484"/>
    <x v="63"/>
    <s v="Central"/>
    <s v="Nagpur"/>
    <s v="Retail Store"/>
    <s v="Rajesh Verma"/>
    <s v="Future Tech"/>
    <x v="4"/>
    <s v="Shoes"/>
    <n v="50"/>
    <n v="4762.0200000000004"/>
    <n v="238101"/>
    <n v="21012.54"/>
    <n v="0"/>
    <n v="217088.46"/>
    <s v="Cancelled"/>
    <s v="Pending"/>
  </r>
  <r>
    <s v="INV-2026-03485"/>
    <x v="51"/>
    <s v="North"/>
    <s v="Lucknow"/>
    <s v="Retail Store"/>
    <s v="Rahul Sharma"/>
    <s v="Future Tech"/>
    <x v="3"/>
    <s v="Headphones"/>
    <n v="16"/>
    <n v="32678.12"/>
    <n v="522849.92"/>
    <n v="0"/>
    <n v="0"/>
    <n v="522849.92"/>
    <s v="Pending"/>
    <s v="Paid"/>
  </r>
  <r>
    <s v="INV-2026-03486"/>
    <x v="24"/>
    <s v="East"/>
    <s v="Kolkata"/>
    <s v="Online"/>
    <s v="Rahul Sharma"/>
    <s v="Omega Stores"/>
    <x v="5"/>
    <s v="Air Conditioner"/>
    <n v="44"/>
    <n v="26541.96"/>
    <n v="1167846.24"/>
    <n v="0"/>
    <n v="0"/>
    <n v="1167846.24"/>
    <s v="Processing"/>
    <s v="Paid"/>
  </r>
  <r>
    <s v="INV-2026-03487"/>
    <x v="42"/>
    <s v="East"/>
    <s v="Kolkata"/>
    <s v="Direct Sales"/>
    <s v="Rajesh Verma"/>
    <s v="Smart Systems"/>
    <x v="3"/>
    <s v="Camera"/>
    <n v="44"/>
    <n v="30333.37"/>
    <n v="1334668.28"/>
    <n v="57530.77"/>
    <n v="270646.87"/>
    <n v="1006490.64"/>
    <s v="Processing"/>
    <s v="Paid"/>
  </r>
  <r>
    <s v="INV-2026-03488"/>
    <x v="19"/>
    <s v="North"/>
    <s v="Jaipur"/>
    <s v="Direct Sales"/>
    <s v="Sneha Reddy"/>
    <s v="Elite Enterprises"/>
    <x v="2"/>
    <s v="Tennis Racket"/>
    <n v="30"/>
    <n v="26317.58"/>
    <n v="789527.4"/>
    <n v="148761.29"/>
    <n v="0"/>
    <n v="640766.11"/>
    <s v="Processing"/>
    <s v="Pending"/>
  </r>
  <r>
    <s v="INV-2026-03489"/>
    <x v="38"/>
    <s v="East"/>
    <s v="Kolkata"/>
    <s v="Distributor"/>
    <s v="Priya Patel"/>
    <s v="Urban Store"/>
    <x v="3"/>
    <s v="Smart Watch"/>
    <n v="3"/>
    <n v="46032.15"/>
    <n v="138096.45000000001"/>
    <n v="0"/>
    <n v="0"/>
    <n v="138096.45000000001"/>
    <s v="Pending"/>
    <s v="Pending"/>
  </r>
  <r>
    <s v="INV-2026-03490"/>
    <x v="67"/>
    <s v="Central"/>
    <s v="Bhopal"/>
    <s v="Online"/>
    <s v="Amit Kumar"/>
    <s v="Prime Retail"/>
    <x v="1"/>
    <s v="Conference Table"/>
    <n v="37"/>
    <n v="3084.44"/>
    <n v="114124.28"/>
    <n v="17019.39"/>
    <n v="0"/>
    <n v="97104.89"/>
    <s v="Completed"/>
    <s v="Paid"/>
  </r>
  <r>
    <s v="INV-2026-03491"/>
    <x v="23"/>
    <s v="Central"/>
    <s v="Bhopal"/>
    <s v="Direct Sales"/>
    <s v="Sneha Reddy"/>
    <s v="Global Traders"/>
    <x v="2"/>
    <s v="Tennis Racket"/>
    <n v="12"/>
    <n v="5988.89"/>
    <n v="71866.679999999993"/>
    <n v="0"/>
    <n v="0"/>
    <n v="71866.679999999993"/>
    <s v="Pending"/>
    <s v="Pending"/>
  </r>
  <r>
    <s v="INV-2026-03492"/>
    <x v="3"/>
    <s v="West"/>
    <s v="Pune"/>
    <s v="Direct Sales"/>
    <s v="Priya Patel"/>
    <s v="Prime Retail"/>
    <x v="0"/>
    <s v="Printer Paper"/>
    <n v="6"/>
    <n v="45042.83"/>
    <n v="270256.98"/>
    <n v="0"/>
    <n v="74315.009999999995"/>
    <n v="195941.97"/>
    <s v="Processing"/>
    <s v="Pending"/>
  </r>
  <r>
    <s v="INV-2026-03493"/>
    <x v="28"/>
    <s v="West"/>
    <s v="Ahmedabad"/>
    <s v="Direct Sales"/>
    <s v="Kavita Nair"/>
    <s v="XYZ Ltd"/>
    <x v="3"/>
    <s v="Tablet"/>
    <n v="8"/>
    <n v="26961.43"/>
    <n v="215691.44"/>
    <n v="12606.3"/>
    <n v="0"/>
    <n v="203085.14"/>
    <s v="Processing"/>
    <s v="Pending"/>
  </r>
  <r>
    <s v="INV-2026-03494"/>
    <x v="18"/>
    <s v="West"/>
    <s v="Surat"/>
    <s v="Retail Store"/>
    <s v="Anita Desai"/>
    <s v="Future Tech"/>
    <x v="4"/>
    <s v="Shoes"/>
    <n v="23"/>
    <n v="32068.5"/>
    <n v="737575.5"/>
    <n v="9655.61"/>
    <n v="0"/>
    <n v="727919.89"/>
    <s v="Processing"/>
    <s v="Paid"/>
  </r>
  <r>
    <s v="INV-2026-03495"/>
    <x v="58"/>
    <s v="South"/>
    <s v="Kochi"/>
    <s v="Online"/>
    <s v="Priya Patel"/>
    <s v="Digital Hub"/>
    <x v="4"/>
    <s v="Dress"/>
    <n v="15"/>
    <n v="17150.87"/>
    <n v="257263.05"/>
    <n v="0"/>
    <n v="0"/>
    <n v="257263.05"/>
    <s v="Processing"/>
    <s v="Pending"/>
  </r>
  <r>
    <s v="INV-2026-03496"/>
    <x v="76"/>
    <s v="North"/>
    <s v="Chandigarh"/>
    <s v="Retail Store"/>
    <s v="Suresh Gupta"/>
    <s v="XYZ Ltd"/>
    <x v="3"/>
    <s v="Smart Watch"/>
    <n v="37"/>
    <n v="17182.2"/>
    <n v="635741.4"/>
    <n v="0"/>
    <n v="0"/>
    <n v="635741.4"/>
    <s v="Pending"/>
    <s v="Pending"/>
  </r>
  <r>
    <s v="INV-2026-03497"/>
    <x v="0"/>
    <s v="North"/>
    <s v="Jaipur"/>
    <s v="Distributor"/>
    <s v="Rajesh Verma"/>
    <s v="Prime Retail"/>
    <x v="4"/>
    <s v="Jeans"/>
    <n v="38"/>
    <n v="30702.93"/>
    <n v="1166711.3400000001"/>
    <n v="0"/>
    <n v="0"/>
    <n v="1166711.3400000001"/>
    <s v="Cancelled"/>
    <s v="Pending"/>
  </r>
  <r>
    <s v="INV-2026-03498"/>
    <x v="80"/>
    <s v="East"/>
    <s v="Guwahati"/>
    <s v="Retail Store"/>
    <s v="Amit Kumar"/>
    <s v="Global Traders"/>
    <x v="3"/>
    <s v="Tablet"/>
    <n v="13"/>
    <n v="40257.050000000003"/>
    <n v="523341.65"/>
    <n v="0"/>
    <n v="0"/>
    <n v="523341.65"/>
    <s v="Processing"/>
    <s v="Pending"/>
  </r>
  <r>
    <s v="INV-2026-03499"/>
    <x v="31"/>
    <s v="North"/>
    <s v="Chandigarh"/>
    <s v="Distributor"/>
    <s v="Vijay Singh"/>
    <s v="ABC Corp"/>
    <x v="1"/>
    <s v="Desk"/>
    <n v="49"/>
    <n v="40826.14"/>
    <n v="2000480.86"/>
    <n v="115661.27"/>
    <n v="238592.6"/>
    <n v="1646226.99"/>
    <s v="Cancelled"/>
    <s v="Pending"/>
  </r>
  <r>
    <s v="INV-2026-03500"/>
    <x v="91"/>
    <s v="West"/>
    <s v="Pune"/>
    <s v="Distributor"/>
    <s v="Rahul Sharma"/>
    <s v="Nexus Ltd"/>
    <x v="1"/>
    <s v="Office Chair"/>
    <n v="1"/>
    <n v="29674.46"/>
    <n v="29674.46"/>
    <n v="3091.94"/>
    <n v="0"/>
    <n v="26582.52"/>
    <s v="Cancelled"/>
    <s v="Pend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3D638-7490-4EA1-891C-32DE11C8BD8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Y10" firstHeaderRow="0" firstDataRow="1" firstDataCol="1" rowPageCount="1" colPageCount="1"/>
  <pivotFields count="17">
    <pivotField showAll="0"/>
    <pivotField axis="axisPage" numFmtId="14" showAll="0">
      <items count="93">
        <item x="23"/>
        <item x="45"/>
        <item x="74"/>
        <item x="29"/>
        <item x="49"/>
        <item x="86"/>
        <item x="87"/>
        <item x="78"/>
        <item x="24"/>
        <item x="43"/>
        <item x="52"/>
        <item x="38"/>
        <item x="1"/>
        <item x="27"/>
        <item x="25"/>
        <item x="21"/>
        <item x="37"/>
        <item x="65"/>
        <item x="46"/>
        <item x="31"/>
        <item x="56"/>
        <item x="72"/>
        <item x="90"/>
        <item x="67"/>
        <item x="35"/>
        <item x="6"/>
        <item x="8"/>
        <item x="17"/>
        <item x="15"/>
        <item x="12"/>
        <item x="54"/>
        <item x="14"/>
        <item x="83"/>
        <item x="77"/>
        <item x="75"/>
        <item x="88"/>
        <item x="36"/>
        <item x="58"/>
        <item x="11"/>
        <item x="34"/>
        <item x="20"/>
        <item x="26"/>
        <item x="40"/>
        <item x="18"/>
        <item x="68"/>
        <item x="84"/>
        <item x="70"/>
        <item x="80"/>
        <item x="10"/>
        <item x="32"/>
        <item x="62"/>
        <item x="30"/>
        <item x="51"/>
        <item x="9"/>
        <item x="73"/>
        <item x="48"/>
        <item x="33"/>
        <item x="50"/>
        <item x="61"/>
        <item x="19"/>
        <item x="39"/>
        <item x="41"/>
        <item x="28"/>
        <item x="69"/>
        <item x="57"/>
        <item x="60"/>
        <item x="2"/>
        <item x="85"/>
        <item x="22"/>
        <item x="81"/>
        <item x="7"/>
        <item x="53"/>
        <item x="64"/>
        <item x="4"/>
        <item x="71"/>
        <item x="76"/>
        <item x="82"/>
        <item x="16"/>
        <item x="63"/>
        <item x="47"/>
        <item x="79"/>
        <item x="42"/>
        <item x="44"/>
        <item x="59"/>
        <item x="0"/>
        <item x="13"/>
        <item x="5"/>
        <item x="89"/>
        <item x="66"/>
        <item x="91"/>
        <item x="55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5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91" hier="-1"/>
  </pageFields>
  <dataFields count="2">
    <dataField name="Sum of Quantity" fld="9" baseField="0" baseItem="0"/>
    <dataField name="Sum of Net_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548917-79B4-41A4-86AB-13F848B2A114}" autoFormatId="16" applyNumberFormats="0" applyBorderFormats="0" applyFontFormats="0" applyPatternFormats="0" applyAlignmentFormats="0" applyWidthHeightFormats="0">
  <queryTableRefresh nextId="18">
    <queryTableFields count="17">
      <queryTableField id="1" name="Invoice_Number" tableColumnId="1"/>
      <queryTableField id="2" name="Invoice_Date" tableColumnId="2"/>
      <queryTableField id="3" name="Region" tableColumnId="3"/>
      <queryTableField id="4" name="Branch" tableColumnId="4"/>
      <queryTableField id="5" name="Sales_Channel" tableColumnId="5"/>
      <queryTableField id="6" name="Sales_Executive" tableColumnId="6"/>
      <queryTableField id="7" name="Customer_Name" tableColumnId="7"/>
      <queryTableField id="8" name="Product_Category" tableColumnId="8"/>
      <queryTableField id="9" name="Product_Name" tableColumnId="9"/>
      <queryTableField id="10" name="Quantity" tableColumnId="10"/>
      <queryTableField id="11" name="Unit_Price" tableColumnId="11"/>
      <queryTableField id="12" name="Gross_Sales" tableColumnId="12"/>
      <queryTableField id="13" name="Discount_Amount" tableColumnId="13"/>
      <queryTableField id="14" name="Return_Amount" tableColumnId="14"/>
      <queryTableField id="15" name="Net_Sales" tableColumnId="15"/>
      <queryTableField id="16" name="Order_Status" tableColumnId="16"/>
      <queryTableField id="17" name="Payment_Statu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A2E7B-4707-43E0-817B-86C33DB33732}" name="sales_order_tracking_data" displayName="sales_order_tracking_data" ref="A1:Q3501" tableType="queryTable" totalsRowShown="0">
  <autoFilter ref="A1:Q3501" xr:uid="{1F4A2E7B-4707-43E0-817B-86C33DB33732}"/>
  <tableColumns count="17">
    <tableColumn id="1" xr3:uid="{17067691-54BB-49AC-9555-E5CB38DDCB3E}" uniqueName="1" name="Invoice_Number" queryTableFieldId="1" dataDxfId="10"/>
    <tableColumn id="2" xr3:uid="{39C9F27E-E211-4B0F-BAF1-1320E35558D6}" uniqueName="2" name="Invoice_Date" queryTableFieldId="2" dataDxfId="9"/>
    <tableColumn id="3" xr3:uid="{5BB57ED4-BAFA-47DE-8C98-1DA7F8B5E97B}" uniqueName="3" name="Region" queryTableFieldId="3" dataDxfId="8"/>
    <tableColumn id="4" xr3:uid="{80E284EE-F102-43DC-BB90-11C3B9BE419A}" uniqueName="4" name="Branch" queryTableFieldId="4" dataDxfId="7"/>
    <tableColumn id="5" xr3:uid="{5BD16A52-7F53-4197-B043-7A10E4D3DAE4}" uniqueName="5" name="Sales_Channel" queryTableFieldId="5" dataDxfId="6"/>
    <tableColumn id="6" xr3:uid="{16D1AF3A-0A40-4A92-A8B8-F09C3A2DEA5B}" uniqueName="6" name="Sales_Executive" queryTableFieldId="6" dataDxfId="5"/>
    <tableColumn id="7" xr3:uid="{4432F04A-BD06-4D54-9B64-E7AC1AF54134}" uniqueName="7" name="Customer_Name" queryTableFieldId="7" dataDxfId="4"/>
    <tableColumn id="8" xr3:uid="{343085B2-7232-4168-8C99-164EA55AF604}" uniqueName="8" name="Product_Category" queryTableFieldId="8" dataDxfId="3"/>
    <tableColumn id="9" xr3:uid="{D8D590AC-1C7F-41D9-8ABF-63ECB54A2A0A}" uniqueName="9" name="Product_Name" queryTableFieldId="9" dataDxfId="2"/>
    <tableColumn id="10" xr3:uid="{0AAD326B-0DA9-4E4A-8488-BC177CE4396D}" uniqueName="10" name="Quantity" queryTableFieldId="10"/>
    <tableColumn id="11" xr3:uid="{11675A57-D91D-4273-8A69-2BBFAB42F861}" uniqueName="11" name="Unit_Price" queryTableFieldId="11"/>
    <tableColumn id="12" xr3:uid="{A6B52CDF-4F00-4337-80E3-74E1B1658569}" uniqueName="12" name="Gross_Sales" queryTableFieldId="12"/>
    <tableColumn id="13" xr3:uid="{08B97CDA-EAC8-4E96-8ACB-310F2E9D20C1}" uniqueName="13" name="Discount_Amount" queryTableFieldId="13"/>
    <tableColumn id="14" xr3:uid="{446133BA-F503-4DEA-8950-D0D37F934BC9}" uniqueName="14" name="Return_Amount" queryTableFieldId="14"/>
    <tableColumn id="15" xr3:uid="{EB8F4ADA-567A-4BC2-B930-5F98F6A40670}" uniqueName="15" name="Net_Sales" queryTableFieldId="15"/>
    <tableColumn id="16" xr3:uid="{C7126348-61E1-4442-BF1B-8ABFBA71BA43}" uniqueName="16" name="Order_Status" queryTableFieldId="16" dataDxfId="1"/>
    <tableColumn id="17" xr3:uid="{AA42BE80-745F-4268-BE1E-C24929AF0E7E}" uniqueName="17" name="Payment_Status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29D5-1D0E-4CB2-B165-13160868304E}">
  <dimension ref="A1:Q3506"/>
  <sheetViews>
    <sheetView topLeftCell="A3445" workbookViewId="0">
      <selection activeCell="F3466" sqref="F3466"/>
    </sheetView>
  </sheetViews>
  <sheetFormatPr defaultRowHeight="15" x14ac:dyDescent="0.25"/>
  <cols>
    <col min="1" max="1" width="18.140625" bestFit="1" customWidth="1"/>
    <col min="2" max="2" width="14.85546875" bestFit="1" customWidth="1"/>
    <col min="3" max="3" width="9.42578125" bestFit="1" customWidth="1"/>
    <col min="4" max="4" width="13.140625" bestFit="1" customWidth="1"/>
    <col min="5" max="5" width="16.28515625" bestFit="1" customWidth="1"/>
    <col min="6" max="6" width="17.5703125" bestFit="1" customWidth="1"/>
    <col min="7" max="7" width="18.28515625" bestFit="1" customWidth="1"/>
    <col min="8" max="8" width="19.140625" bestFit="1" customWidth="1"/>
    <col min="9" max="9" width="16.7109375" bestFit="1" customWidth="1"/>
    <col min="10" max="10" width="11" bestFit="1" customWidth="1"/>
    <col min="11" max="11" width="12.5703125" bestFit="1" customWidth="1"/>
    <col min="12" max="12" width="13.85546875" bestFit="1" customWidth="1"/>
    <col min="13" max="13" width="19.28515625" bestFit="1" customWidth="1"/>
    <col min="14" max="14" width="17.5703125" bestFit="1" customWidth="1"/>
    <col min="15" max="15" width="12.140625" bestFit="1" customWidth="1"/>
    <col min="16" max="16" width="14.85546875" bestFit="1" customWidth="1"/>
    <col min="17" max="17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46038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>
        <v>46265.74</v>
      </c>
      <c r="L2">
        <v>46265.74</v>
      </c>
      <c r="M2">
        <v>32.979999999999997</v>
      </c>
      <c r="N2">
        <v>0</v>
      </c>
      <c r="O2">
        <v>46232.76</v>
      </c>
      <c r="P2" t="s">
        <v>25</v>
      </c>
      <c r="Q2" t="s">
        <v>26</v>
      </c>
    </row>
    <row r="3" spans="1:17" x14ac:dyDescent="0.25">
      <c r="A3" t="s">
        <v>27</v>
      </c>
      <c r="B3" s="1">
        <v>45966</v>
      </c>
      <c r="C3" t="s">
        <v>18</v>
      </c>
      <c r="D3" t="s">
        <v>28</v>
      </c>
      <c r="E3" t="s">
        <v>20</v>
      </c>
      <c r="F3" t="s">
        <v>21</v>
      </c>
      <c r="G3" t="s">
        <v>29</v>
      </c>
      <c r="H3" t="s">
        <v>23</v>
      </c>
      <c r="I3" t="s">
        <v>30</v>
      </c>
      <c r="J3">
        <v>30</v>
      </c>
      <c r="K3">
        <v>34151.269999999997</v>
      </c>
      <c r="L3">
        <v>1024538.1</v>
      </c>
      <c r="M3">
        <v>0</v>
      </c>
      <c r="N3">
        <v>0</v>
      </c>
      <c r="O3">
        <v>1024538.1</v>
      </c>
      <c r="P3" t="s">
        <v>31</v>
      </c>
      <c r="Q3" t="s">
        <v>32</v>
      </c>
    </row>
    <row r="4" spans="1:17" x14ac:dyDescent="0.25">
      <c r="A4" t="s">
        <v>33</v>
      </c>
      <c r="B4" s="1">
        <v>46020</v>
      </c>
      <c r="C4" t="s">
        <v>18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>
        <v>48</v>
      </c>
      <c r="K4">
        <v>40373.07</v>
      </c>
      <c r="L4">
        <v>1937907.36</v>
      </c>
      <c r="M4">
        <v>233252.17</v>
      </c>
      <c r="N4">
        <v>0</v>
      </c>
      <c r="O4">
        <v>1704655.19</v>
      </c>
      <c r="P4" t="s">
        <v>25</v>
      </c>
      <c r="Q4" t="s">
        <v>26</v>
      </c>
    </row>
    <row r="5" spans="1:17" x14ac:dyDescent="0.25">
      <c r="A5" t="s">
        <v>40</v>
      </c>
      <c r="B5" s="1">
        <v>46045</v>
      </c>
      <c r="C5" t="s">
        <v>18</v>
      </c>
      <c r="D5" t="s">
        <v>28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>
        <v>21</v>
      </c>
      <c r="K5">
        <v>14989.13</v>
      </c>
      <c r="L5">
        <v>314771.73</v>
      </c>
      <c r="M5">
        <v>0</v>
      </c>
      <c r="N5">
        <v>0</v>
      </c>
      <c r="O5">
        <v>314771.73</v>
      </c>
      <c r="P5" t="s">
        <v>25</v>
      </c>
      <c r="Q5" t="s">
        <v>26</v>
      </c>
    </row>
    <row r="6" spans="1:17" x14ac:dyDescent="0.25">
      <c r="A6" t="s">
        <v>46</v>
      </c>
      <c r="B6" s="1">
        <v>46027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52</v>
      </c>
      <c r="J6">
        <v>40</v>
      </c>
      <c r="K6">
        <v>22865.77</v>
      </c>
      <c r="L6">
        <v>914630.8</v>
      </c>
      <c r="M6">
        <v>108718.05</v>
      </c>
      <c r="N6">
        <v>0</v>
      </c>
      <c r="O6">
        <v>805912.75</v>
      </c>
      <c r="P6" t="s">
        <v>31</v>
      </c>
      <c r="Q6" t="s">
        <v>32</v>
      </c>
    </row>
    <row r="7" spans="1:17" x14ac:dyDescent="0.25">
      <c r="A7" t="s">
        <v>53</v>
      </c>
      <c r="B7" s="1">
        <v>46040</v>
      </c>
      <c r="C7" t="s">
        <v>54</v>
      </c>
      <c r="D7" t="s">
        <v>55</v>
      </c>
      <c r="E7" t="s">
        <v>20</v>
      </c>
      <c r="F7" t="s">
        <v>36</v>
      </c>
      <c r="G7" t="s">
        <v>56</v>
      </c>
      <c r="H7" t="s">
        <v>57</v>
      </c>
      <c r="I7" t="s">
        <v>58</v>
      </c>
      <c r="J7">
        <v>35</v>
      </c>
      <c r="K7">
        <v>6211.86</v>
      </c>
      <c r="L7">
        <v>217415.1</v>
      </c>
      <c r="M7">
        <v>0</v>
      </c>
      <c r="N7">
        <v>0</v>
      </c>
      <c r="O7">
        <v>217415.1</v>
      </c>
      <c r="P7" t="s">
        <v>25</v>
      </c>
      <c r="Q7" t="s">
        <v>26</v>
      </c>
    </row>
    <row r="8" spans="1:17" x14ac:dyDescent="0.25">
      <c r="A8" t="s">
        <v>59</v>
      </c>
      <c r="B8" s="1">
        <v>45979</v>
      </c>
      <c r="C8" t="s">
        <v>60</v>
      </c>
      <c r="D8" t="s">
        <v>61</v>
      </c>
      <c r="E8" t="s">
        <v>41</v>
      </c>
      <c r="F8" t="s">
        <v>62</v>
      </c>
      <c r="G8" t="s">
        <v>63</v>
      </c>
      <c r="H8" t="s">
        <v>38</v>
      </c>
      <c r="I8" t="s">
        <v>39</v>
      </c>
      <c r="J8">
        <v>46</v>
      </c>
      <c r="K8">
        <v>20624.28</v>
      </c>
      <c r="L8">
        <v>948716.88</v>
      </c>
      <c r="M8">
        <v>133776.12</v>
      </c>
      <c r="N8">
        <v>0</v>
      </c>
      <c r="O8">
        <v>814940.76</v>
      </c>
      <c r="P8" t="s">
        <v>31</v>
      </c>
      <c r="Q8" t="s">
        <v>32</v>
      </c>
    </row>
    <row r="9" spans="1:17" x14ac:dyDescent="0.25">
      <c r="A9" t="s">
        <v>64</v>
      </c>
      <c r="B9" s="1">
        <v>46024</v>
      </c>
      <c r="C9" t="s">
        <v>60</v>
      </c>
      <c r="D9" t="s">
        <v>65</v>
      </c>
      <c r="E9" t="s">
        <v>49</v>
      </c>
      <c r="F9" t="s">
        <v>62</v>
      </c>
      <c r="G9" t="s">
        <v>66</v>
      </c>
      <c r="H9" t="s">
        <v>67</v>
      </c>
      <c r="I9" t="s">
        <v>68</v>
      </c>
      <c r="J9">
        <v>37</v>
      </c>
      <c r="K9">
        <v>10597.89</v>
      </c>
      <c r="L9">
        <v>392121.93</v>
      </c>
      <c r="M9">
        <v>0</v>
      </c>
      <c r="N9">
        <v>0</v>
      </c>
      <c r="O9">
        <v>392121.93</v>
      </c>
      <c r="P9" t="s">
        <v>32</v>
      </c>
      <c r="Q9" t="s">
        <v>32</v>
      </c>
    </row>
    <row r="10" spans="1:17" x14ac:dyDescent="0.25">
      <c r="A10" t="s">
        <v>69</v>
      </c>
      <c r="B10" s="1">
        <v>45980</v>
      </c>
      <c r="C10" t="s">
        <v>54</v>
      </c>
      <c r="D10" t="s">
        <v>70</v>
      </c>
      <c r="E10" t="s">
        <v>20</v>
      </c>
      <c r="F10" t="s">
        <v>71</v>
      </c>
      <c r="G10" t="s">
        <v>51</v>
      </c>
      <c r="H10" t="s">
        <v>57</v>
      </c>
      <c r="I10" t="s">
        <v>72</v>
      </c>
      <c r="J10">
        <v>18</v>
      </c>
      <c r="K10">
        <v>30923.14</v>
      </c>
      <c r="L10">
        <v>556616.52</v>
      </c>
      <c r="M10">
        <v>0</v>
      </c>
      <c r="N10">
        <v>63437.49</v>
      </c>
      <c r="O10">
        <v>493179.03</v>
      </c>
      <c r="P10" t="s">
        <v>73</v>
      </c>
      <c r="Q10" t="s">
        <v>26</v>
      </c>
    </row>
    <row r="11" spans="1:17" x14ac:dyDescent="0.25">
      <c r="A11" t="s">
        <v>74</v>
      </c>
      <c r="B11" s="1">
        <v>46007</v>
      </c>
      <c r="C11" t="s">
        <v>18</v>
      </c>
      <c r="D11" t="s">
        <v>75</v>
      </c>
      <c r="E11" t="s">
        <v>35</v>
      </c>
      <c r="F11" t="s">
        <v>62</v>
      </c>
      <c r="G11" t="s">
        <v>63</v>
      </c>
      <c r="H11" t="s">
        <v>23</v>
      </c>
      <c r="I11" t="s">
        <v>52</v>
      </c>
      <c r="J11">
        <v>2</v>
      </c>
      <c r="K11">
        <v>16277.16</v>
      </c>
      <c r="L11">
        <v>32554.32</v>
      </c>
      <c r="M11">
        <v>3619.01</v>
      </c>
      <c r="N11">
        <v>0</v>
      </c>
      <c r="O11">
        <v>28935.31</v>
      </c>
      <c r="P11" t="s">
        <v>73</v>
      </c>
      <c r="Q11" t="s">
        <v>32</v>
      </c>
    </row>
    <row r="12" spans="1:17" x14ac:dyDescent="0.25">
      <c r="A12" t="s">
        <v>76</v>
      </c>
      <c r="B12" s="1">
        <v>46002</v>
      </c>
      <c r="C12" t="s">
        <v>54</v>
      </c>
      <c r="D12" t="s">
        <v>55</v>
      </c>
      <c r="E12" t="s">
        <v>49</v>
      </c>
      <c r="F12" t="s">
        <v>42</v>
      </c>
      <c r="G12" t="s">
        <v>37</v>
      </c>
      <c r="H12" t="s">
        <v>67</v>
      </c>
      <c r="I12" t="s">
        <v>77</v>
      </c>
      <c r="J12">
        <v>15</v>
      </c>
      <c r="K12">
        <v>42354.93</v>
      </c>
      <c r="L12">
        <v>635323.94999999995</v>
      </c>
      <c r="M12">
        <v>5670.76</v>
      </c>
      <c r="N12">
        <v>4182.74</v>
      </c>
      <c r="O12">
        <v>625470.44999999995</v>
      </c>
      <c r="P12" t="s">
        <v>73</v>
      </c>
      <c r="Q12" t="s">
        <v>32</v>
      </c>
    </row>
    <row r="13" spans="1:17" x14ac:dyDescent="0.25">
      <c r="A13" t="s">
        <v>78</v>
      </c>
      <c r="B13" s="1">
        <v>45966</v>
      </c>
      <c r="C13" t="s">
        <v>79</v>
      </c>
      <c r="D13" t="s">
        <v>80</v>
      </c>
      <c r="E13" t="s">
        <v>49</v>
      </c>
      <c r="F13" t="s">
        <v>42</v>
      </c>
      <c r="G13" t="s">
        <v>81</v>
      </c>
      <c r="H13" t="s">
        <v>38</v>
      </c>
      <c r="I13" t="s">
        <v>82</v>
      </c>
      <c r="J13">
        <v>23</v>
      </c>
      <c r="K13">
        <v>49392.26</v>
      </c>
      <c r="L13">
        <v>1136021.98</v>
      </c>
      <c r="M13">
        <v>188661.91</v>
      </c>
      <c r="N13">
        <v>0</v>
      </c>
      <c r="O13">
        <v>947360.07</v>
      </c>
      <c r="P13" t="s">
        <v>32</v>
      </c>
      <c r="Q13" t="s">
        <v>32</v>
      </c>
    </row>
    <row r="14" spans="1:17" x14ac:dyDescent="0.25">
      <c r="A14" t="s">
        <v>83</v>
      </c>
      <c r="B14" s="1">
        <v>45992</v>
      </c>
      <c r="C14" t="s">
        <v>18</v>
      </c>
      <c r="D14" t="s">
        <v>75</v>
      </c>
      <c r="E14" t="s">
        <v>35</v>
      </c>
      <c r="F14" t="s">
        <v>84</v>
      </c>
      <c r="G14" t="s">
        <v>85</v>
      </c>
      <c r="H14" t="s">
        <v>38</v>
      </c>
      <c r="I14" t="s">
        <v>86</v>
      </c>
      <c r="J14">
        <v>22</v>
      </c>
      <c r="K14">
        <v>33104.03</v>
      </c>
      <c r="L14">
        <v>728288.66</v>
      </c>
      <c r="M14">
        <v>102395.1</v>
      </c>
      <c r="N14">
        <v>0</v>
      </c>
      <c r="O14">
        <v>625893.56000000006</v>
      </c>
      <c r="P14" t="s">
        <v>32</v>
      </c>
      <c r="Q14" t="s">
        <v>26</v>
      </c>
    </row>
    <row r="15" spans="1:17" x14ac:dyDescent="0.25">
      <c r="A15" t="s">
        <v>87</v>
      </c>
      <c r="B15" s="1">
        <v>45983</v>
      </c>
      <c r="C15" t="s">
        <v>47</v>
      </c>
      <c r="D15" t="s">
        <v>88</v>
      </c>
      <c r="E15" t="s">
        <v>41</v>
      </c>
      <c r="F15" t="s">
        <v>21</v>
      </c>
      <c r="G15" t="s">
        <v>89</v>
      </c>
      <c r="H15" t="s">
        <v>23</v>
      </c>
      <c r="I15" t="s">
        <v>30</v>
      </c>
      <c r="J15">
        <v>39</v>
      </c>
      <c r="K15">
        <v>49310.05</v>
      </c>
      <c r="L15">
        <v>1923091.95</v>
      </c>
      <c r="M15">
        <v>0</v>
      </c>
      <c r="N15">
        <v>0</v>
      </c>
      <c r="O15">
        <v>1923091.95</v>
      </c>
      <c r="P15" t="s">
        <v>31</v>
      </c>
      <c r="Q15" t="s">
        <v>32</v>
      </c>
    </row>
    <row r="16" spans="1:17" x14ac:dyDescent="0.25">
      <c r="A16" t="s">
        <v>90</v>
      </c>
      <c r="B16" s="1">
        <v>46039</v>
      </c>
      <c r="C16" t="s">
        <v>79</v>
      </c>
      <c r="D16" t="s">
        <v>91</v>
      </c>
      <c r="E16" t="s">
        <v>41</v>
      </c>
      <c r="F16" t="s">
        <v>50</v>
      </c>
      <c r="G16" t="s">
        <v>81</v>
      </c>
      <c r="H16" t="s">
        <v>57</v>
      </c>
      <c r="I16" t="s">
        <v>92</v>
      </c>
      <c r="J16">
        <v>4</v>
      </c>
      <c r="K16">
        <v>32634.95</v>
      </c>
      <c r="L16">
        <v>130539.8</v>
      </c>
      <c r="M16">
        <v>0</v>
      </c>
      <c r="N16">
        <v>0</v>
      </c>
      <c r="O16">
        <v>130539.8</v>
      </c>
      <c r="P16" t="s">
        <v>73</v>
      </c>
      <c r="Q16" t="s">
        <v>26</v>
      </c>
    </row>
    <row r="17" spans="1:17" x14ac:dyDescent="0.25">
      <c r="A17" t="s">
        <v>93</v>
      </c>
      <c r="B17" s="1">
        <v>45985</v>
      </c>
      <c r="C17" t="s">
        <v>79</v>
      </c>
      <c r="D17" t="s">
        <v>91</v>
      </c>
      <c r="E17" t="s">
        <v>41</v>
      </c>
      <c r="F17" t="s">
        <v>42</v>
      </c>
      <c r="G17" t="s">
        <v>22</v>
      </c>
      <c r="H17" t="s">
        <v>94</v>
      </c>
      <c r="I17" t="s">
        <v>95</v>
      </c>
      <c r="J17">
        <v>41</v>
      </c>
      <c r="K17">
        <v>27702.26</v>
      </c>
      <c r="L17">
        <v>1135792.6599999999</v>
      </c>
      <c r="M17">
        <v>109164.83</v>
      </c>
      <c r="N17">
        <v>0</v>
      </c>
      <c r="O17">
        <v>1026627.83</v>
      </c>
      <c r="P17" t="s">
        <v>32</v>
      </c>
      <c r="Q17" t="s">
        <v>26</v>
      </c>
    </row>
    <row r="18" spans="1:17" x14ac:dyDescent="0.25">
      <c r="A18" t="s">
        <v>96</v>
      </c>
      <c r="B18" s="1">
        <v>45982</v>
      </c>
      <c r="C18" t="s">
        <v>54</v>
      </c>
      <c r="D18" t="s">
        <v>97</v>
      </c>
      <c r="E18" t="s">
        <v>20</v>
      </c>
      <c r="F18" t="s">
        <v>42</v>
      </c>
      <c r="G18" t="s">
        <v>98</v>
      </c>
      <c r="H18" t="s">
        <v>23</v>
      </c>
      <c r="I18" t="s">
        <v>99</v>
      </c>
      <c r="J18">
        <v>23</v>
      </c>
      <c r="K18">
        <v>10083.469999999999</v>
      </c>
      <c r="L18">
        <v>231919.81</v>
      </c>
      <c r="M18">
        <v>0</v>
      </c>
      <c r="N18">
        <v>0</v>
      </c>
      <c r="O18">
        <v>231919.81</v>
      </c>
      <c r="P18" t="s">
        <v>25</v>
      </c>
      <c r="Q18" t="s">
        <v>26</v>
      </c>
    </row>
    <row r="19" spans="1:17" x14ac:dyDescent="0.25">
      <c r="A19" t="s">
        <v>100</v>
      </c>
      <c r="B19" s="1">
        <v>46031</v>
      </c>
      <c r="C19" t="s">
        <v>79</v>
      </c>
      <c r="D19" t="s">
        <v>101</v>
      </c>
      <c r="E19" t="s">
        <v>20</v>
      </c>
      <c r="F19" t="s">
        <v>36</v>
      </c>
      <c r="G19" t="s">
        <v>102</v>
      </c>
      <c r="H19" t="s">
        <v>67</v>
      </c>
      <c r="I19" t="s">
        <v>103</v>
      </c>
      <c r="J19">
        <v>6</v>
      </c>
      <c r="K19">
        <v>1549</v>
      </c>
      <c r="L19">
        <v>9294</v>
      </c>
      <c r="M19">
        <v>1534.89</v>
      </c>
      <c r="N19">
        <v>0</v>
      </c>
      <c r="O19">
        <v>7759.11</v>
      </c>
      <c r="P19" t="s">
        <v>31</v>
      </c>
      <c r="Q19" t="s">
        <v>32</v>
      </c>
    </row>
    <row r="20" spans="1:17" x14ac:dyDescent="0.25">
      <c r="A20" t="s">
        <v>104</v>
      </c>
      <c r="B20" s="1">
        <v>45981</v>
      </c>
      <c r="C20" t="s">
        <v>60</v>
      </c>
      <c r="D20" t="s">
        <v>61</v>
      </c>
      <c r="E20" t="s">
        <v>35</v>
      </c>
      <c r="F20" t="s">
        <v>105</v>
      </c>
      <c r="G20" t="s">
        <v>85</v>
      </c>
      <c r="H20" t="s">
        <v>38</v>
      </c>
      <c r="I20" t="s">
        <v>39</v>
      </c>
      <c r="J20">
        <v>40</v>
      </c>
      <c r="K20">
        <v>32660.63</v>
      </c>
      <c r="L20">
        <v>1306425.2</v>
      </c>
      <c r="M20">
        <v>0</v>
      </c>
      <c r="N20">
        <v>0</v>
      </c>
      <c r="O20">
        <v>1306425.2</v>
      </c>
      <c r="P20" t="s">
        <v>32</v>
      </c>
      <c r="Q20" t="s">
        <v>32</v>
      </c>
    </row>
    <row r="21" spans="1:17" x14ac:dyDescent="0.25">
      <c r="A21" t="s">
        <v>106</v>
      </c>
      <c r="B21" s="1">
        <v>45997</v>
      </c>
      <c r="C21" t="s">
        <v>79</v>
      </c>
      <c r="D21" t="s">
        <v>107</v>
      </c>
      <c r="E21" t="s">
        <v>49</v>
      </c>
      <c r="F21" t="s">
        <v>36</v>
      </c>
      <c r="G21" t="s">
        <v>98</v>
      </c>
      <c r="H21" t="s">
        <v>38</v>
      </c>
      <c r="I21" t="s">
        <v>108</v>
      </c>
      <c r="J21">
        <v>33</v>
      </c>
      <c r="K21">
        <v>28594.17</v>
      </c>
      <c r="L21">
        <v>943607.61</v>
      </c>
      <c r="M21">
        <v>0</v>
      </c>
      <c r="N21">
        <v>0</v>
      </c>
      <c r="O21">
        <v>943607.61</v>
      </c>
      <c r="P21" t="s">
        <v>32</v>
      </c>
      <c r="Q21" t="s">
        <v>26</v>
      </c>
    </row>
    <row r="22" spans="1:17" x14ac:dyDescent="0.25">
      <c r="A22" t="s">
        <v>109</v>
      </c>
      <c r="B22" s="1">
        <v>46007</v>
      </c>
      <c r="C22" t="s">
        <v>79</v>
      </c>
      <c r="D22" t="s">
        <v>91</v>
      </c>
      <c r="E22" t="s">
        <v>41</v>
      </c>
      <c r="F22" t="s">
        <v>105</v>
      </c>
      <c r="G22" t="s">
        <v>89</v>
      </c>
      <c r="H22" t="s">
        <v>23</v>
      </c>
      <c r="I22" t="s">
        <v>110</v>
      </c>
      <c r="J22">
        <v>38</v>
      </c>
      <c r="K22">
        <v>24201.51</v>
      </c>
      <c r="L22">
        <v>919657.38</v>
      </c>
      <c r="M22">
        <v>0</v>
      </c>
      <c r="N22">
        <v>0</v>
      </c>
      <c r="O22">
        <v>919657.38</v>
      </c>
      <c r="P22" t="s">
        <v>73</v>
      </c>
      <c r="Q22" t="s">
        <v>32</v>
      </c>
    </row>
    <row r="23" spans="1:17" x14ac:dyDescent="0.25">
      <c r="A23" t="s">
        <v>111</v>
      </c>
      <c r="B23" s="1">
        <v>46013</v>
      </c>
      <c r="C23" t="s">
        <v>18</v>
      </c>
      <c r="D23" t="s">
        <v>75</v>
      </c>
      <c r="E23" t="s">
        <v>20</v>
      </c>
      <c r="F23" t="s">
        <v>112</v>
      </c>
      <c r="G23" t="s">
        <v>98</v>
      </c>
      <c r="H23" t="s">
        <v>23</v>
      </c>
      <c r="I23" t="s">
        <v>52</v>
      </c>
      <c r="J23">
        <v>1</v>
      </c>
      <c r="K23">
        <v>26871.66</v>
      </c>
      <c r="L23">
        <v>26871.66</v>
      </c>
      <c r="M23">
        <v>0</v>
      </c>
      <c r="N23">
        <v>0</v>
      </c>
      <c r="O23">
        <v>26871.66</v>
      </c>
      <c r="P23" t="s">
        <v>25</v>
      </c>
      <c r="Q23" t="s">
        <v>26</v>
      </c>
    </row>
    <row r="24" spans="1:17" x14ac:dyDescent="0.25">
      <c r="A24" t="s">
        <v>113</v>
      </c>
      <c r="B24" s="1">
        <v>45994</v>
      </c>
      <c r="C24" t="s">
        <v>47</v>
      </c>
      <c r="D24" t="s">
        <v>114</v>
      </c>
      <c r="E24" t="s">
        <v>20</v>
      </c>
      <c r="F24" t="s">
        <v>62</v>
      </c>
      <c r="G24" t="s">
        <v>85</v>
      </c>
      <c r="H24" t="s">
        <v>94</v>
      </c>
      <c r="I24" t="s">
        <v>115</v>
      </c>
      <c r="J24">
        <v>3</v>
      </c>
      <c r="K24">
        <v>11433.47</v>
      </c>
      <c r="L24">
        <v>34300.410000000003</v>
      </c>
      <c r="M24">
        <v>3036.49</v>
      </c>
      <c r="N24">
        <v>1305.2</v>
      </c>
      <c r="O24">
        <v>29958.720000000001</v>
      </c>
      <c r="P24" t="s">
        <v>73</v>
      </c>
      <c r="Q24" t="s">
        <v>26</v>
      </c>
    </row>
    <row r="25" spans="1:17" x14ac:dyDescent="0.25">
      <c r="A25" t="s">
        <v>116</v>
      </c>
      <c r="B25" s="1">
        <v>45969</v>
      </c>
      <c r="C25" t="s">
        <v>18</v>
      </c>
      <c r="D25" t="s">
        <v>28</v>
      </c>
      <c r="E25" t="s">
        <v>41</v>
      </c>
      <c r="F25" t="s">
        <v>62</v>
      </c>
      <c r="G25" t="s">
        <v>29</v>
      </c>
      <c r="H25" t="s">
        <v>57</v>
      </c>
      <c r="I25" t="s">
        <v>92</v>
      </c>
      <c r="J25">
        <v>27</v>
      </c>
      <c r="K25">
        <v>45421.760000000002</v>
      </c>
      <c r="L25">
        <v>1226387.52</v>
      </c>
      <c r="M25">
        <v>163657.59</v>
      </c>
      <c r="N25">
        <v>0</v>
      </c>
      <c r="O25">
        <v>1062729.93</v>
      </c>
      <c r="P25" t="s">
        <v>32</v>
      </c>
      <c r="Q25" t="s">
        <v>32</v>
      </c>
    </row>
    <row r="26" spans="1:17" x14ac:dyDescent="0.25">
      <c r="A26" t="s">
        <v>117</v>
      </c>
      <c r="B26" s="1">
        <v>45983</v>
      </c>
      <c r="C26" t="s">
        <v>18</v>
      </c>
      <c r="D26" t="s">
        <v>28</v>
      </c>
      <c r="E26" t="s">
        <v>35</v>
      </c>
      <c r="F26" t="s">
        <v>112</v>
      </c>
      <c r="G26" t="s">
        <v>56</v>
      </c>
      <c r="H26" t="s">
        <v>57</v>
      </c>
      <c r="I26" t="s">
        <v>118</v>
      </c>
      <c r="J26">
        <v>47</v>
      </c>
      <c r="K26">
        <v>44465.96</v>
      </c>
      <c r="L26">
        <v>2089900.12</v>
      </c>
      <c r="M26">
        <v>0</v>
      </c>
      <c r="N26">
        <v>0</v>
      </c>
      <c r="O26">
        <v>2089900.12</v>
      </c>
      <c r="P26" t="s">
        <v>25</v>
      </c>
      <c r="Q26" t="s">
        <v>26</v>
      </c>
    </row>
    <row r="27" spans="1:17" x14ac:dyDescent="0.25">
      <c r="A27" t="s">
        <v>119</v>
      </c>
      <c r="B27" s="1">
        <v>46022</v>
      </c>
      <c r="C27" t="s">
        <v>79</v>
      </c>
      <c r="D27" t="s">
        <v>80</v>
      </c>
      <c r="E27" t="s">
        <v>20</v>
      </c>
      <c r="F27" t="s">
        <v>21</v>
      </c>
      <c r="G27" t="s">
        <v>89</v>
      </c>
      <c r="H27" t="s">
        <v>38</v>
      </c>
      <c r="I27" t="s">
        <v>120</v>
      </c>
      <c r="J27">
        <v>14</v>
      </c>
      <c r="K27">
        <v>11666.96</v>
      </c>
      <c r="L27">
        <v>163337.44</v>
      </c>
      <c r="M27">
        <v>7261.88</v>
      </c>
      <c r="N27">
        <v>0</v>
      </c>
      <c r="O27">
        <v>156075.56</v>
      </c>
      <c r="P27" t="s">
        <v>31</v>
      </c>
      <c r="Q27" t="s">
        <v>32</v>
      </c>
    </row>
    <row r="28" spans="1:17" x14ac:dyDescent="0.25">
      <c r="A28" t="s">
        <v>121</v>
      </c>
      <c r="B28" s="1">
        <v>45954</v>
      </c>
      <c r="C28" t="s">
        <v>47</v>
      </c>
      <c r="D28" t="s">
        <v>88</v>
      </c>
      <c r="E28" t="s">
        <v>49</v>
      </c>
      <c r="F28" t="s">
        <v>112</v>
      </c>
      <c r="G28" t="s">
        <v>81</v>
      </c>
      <c r="H28" t="s">
        <v>23</v>
      </c>
      <c r="I28" t="s">
        <v>110</v>
      </c>
      <c r="J28">
        <v>17</v>
      </c>
      <c r="K28">
        <v>48299.98</v>
      </c>
      <c r="L28">
        <v>821099.66</v>
      </c>
      <c r="M28">
        <v>93674.91</v>
      </c>
      <c r="N28">
        <v>0</v>
      </c>
      <c r="O28">
        <v>727424.75</v>
      </c>
      <c r="P28" t="s">
        <v>31</v>
      </c>
      <c r="Q28" t="s">
        <v>32</v>
      </c>
    </row>
    <row r="29" spans="1:17" x14ac:dyDescent="0.25">
      <c r="A29" t="s">
        <v>122</v>
      </c>
      <c r="B29" s="1">
        <v>45962</v>
      </c>
      <c r="C29" t="s">
        <v>60</v>
      </c>
      <c r="D29" t="s">
        <v>123</v>
      </c>
      <c r="E29" t="s">
        <v>41</v>
      </c>
      <c r="F29" t="s">
        <v>21</v>
      </c>
      <c r="G29" t="s">
        <v>102</v>
      </c>
      <c r="H29" t="s">
        <v>44</v>
      </c>
      <c r="I29" t="s">
        <v>124</v>
      </c>
      <c r="J29">
        <v>4</v>
      </c>
      <c r="K29">
        <v>12024.23</v>
      </c>
      <c r="L29">
        <v>48096.92</v>
      </c>
      <c r="M29">
        <v>8638.8700000000008</v>
      </c>
      <c r="N29">
        <v>0</v>
      </c>
      <c r="O29">
        <v>39458.050000000003</v>
      </c>
      <c r="P29" t="s">
        <v>31</v>
      </c>
      <c r="Q29" t="s">
        <v>32</v>
      </c>
    </row>
    <row r="30" spans="1:17" x14ac:dyDescent="0.25">
      <c r="A30" t="s">
        <v>125</v>
      </c>
      <c r="B30" s="1">
        <v>45968</v>
      </c>
      <c r="C30" t="s">
        <v>60</v>
      </c>
      <c r="D30" t="s">
        <v>65</v>
      </c>
      <c r="E30" t="s">
        <v>20</v>
      </c>
      <c r="F30" t="s">
        <v>62</v>
      </c>
      <c r="G30" t="s">
        <v>85</v>
      </c>
      <c r="H30" t="s">
        <v>57</v>
      </c>
      <c r="I30" t="s">
        <v>58</v>
      </c>
      <c r="J30">
        <v>24</v>
      </c>
      <c r="K30">
        <v>21266.6</v>
      </c>
      <c r="L30">
        <v>510398.4</v>
      </c>
      <c r="M30">
        <v>31442.51</v>
      </c>
      <c r="N30">
        <v>0</v>
      </c>
      <c r="O30">
        <v>478955.89</v>
      </c>
      <c r="P30" t="s">
        <v>32</v>
      </c>
      <c r="Q30" t="s">
        <v>32</v>
      </c>
    </row>
    <row r="31" spans="1:17" x14ac:dyDescent="0.25">
      <c r="A31" t="s">
        <v>126</v>
      </c>
      <c r="B31" s="1">
        <v>45995</v>
      </c>
      <c r="C31" t="s">
        <v>47</v>
      </c>
      <c r="D31" t="s">
        <v>127</v>
      </c>
      <c r="E31" t="s">
        <v>41</v>
      </c>
      <c r="F31" t="s">
        <v>21</v>
      </c>
      <c r="G31" t="s">
        <v>43</v>
      </c>
      <c r="H31" t="s">
        <v>67</v>
      </c>
      <c r="I31" t="s">
        <v>103</v>
      </c>
      <c r="J31">
        <v>5</v>
      </c>
      <c r="K31">
        <v>36753.040000000001</v>
      </c>
      <c r="L31">
        <v>183765.2</v>
      </c>
      <c r="M31">
        <v>16865.37</v>
      </c>
      <c r="N31">
        <v>0</v>
      </c>
      <c r="O31">
        <v>166899.82999999999</v>
      </c>
      <c r="P31" t="s">
        <v>25</v>
      </c>
      <c r="Q31" t="s">
        <v>128</v>
      </c>
    </row>
    <row r="32" spans="1:17" x14ac:dyDescent="0.25">
      <c r="A32" t="s">
        <v>129</v>
      </c>
      <c r="B32" s="1">
        <v>46020</v>
      </c>
      <c r="C32" t="s">
        <v>47</v>
      </c>
      <c r="D32" t="s">
        <v>88</v>
      </c>
      <c r="E32" t="s">
        <v>35</v>
      </c>
      <c r="F32" t="s">
        <v>50</v>
      </c>
      <c r="G32" t="s">
        <v>85</v>
      </c>
      <c r="H32" t="s">
        <v>57</v>
      </c>
      <c r="I32" t="s">
        <v>58</v>
      </c>
      <c r="J32">
        <v>15</v>
      </c>
      <c r="K32">
        <v>25157.09</v>
      </c>
      <c r="L32">
        <v>377356.35</v>
      </c>
      <c r="M32">
        <v>1501.2</v>
      </c>
      <c r="N32">
        <v>0</v>
      </c>
      <c r="O32">
        <v>375855.15</v>
      </c>
      <c r="P32" t="s">
        <v>32</v>
      </c>
      <c r="Q32" t="s">
        <v>32</v>
      </c>
    </row>
    <row r="33" spans="1:17" x14ac:dyDescent="0.25">
      <c r="A33" t="s">
        <v>130</v>
      </c>
      <c r="B33" s="1">
        <v>45983</v>
      </c>
      <c r="C33" t="s">
        <v>18</v>
      </c>
      <c r="D33" t="s">
        <v>28</v>
      </c>
      <c r="E33" t="s">
        <v>35</v>
      </c>
      <c r="F33" t="s">
        <v>21</v>
      </c>
      <c r="G33" t="s">
        <v>37</v>
      </c>
      <c r="H33" t="s">
        <v>23</v>
      </c>
      <c r="I33" t="s">
        <v>131</v>
      </c>
      <c r="J33">
        <v>17</v>
      </c>
      <c r="K33">
        <v>34037.15</v>
      </c>
      <c r="L33">
        <v>578631.55000000005</v>
      </c>
      <c r="M33">
        <v>69892.45</v>
      </c>
      <c r="N33">
        <v>139811.56</v>
      </c>
      <c r="O33">
        <v>368927.54</v>
      </c>
      <c r="P33" t="s">
        <v>32</v>
      </c>
      <c r="Q33" t="s">
        <v>26</v>
      </c>
    </row>
    <row r="34" spans="1:17" x14ac:dyDescent="0.25">
      <c r="A34" t="s">
        <v>132</v>
      </c>
      <c r="B34" s="1">
        <v>45992</v>
      </c>
      <c r="C34" t="s">
        <v>54</v>
      </c>
      <c r="D34" t="s">
        <v>133</v>
      </c>
      <c r="E34" t="s">
        <v>49</v>
      </c>
      <c r="F34" t="s">
        <v>21</v>
      </c>
      <c r="G34" t="s">
        <v>98</v>
      </c>
      <c r="H34" t="s">
        <v>38</v>
      </c>
      <c r="I34" t="s">
        <v>39</v>
      </c>
      <c r="J34">
        <v>32</v>
      </c>
      <c r="K34">
        <v>20286.5</v>
      </c>
      <c r="L34">
        <v>649168</v>
      </c>
      <c r="M34">
        <v>92995.38</v>
      </c>
      <c r="N34">
        <v>0</v>
      </c>
      <c r="O34">
        <v>556172.62</v>
      </c>
      <c r="P34" t="s">
        <v>25</v>
      </c>
      <c r="Q34" t="s">
        <v>26</v>
      </c>
    </row>
    <row r="35" spans="1:17" x14ac:dyDescent="0.25">
      <c r="A35" t="s">
        <v>134</v>
      </c>
      <c r="B35" s="1">
        <v>45967</v>
      </c>
      <c r="C35" t="s">
        <v>79</v>
      </c>
      <c r="D35" t="s">
        <v>101</v>
      </c>
      <c r="E35" t="s">
        <v>20</v>
      </c>
      <c r="F35" t="s">
        <v>50</v>
      </c>
      <c r="G35" t="s">
        <v>37</v>
      </c>
      <c r="H35" t="s">
        <v>44</v>
      </c>
      <c r="I35" t="s">
        <v>135</v>
      </c>
      <c r="J35">
        <v>6</v>
      </c>
      <c r="K35">
        <v>7270.14</v>
      </c>
      <c r="L35">
        <v>43620.84</v>
      </c>
      <c r="M35">
        <v>5223.53</v>
      </c>
      <c r="N35">
        <v>0</v>
      </c>
      <c r="O35">
        <v>38397.31</v>
      </c>
      <c r="P35" t="s">
        <v>31</v>
      </c>
      <c r="Q35" t="s">
        <v>32</v>
      </c>
    </row>
    <row r="36" spans="1:17" x14ac:dyDescent="0.25">
      <c r="A36" t="s">
        <v>136</v>
      </c>
      <c r="B36" s="1">
        <v>46016</v>
      </c>
      <c r="C36" t="s">
        <v>60</v>
      </c>
      <c r="D36" t="s">
        <v>61</v>
      </c>
      <c r="E36" t="s">
        <v>41</v>
      </c>
      <c r="F36" t="s">
        <v>137</v>
      </c>
      <c r="G36" t="s">
        <v>138</v>
      </c>
      <c r="H36" t="s">
        <v>57</v>
      </c>
      <c r="I36" t="s">
        <v>118</v>
      </c>
      <c r="J36">
        <v>8</v>
      </c>
      <c r="K36">
        <v>29664.07</v>
      </c>
      <c r="L36">
        <v>237312.56</v>
      </c>
      <c r="M36">
        <v>33736.78</v>
      </c>
      <c r="N36">
        <v>0</v>
      </c>
      <c r="O36">
        <v>203575.78</v>
      </c>
      <c r="P36" t="s">
        <v>25</v>
      </c>
      <c r="Q36" t="s">
        <v>26</v>
      </c>
    </row>
    <row r="37" spans="1:17" x14ac:dyDescent="0.25">
      <c r="A37" t="s">
        <v>139</v>
      </c>
      <c r="B37" s="1">
        <v>45957</v>
      </c>
      <c r="C37" t="s">
        <v>47</v>
      </c>
      <c r="D37" t="s">
        <v>114</v>
      </c>
      <c r="E37" t="s">
        <v>35</v>
      </c>
      <c r="F37" t="s">
        <v>71</v>
      </c>
      <c r="G37" t="s">
        <v>140</v>
      </c>
      <c r="H37" t="s">
        <v>44</v>
      </c>
      <c r="I37" t="s">
        <v>141</v>
      </c>
      <c r="J37">
        <v>6</v>
      </c>
      <c r="K37">
        <v>39451.18</v>
      </c>
      <c r="L37">
        <v>236707.08</v>
      </c>
      <c r="M37">
        <v>0</v>
      </c>
      <c r="N37">
        <v>0</v>
      </c>
      <c r="O37">
        <v>236707.08</v>
      </c>
      <c r="P37" t="s">
        <v>25</v>
      </c>
      <c r="Q37" t="s">
        <v>32</v>
      </c>
    </row>
    <row r="38" spans="1:17" x14ac:dyDescent="0.25">
      <c r="A38" t="s">
        <v>142</v>
      </c>
      <c r="B38" s="1">
        <v>45979</v>
      </c>
      <c r="C38" t="s">
        <v>79</v>
      </c>
      <c r="D38" t="s">
        <v>80</v>
      </c>
      <c r="E38" t="s">
        <v>35</v>
      </c>
      <c r="F38" t="s">
        <v>21</v>
      </c>
      <c r="G38" t="s">
        <v>85</v>
      </c>
      <c r="H38" t="s">
        <v>57</v>
      </c>
      <c r="I38" t="s">
        <v>58</v>
      </c>
      <c r="J38">
        <v>41</v>
      </c>
      <c r="K38">
        <v>17198.439999999999</v>
      </c>
      <c r="L38">
        <v>705136.04</v>
      </c>
      <c r="M38">
        <v>0</v>
      </c>
      <c r="N38">
        <v>0</v>
      </c>
      <c r="O38">
        <v>705136.04</v>
      </c>
      <c r="P38" t="s">
        <v>25</v>
      </c>
      <c r="Q38" t="s">
        <v>26</v>
      </c>
    </row>
    <row r="39" spans="1:17" x14ac:dyDescent="0.25">
      <c r="A39" t="s">
        <v>143</v>
      </c>
      <c r="B39" s="1">
        <v>46016</v>
      </c>
      <c r="C39" t="s">
        <v>47</v>
      </c>
      <c r="D39" t="s">
        <v>48</v>
      </c>
      <c r="E39" t="s">
        <v>41</v>
      </c>
      <c r="F39" t="s">
        <v>84</v>
      </c>
      <c r="G39" t="s">
        <v>81</v>
      </c>
      <c r="H39" t="s">
        <v>94</v>
      </c>
      <c r="I39" t="s">
        <v>144</v>
      </c>
      <c r="J39">
        <v>7</v>
      </c>
      <c r="K39">
        <v>43289.25</v>
      </c>
      <c r="L39">
        <v>303024.75</v>
      </c>
      <c r="M39">
        <v>617.46</v>
      </c>
      <c r="N39">
        <v>0</v>
      </c>
      <c r="O39">
        <v>302407.28999999998</v>
      </c>
      <c r="P39" t="s">
        <v>73</v>
      </c>
      <c r="Q39" t="s">
        <v>26</v>
      </c>
    </row>
    <row r="40" spans="1:17" x14ac:dyDescent="0.25">
      <c r="A40" t="s">
        <v>145</v>
      </c>
      <c r="B40" s="1">
        <v>46005</v>
      </c>
      <c r="C40" t="s">
        <v>18</v>
      </c>
      <c r="D40" t="s">
        <v>28</v>
      </c>
      <c r="E40" t="s">
        <v>35</v>
      </c>
      <c r="F40" t="s">
        <v>112</v>
      </c>
      <c r="G40" t="s">
        <v>89</v>
      </c>
      <c r="H40" t="s">
        <v>57</v>
      </c>
      <c r="I40" t="s">
        <v>92</v>
      </c>
      <c r="J40">
        <v>11</v>
      </c>
      <c r="K40">
        <v>33089.86</v>
      </c>
      <c r="L40">
        <v>363988.46</v>
      </c>
      <c r="M40">
        <v>0</v>
      </c>
      <c r="N40">
        <v>0</v>
      </c>
      <c r="O40">
        <v>363988.46</v>
      </c>
      <c r="P40" t="s">
        <v>31</v>
      </c>
      <c r="Q40" t="s">
        <v>32</v>
      </c>
    </row>
    <row r="41" spans="1:17" x14ac:dyDescent="0.25">
      <c r="A41" t="s">
        <v>146</v>
      </c>
      <c r="B41" s="1">
        <v>45973</v>
      </c>
      <c r="C41" t="s">
        <v>18</v>
      </c>
      <c r="D41" t="s">
        <v>75</v>
      </c>
      <c r="E41" t="s">
        <v>41</v>
      </c>
      <c r="F41" t="s">
        <v>62</v>
      </c>
      <c r="G41" t="s">
        <v>138</v>
      </c>
      <c r="H41" t="s">
        <v>94</v>
      </c>
      <c r="I41" t="s">
        <v>95</v>
      </c>
      <c r="J41">
        <v>3</v>
      </c>
      <c r="K41">
        <v>34111.25</v>
      </c>
      <c r="L41">
        <v>102333.75</v>
      </c>
      <c r="M41">
        <v>0</v>
      </c>
      <c r="N41">
        <v>0</v>
      </c>
      <c r="O41">
        <v>102333.75</v>
      </c>
      <c r="P41" t="s">
        <v>31</v>
      </c>
      <c r="Q41" t="s">
        <v>32</v>
      </c>
    </row>
    <row r="42" spans="1:17" x14ac:dyDescent="0.25">
      <c r="A42" t="s">
        <v>147</v>
      </c>
      <c r="B42" s="1">
        <v>46003</v>
      </c>
      <c r="C42" t="s">
        <v>79</v>
      </c>
      <c r="D42" t="s">
        <v>91</v>
      </c>
      <c r="E42" t="s">
        <v>41</v>
      </c>
      <c r="F42" t="s">
        <v>62</v>
      </c>
      <c r="G42" t="s">
        <v>98</v>
      </c>
      <c r="H42" t="s">
        <v>57</v>
      </c>
      <c r="I42" t="s">
        <v>148</v>
      </c>
      <c r="J42">
        <v>49</v>
      </c>
      <c r="K42">
        <v>24031.97</v>
      </c>
      <c r="L42">
        <v>1177566.53</v>
      </c>
      <c r="M42">
        <v>143315.4</v>
      </c>
      <c r="N42">
        <v>0</v>
      </c>
      <c r="O42">
        <v>1034251.13</v>
      </c>
      <c r="P42" t="s">
        <v>32</v>
      </c>
      <c r="Q42" t="s">
        <v>32</v>
      </c>
    </row>
    <row r="43" spans="1:17" x14ac:dyDescent="0.25">
      <c r="A43" t="s">
        <v>149</v>
      </c>
      <c r="B43" s="1">
        <v>46010</v>
      </c>
      <c r="C43" t="s">
        <v>47</v>
      </c>
      <c r="D43" t="s">
        <v>127</v>
      </c>
      <c r="E43" t="s">
        <v>35</v>
      </c>
      <c r="F43" t="s">
        <v>36</v>
      </c>
      <c r="G43" t="s">
        <v>51</v>
      </c>
      <c r="H43" t="s">
        <v>57</v>
      </c>
      <c r="I43" t="s">
        <v>92</v>
      </c>
      <c r="J43">
        <v>24</v>
      </c>
      <c r="K43">
        <v>37923.269999999997</v>
      </c>
      <c r="L43">
        <v>910158.48</v>
      </c>
      <c r="M43">
        <v>35240.36</v>
      </c>
      <c r="N43">
        <v>30825.66</v>
      </c>
      <c r="O43">
        <v>844092.46</v>
      </c>
      <c r="P43" t="s">
        <v>73</v>
      </c>
      <c r="Q43" t="s">
        <v>26</v>
      </c>
    </row>
    <row r="44" spans="1:17" x14ac:dyDescent="0.25">
      <c r="A44" t="s">
        <v>150</v>
      </c>
      <c r="B44" s="1">
        <v>45993</v>
      </c>
      <c r="C44" t="s">
        <v>60</v>
      </c>
      <c r="D44" t="s">
        <v>151</v>
      </c>
      <c r="E44" t="s">
        <v>41</v>
      </c>
      <c r="F44" t="s">
        <v>137</v>
      </c>
      <c r="G44" t="s">
        <v>81</v>
      </c>
      <c r="H44" t="s">
        <v>44</v>
      </c>
      <c r="I44" t="s">
        <v>152</v>
      </c>
      <c r="J44">
        <v>22</v>
      </c>
      <c r="K44">
        <v>11666.14</v>
      </c>
      <c r="L44">
        <v>256655.08</v>
      </c>
      <c r="M44">
        <v>11210.73</v>
      </c>
      <c r="N44">
        <v>0</v>
      </c>
      <c r="O44">
        <v>245444.35</v>
      </c>
      <c r="P44" t="s">
        <v>31</v>
      </c>
      <c r="Q44" t="s">
        <v>32</v>
      </c>
    </row>
    <row r="45" spans="1:17" x14ac:dyDescent="0.25">
      <c r="A45" t="s">
        <v>153</v>
      </c>
      <c r="B45" s="1">
        <v>45978</v>
      </c>
      <c r="C45" t="s">
        <v>18</v>
      </c>
      <c r="D45" t="s">
        <v>34</v>
      </c>
      <c r="E45" t="s">
        <v>35</v>
      </c>
      <c r="F45" t="s">
        <v>50</v>
      </c>
      <c r="G45" t="s">
        <v>98</v>
      </c>
      <c r="H45" t="s">
        <v>67</v>
      </c>
      <c r="I45" t="s">
        <v>154</v>
      </c>
      <c r="J45">
        <v>49</v>
      </c>
      <c r="K45">
        <v>31704.86</v>
      </c>
      <c r="L45">
        <v>1553538.14</v>
      </c>
      <c r="M45">
        <v>82095.77</v>
      </c>
      <c r="N45">
        <v>85672.95</v>
      </c>
      <c r="O45">
        <v>1385769.42</v>
      </c>
      <c r="P45" t="s">
        <v>31</v>
      </c>
      <c r="Q45" t="s">
        <v>32</v>
      </c>
    </row>
    <row r="46" spans="1:17" x14ac:dyDescent="0.25">
      <c r="A46" t="s">
        <v>155</v>
      </c>
      <c r="B46" s="1">
        <v>45967</v>
      </c>
      <c r="C46" t="s">
        <v>79</v>
      </c>
      <c r="D46" t="s">
        <v>91</v>
      </c>
      <c r="E46" t="s">
        <v>35</v>
      </c>
      <c r="F46" t="s">
        <v>71</v>
      </c>
      <c r="G46" t="s">
        <v>81</v>
      </c>
      <c r="H46" t="s">
        <v>94</v>
      </c>
      <c r="I46" t="s">
        <v>95</v>
      </c>
      <c r="J46">
        <v>20</v>
      </c>
      <c r="K46">
        <v>39841.96</v>
      </c>
      <c r="L46">
        <v>796839.2</v>
      </c>
      <c r="M46">
        <v>0</v>
      </c>
      <c r="N46">
        <v>0</v>
      </c>
      <c r="O46">
        <v>796839.2</v>
      </c>
      <c r="P46" t="s">
        <v>73</v>
      </c>
      <c r="Q46" t="s">
        <v>32</v>
      </c>
    </row>
    <row r="47" spans="1:17" x14ac:dyDescent="0.25">
      <c r="A47" t="s">
        <v>156</v>
      </c>
      <c r="B47" s="1">
        <v>45990</v>
      </c>
      <c r="C47" t="s">
        <v>54</v>
      </c>
      <c r="D47" t="s">
        <v>133</v>
      </c>
      <c r="E47" t="s">
        <v>20</v>
      </c>
      <c r="F47" t="s">
        <v>137</v>
      </c>
      <c r="G47" t="s">
        <v>29</v>
      </c>
      <c r="H47" t="s">
        <v>94</v>
      </c>
      <c r="I47" t="s">
        <v>115</v>
      </c>
      <c r="J47">
        <v>2</v>
      </c>
      <c r="K47">
        <v>34864.83</v>
      </c>
      <c r="L47">
        <v>69729.66</v>
      </c>
      <c r="M47">
        <v>0</v>
      </c>
      <c r="N47">
        <v>0</v>
      </c>
      <c r="O47">
        <v>69729.66</v>
      </c>
      <c r="P47" t="s">
        <v>31</v>
      </c>
      <c r="Q47" t="s">
        <v>32</v>
      </c>
    </row>
    <row r="48" spans="1:17" x14ac:dyDescent="0.25">
      <c r="A48" t="s">
        <v>157</v>
      </c>
      <c r="B48" s="1">
        <v>46022</v>
      </c>
      <c r="C48" t="s">
        <v>79</v>
      </c>
      <c r="D48" t="s">
        <v>101</v>
      </c>
      <c r="E48" t="s">
        <v>49</v>
      </c>
      <c r="F48" t="s">
        <v>84</v>
      </c>
      <c r="G48" t="s">
        <v>89</v>
      </c>
      <c r="H48" t="s">
        <v>23</v>
      </c>
      <c r="I48" t="s">
        <v>24</v>
      </c>
      <c r="J48">
        <v>15</v>
      </c>
      <c r="K48">
        <v>34625.79</v>
      </c>
      <c r="L48">
        <v>519386.85</v>
      </c>
      <c r="M48">
        <v>97860.39</v>
      </c>
      <c r="N48">
        <v>0</v>
      </c>
      <c r="O48">
        <v>421526.46</v>
      </c>
      <c r="P48" t="s">
        <v>25</v>
      </c>
      <c r="Q48" t="s">
        <v>26</v>
      </c>
    </row>
    <row r="49" spans="1:17" x14ac:dyDescent="0.25">
      <c r="A49" t="s">
        <v>158</v>
      </c>
      <c r="B49" s="1">
        <v>45970</v>
      </c>
      <c r="C49" t="s">
        <v>47</v>
      </c>
      <c r="D49" t="s">
        <v>48</v>
      </c>
      <c r="E49" t="s">
        <v>49</v>
      </c>
      <c r="F49" t="s">
        <v>62</v>
      </c>
      <c r="G49" t="s">
        <v>81</v>
      </c>
      <c r="H49" t="s">
        <v>23</v>
      </c>
      <c r="I49" t="s">
        <v>30</v>
      </c>
      <c r="J49">
        <v>27</v>
      </c>
      <c r="K49">
        <v>33180.74</v>
      </c>
      <c r="L49">
        <v>895879.98</v>
      </c>
      <c r="M49">
        <v>0</v>
      </c>
      <c r="N49">
        <v>0</v>
      </c>
      <c r="O49">
        <v>895879.98</v>
      </c>
      <c r="P49" t="s">
        <v>73</v>
      </c>
      <c r="Q49" t="s">
        <v>26</v>
      </c>
    </row>
    <row r="50" spans="1:17" x14ac:dyDescent="0.25">
      <c r="A50" t="s">
        <v>159</v>
      </c>
      <c r="B50" s="1">
        <v>45965</v>
      </c>
      <c r="C50" t="s">
        <v>79</v>
      </c>
      <c r="D50" t="s">
        <v>91</v>
      </c>
      <c r="E50" t="s">
        <v>41</v>
      </c>
      <c r="F50" t="s">
        <v>62</v>
      </c>
      <c r="G50" t="s">
        <v>98</v>
      </c>
      <c r="H50" t="s">
        <v>57</v>
      </c>
      <c r="I50" t="s">
        <v>160</v>
      </c>
      <c r="J50">
        <v>22</v>
      </c>
      <c r="K50">
        <v>14927.89</v>
      </c>
      <c r="L50">
        <v>328413.58</v>
      </c>
      <c r="M50">
        <v>36181.96</v>
      </c>
      <c r="N50">
        <v>0</v>
      </c>
      <c r="O50">
        <v>292231.62</v>
      </c>
      <c r="P50" t="s">
        <v>32</v>
      </c>
      <c r="Q50" t="s">
        <v>32</v>
      </c>
    </row>
    <row r="51" spans="1:17" x14ac:dyDescent="0.25">
      <c r="A51" t="s">
        <v>161</v>
      </c>
      <c r="B51" s="1">
        <v>46014</v>
      </c>
      <c r="C51" t="s">
        <v>47</v>
      </c>
      <c r="D51" t="s">
        <v>127</v>
      </c>
      <c r="E51" t="s">
        <v>20</v>
      </c>
      <c r="F51" t="s">
        <v>137</v>
      </c>
      <c r="G51" t="s">
        <v>51</v>
      </c>
      <c r="H51" t="s">
        <v>57</v>
      </c>
      <c r="I51" t="s">
        <v>160</v>
      </c>
      <c r="J51">
        <v>32</v>
      </c>
      <c r="K51">
        <v>18050.54</v>
      </c>
      <c r="L51">
        <v>577617.28</v>
      </c>
      <c r="M51">
        <v>0</v>
      </c>
      <c r="N51">
        <v>103283.04</v>
      </c>
      <c r="O51">
        <v>474334.24</v>
      </c>
      <c r="P51" t="s">
        <v>73</v>
      </c>
      <c r="Q51" t="s">
        <v>26</v>
      </c>
    </row>
    <row r="52" spans="1:17" x14ac:dyDescent="0.25">
      <c r="A52" t="s">
        <v>162</v>
      </c>
      <c r="B52" s="1">
        <v>45967</v>
      </c>
      <c r="C52" t="s">
        <v>47</v>
      </c>
      <c r="D52" t="s">
        <v>127</v>
      </c>
      <c r="E52" t="s">
        <v>35</v>
      </c>
      <c r="F52" t="s">
        <v>71</v>
      </c>
      <c r="G52" t="s">
        <v>138</v>
      </c>
      <c r="H52" t="s">
        <v>94</v>
      </c>
      <c r="I52" t="s">
        <v>163</v>
      </c>
      <c r="J52">
        <v>12</v>
      </c>
      <c r="K52">
        <v>29830.16</v>
      </c>
      <c r="L52">
        <v>357961.92</v>
      </c>
      <c r="M52">
        <v>0</v>
      </c>
      <c r="N52">
        <v>0</v>
      </c>
      <c r="O52">
        <v>357961.92</v>
      </c>
      <c r="P52" t="s">
        <v>32</v>
      </c>
      <c r="Q52" t="s">
        <v>32</v>
      </c>
    </row>
    <row r="53" spans="1:17" x14ac:dyDescent="0.25">
      <c r="A53" t="s">
        <v>164</v>
      </c>
      <c r="B53" s="1">
        <v>45997</v>
      </c>
      <c r="C53" t="s">
        <v>18</v>
      </c>
      <c r="D53" t="s">
        <v>28</v>
      </c>
      <c r="E53" t="s">
        <v>41</v>
      </c>
      <c r="F53" t="s">
        <v>42</v>
      </c>
      <c r="G53" t="s">
        <v>51</v>
      </c>
      <c r="H53" t="s">
        <v>94</v>
      </c>
      <c r="I53" t="s">
        <v>144</v>
      </c>
      <c r="J53">
        <v>49</v>
      </c>
      <c r="K53">
        <v>50324.61</v>
      </c>
      <c r="L53">
        <v>2465905.89</v>
      </c>
      <c r="M53">
        <v>229672.02</v>
      </c>
      <c r="N53">
        <v>0</v>
      </c>
      <c r="O53">
        <v>2236233.87</v>
      </c>
      <c r="P53" t="s">
        <v>32</v>
      </c>
      <c r="Q53" t="s">
        <v>32</v>
      </c>
    </row>
    <row r="54" spans="1:17" x14ac:dyDescent="0.25">
      <c r="A54" t="s">
        <v>165</v>
      </c>
      <c r="B54" s="1">
        <v>45996</v>
      </c>
      <c r="C54" t="s">
        <v>47</v>
      </c>
      <c r="D54" t="s">
        <v>48</v>
      </c>
      <c r="E54" t="s">
        <v>41</v>
      </c>
      <c r="F54" t="s">
        <v>42</v>
      </c>
      <c r="G54" t="s">
        <v>37</v>
      </c>
      <c r="H54" t="s">
        <v>38</v>
      </c>
      <c r="I54" t="s">
        <v>86</v>
      </c>
      <c r="J54">
        <v>43</v>
      </c>
      <c r="K54">
        <v>37937.089999999997</v>
      </c>
      <c r="L54">
        <v>1631294.87</v>
      </c>
      <c r="M54">
        <v>0</v>
      </c>
      <c r="N54">
        <v>0</v>
      </c>
      <c r="O54">
        <v>1631294.87</v>
      </c>
      <c r="P54" t="s">
        <v>25</v>
      </c>
      <c r="Q54" t="s">
        <v>26</v>
      </c>
    </row>
    <row r="55" spans="1:17" x14ac:dyDescent="0.25">
      <c r="A55" t="s">
        <v>166</v>
      </c>
      <c r="B55" s="1">
        <v>46015</v>
      </c>
      <c r="C55" t="s">
        <v>79</v>
      </c>
      <c r="D55" t="s">
        <v>80</v>
      </c>
      <c r="E55" t="s">
        <v>20</v>
      </c>
      <c r="F55" t="s">
        <v>36</v>
      </c>
      <c r="G55" t="s">
        <v>140</v>
      </c>
      <c r="H55" t="s">
        <v>67</v>
      </c>
      <c r="I55" t="s">
        <v>154</v>
      </c>
      <c r="J55">
        <v>17</v>
      </c>
      <c r="K55">
        <v>41697.89</v>
      </c>
      <c r="L55">
        <v>708864.13</v>
      </c>
      <c r="M55">
        <v>128332.07</v>
      </c>
      <c r="N55">
        <v>0</v>
      </c>
      <c r="O55">
        <v>580532.06000000006</v>
      </c>
      <c r="P55" t="s">
        <v>32</v>
      </c>
      <c r="Q55" t="s">
        <v>26</v>
      </c>
    </row>
    <row r="56" spans="1:17" x14ac:dyDescent="0.25">
      <c r="A56" t="s">
        <v>167</v>
      </c>
      <c r="B56" s="1">
        <v>46022</v>
      </c>
      <c r="C56" t="s">
        <v>18</v>
      </c>
      <c r="D56" t="s">
        <v>28</v>
      </c>
      <c r="E56" t="s">
        <v>20</v>
      </c>
      <c r="F56" t="s">
        <v>71</v>
      </c>
      <c r="G56" t="s">
        <v>89</v>
      </c>
      <c r="H56" t="s">
        <v>38</v>
      </c>
      <c r="I56" t="s">
        <v>86</v>
      </c>
      <c r="J56">
        <v>39</v>
      </c>
      <c r="K56">
        <v>10615.27</v>
      </c>
      <c r="L56">
        <v>413995.53</v>
      </c>
      <c r="M56">
        <v>0</v>
      </c>
      <c r="N56">
        <v>0</v>
      </c>
      <c r="O56">
        <v>413995.53</v>
      </c>
      <c r="P56" t="s">
        <v>73</v>
      </c>
      <c r="Q56" t="s">
        <v>32</v>
      </c>
    </row>
    <row r="57" spans="1:17" x14ac:dyDescent="0.25">
      <c r="A57" t="s">
        <v>168</v>
      </c>
      <c r="B57" s="1">
        <v>46035</v>
      </c>
      <c r="C57" t="s">
        <v>60</v>
      </c>
      <c r="D57" t="s">
        <v>123</v>
      </c>
      <c r="E57" t="s">
        <v>41</v>
      </c>
      <c r="F57" t="s">
        <v>62</v>
      </c>
      <c r="G57" t="s">
        <v>89</v>
      </c>
      <c r="H57" t="s">
        <v>44</v>
      </c>
      <c r="I57" t="s">
        <v>124</v>
      </c>
      <c r="J57">
        <v>13</v>
      </c>
      <c r="K57">
        <v>11271.03</v>
      </c>
      <c r="L57">
        <v>146523.39000000001</v>
      </c>
      <c r="M57">
        <v>0</v>
      </c>
      <c r="N57">
        <v>0</v>
      </c>
      <c r="O57">
        <v>146523.39000000001</v>
      </c>
      <c r="P57" t="s">
        <v>73</v>
      </c>
      <c r="Q57" t="s">
        <v>32</v>
      </c>
    </row>
    <row r="58" spans="1:17" x14ac:dyDescent="0.25">
      <c r="A58" t="s">
        <v>169</v>
      </c>
      <c r="B58" s="1">
        <v>45963</v>
      </c>
      <c r="C58" t="s">
        <v>18</v>
      </c>
      <c r="D58" t="s">
        <v>19</v>
      </c>
      <c r="E58" t="s">
        <v>49</v>
      </c>
      <c r="F58" t="s">
        <v>137</v>
      </c>
      <c r="G58" t="s">
        <v>56</v>
      </c>
      <c r="H58" t="s">
        <v>67</v>
      </c>
      <c r="I58" t="s">
        <v>170</v>
      </c>
      <c r="J58">
        <v>27</v>
      </c>
      <c r="K58">
        <v>40229.06</v>
      </c>
      <c r="L58">
        <v>1086184.6200000001</v>
      </c>
      <c r="M58">
        <v>0</v>
      </c>
      <c r="N58">
        <v>76319.520000000004</v>
      </c>
      <c r="O58">
        <v>1009865.1</v>
      </c>
      <c r="P58" t="s">
        <v>25</v>
      </c>
      <c r="Q58" t="s">
        <v>26</v>
      </c>
    </row>
    <row r="59" spans="1:17" x14ac:dyDescent="0.25">
      <c r="A59" t="s">
        <v>171</v>
      </c>
      <c r="B59" s="1">
        <v>45985</v>
      </c>
      <c r="C59" t="s">
        <v>47</v>
      </c>
      <c r="D59" t="s">
        <v>48</v>
      </c>
      <c r="E59" t="s">
        <v>49</v>
      </c>
      <c r="F59" t="s">
        <v>62</v>
      </c>
      <c r="G59" t="s">
        <v>85</v>
      </c>
      <c r="H59" t="s">
        <v>38</v>
      </c>
      <c r="I59" t="s">
        <v>39</v>
      </c>
      <c r="J59">
        <v>31</v>
      </c>
      <c r="K59">
        <v>20949.79</v>
      </c>
      <c r="L59">
        <v>649443.49</v>
      </c>
      <c r="M59">
        <v>60163.62</v>
      </c>
      <c r="N59">
        <v>0</v>
      </c>
      <c r="O59">
        <v>589279.87</v>
      </c>
      <c r="P59" t="s">
        <v>32</v>
      </c>
      <c r="Q59" t="s">
        <v>32</v>
      </c>
    </row>
    <row r="60" spans="1:17" x14ac:dyDescent="0.25">
      <c r="A60" t="s">
        <v>172</v>
      </c>
      <c r="B60" s="1">
        <v>46036</v>
      </c>
      <c r="C60" t="s">
        <v>18</v>
      </c>
      <c r="D60" t="s">
        <v>19</v>
      </c>
      <c r="E60" t="s">
        <v>20</v>
      </c>
      <c r="F60" t="s">
        <v>62</v>
      </c>
      <c r="G60" t="s">
        <v>66</v>
      </c>
      <c r="H60" t="s">
        <v>38</v>
      </c>
      <c r="I60" t="s">
        <v>120</v>
      </c>
      <c r="J60">
        <v>39</v>
      </c>
      <c r="K60">
        <v>9630.43</v>
      </c>
      <c r="L60">
        <v>375586.77</v>
      </c>
      <c r="M60">
        <v>34233.839999999997</v>
      </c>
      <c r="N60">
        <v>0</v>
      </c>
      <c r="O60">
        <v>341352.93</v>
      </c>
      <c r="P60" t="s">
        <v>31</v>
      </c>
      <c r="Q60" t="s">
        <v>32</v>
      </c>
    </row>
    <row r="61" spans="1:17" x14ac:dyDescent="0.25">
      <c r="A61" t="s">
        <v>173</v>
      </c>
      <c r="B61" s="1">
        <v>46014</v>
      </c>
      <c r="C61" t="s">
        <v>79</v>
      </c>
      <c r="D61" t="s">
        <v>80</v>
      </c>
      <c r="E61" t="s">
        <v>41</v>
      </c>
      <c r="F61" t="s">
        <v>137</v>
      </c>
      <c r="G61" t="s">
        <v>138</v>
      </c>
      <c r="H61" t="s">
        <v>23</v>
      </c>
      <c r="I61" t="s">
        <v>131</v>
      </c>
      <c r="J61">
        <v>42</v>
      </c>
      <c r="K61">
        <v>48364.27</v>
      </c>
      <c r="L61">
        <v>2031299.34</v>
      </c>
      <c r="M61">
        <v>35031.699999999997</v>
      </c>
      <c r="N61">
        <v>0</v>
      </c>
      <c r="O61">
        <v>1996267.64</v>
      </c>
      <c r="P61" t="s">
        <v>32</v>
      </c>
      <c r="Q61" t="s">
        <v>26</v>
      </c>
    </row>
    <row r="62" spans="1:17" x14ac:dyDescent="0.25">
      <c r="A62" t="s">
        <v>174</v>
      </c>
      <c r="B62" s="1">
        <v>46022</v>
      </c>
      <c r="C62" t="s">
        <v>54</v>
      </c>
      <c r="D62" t="s">
        <v>97</v>
      </c>
      <c r="E62" t="s">
        <v>49</v>
      </c>
      <c r="F62" t="s">
        <v>105</v>
      </c>
      <c r="G62" t="s">
        <v>43</v>
      </c>
      <c r="H62" t="s">
        <v>38</v>
      </c>
      <c r="I62" t="s">
        <v>175</v>
      </c>
      <c r="J62">
        <v>29</v>
      </c>
      <c r="K62">
        <v>11088.78</v>
      </c>
      <c r="L62">
        <v>321574.62</v>
      </c>
      <c r="M62">
        <v>0</v>
      </c>
      <c r="N62">
        <v>0</v>
      </c>
      <c r="O62">
        <v>321574.62</v>
      </c>
      <c r="P62" t="s">
        <v>31</v>
      </c>
      <c r="Q62" t="s">
        <v>32</v>
      </c>
    </row>
    <row r="63" spans="1:17" x14ac:dyDescent="0.25">
      <c r="A63" t="s">
        <v>176</v>
      </c>
      <c r="B63" s="1">
        <v>45969</v>
      </c>
      <c r="C63" t="s">
        <v>60</v>
      </c>
      <c r="D63" t="s">
        <v>123</v>
      </c>
      <c r="E63" t="s">
        <v>35</v>
      </c>
      <c r="F63" t="s">
        <v>105</v>
      </c>
      <c r="G63" t="s">
        <v>85</v>
      </c>
      <c r="H63" t="s">
        <v>94</v>
      </c>
      <c r="I63" t="s">
        <v>177</v>
      </c>
      <c r="J63">
        <v>47</v>
      </c>
      <c r="K63">
        <v>30029.82</v>
      </c>
      <c r="L63">
        <v>1411401.54</v>
      </c>
      <c r="M63">
        <v>0</v>
      </c>
      <c r="N63">
        <v>0</v>
      </c>
      <c r="O63">
        <v>1411401.54</v>
      </c>
      <c r="P63" t="s">
        <v>31</v>
      </c>
      <c r="Q63" t="s">
        <v>32</v>
      </c>
    </row>
    <row r="64" spans="1:17" x14ac:dyDescent="0.25">
      <c r="A64" t="s">
        <v>178</v>
      </c>
      <c r="B64" s="1">
        <v>45962</v>
      </c>
      <c r="C64" t="s">
        <v>60</v>
      </c>
      <c r="D64" t="s">
        <v>123</v>
      </c>
      <c r="E64" t="s">
        <v>49</v>
      </c>
      <c r="F64" t="s">
        <v>42</v>
      </c>
      <c r="G64" t="s">
        <v>43</v>
      </c>
      <c r="H64" t="s">
        <v>44</v>
      </c>
      <c r="I64" t="s">
        <v>152</v>
      </c>
      <c r="J64">
        <v>20</v>
      </c>
      <c r="K64">
        <v>12158.26</v>
      </c>
      <c r="L64">
        <v>243165.2</v>
      </c>
      <c r="M64">
        <v>46362.99</v>
      </c>
      <c r="N64">
        <v>0</v>
      </c>
      <c r="O64">
        <v>196802.21</v>
      </c>
      <c r="P64" t="s">
        <v>32</v>
      </c>
      <c r="Q64" t="s">
        <v>32</v>
      </c>
    </row>
    <row r="65" spans="1:17" x14ac:dyDescent="0.25">
      <c r="A65" t="s">
        <v>179</v>
      </c>
      <c r="B65" s="1">
        <v>45993</v>
      </c>
      <c r="C65" t="s">
        <v>60</v>
      </c>
      <c r="D65" t="s">
        <v>65</v>
      </c>
      <c r="E65" t="s">
        <v>49</v>
      </c>
      <c r="F65" t="s">
        <v>36</v>
      </c>
      <c r="G65" t="s">
        <v>37</v>
      </c>
      <c r="H65" t="s">
        <v>44</v>
      </c>
      <c r="I65" t="s">
        <v>135</v>
      </c>
      <c r="J65">
        <v>33</v>
      </c>
      <c r="K65">
        <v>39778.589999999997</v>
      </c>
      <c r="L65">
        <v>1312693.47</v>
      </c>
      <c r="M65">
        <v>0</v>
      </c>
      <c r="N65">
        <v>0</v>
      </c>
      <c r="O65">
        <v>1312693.47</v>
      </c>
      <c r="P65" t="s">
        <v>73</v>
      </c>
      <c r="Q65" t="s">
        <v>26</v>
      </c>
    </row>
    <row r="66" spans="1:17" x14ac:dyDescent="0.25">
      <c r="A66" t="s">
        <v>180</v>
      </c>
      <c r="B66" s="1">
        <v>45955</v>
      </c>
      <c r="C66" t="s">
        <v>54</v>
      </c>
      <c r="D66" t="s">
        <v>70</v>
      </c>
      <c r="E66" t="s">
        <v>41</v>
      </c>
      <c r="F66" t="s">
        <v>71</v>
      </c>
      <c r="G66" t="s">
        <v>43</v>
      </c>
      <c r="H66" t="s">
        <v>38</v>
      </c>
      <c r="I66" t="s">
        <v>82</v>
      </c>
      <c r="J66">
        <v>7</v>
      </c>
      <c r="K66">
        <v>50147.55</v>
      </c>
      <c r="L66">
        <v>351032.85</v>
      </c>
      <c r="M66">
        <v>46191.67</v>
      </c>
      <c r="N66">
        <v>0</v>
      </c>
      <c r="O66">
        <v>304841.18</v>
      </c>
      <c r="P66" t="s">
        <v>25</v>
      </c>
      <c r="Q66" t="s">
        <v>26</v>
      </c>
    </row>
    <row r="67" spans="1:17" x14ac:dyDescent="0.25">
      <c r="A67" t="s">
        <v>181</v>
      </c>
      <c r="B67" s="1">
        <v>45972</v>
      </c>
      <c r="C67" t="s">
        <v>79</v>
      </c>
      <c r="D67" t="s">
        <v>91</v>
      </c>
      <c r="E67" t="s">
        <v>41</v>
      </c>
      <c r="F67" t="s">
        <v>36</v>
      </c>
      <c r="G67" t="s">
        <v>43</v>
      </c>
      <c r="H67" t="s">
        <v>23</v>
      </c>
      <c r="I67" t="s">
        <v>30</v>
      </c>
      <c r="J67">
        <v>4</v>
      </c>
      <c r="K67">
        <v>42002.21</v>
      </c>
      <c r="L67">
        <v>168008.84</v>
      </c>
      <c r="M67">
        <v>15451.31</v>
      </c>
      <c r="N67">
        <v>0</v>
      </c>
      <c r="O67">
        <v>152557.53</v>
      </c>
      <c r="P67" t="s">
        <v>73</v>
      </c>
      <c r="Q67" t="s">
        <v>26</v>
      </c>
    </row>
    <row r="68" spans="1:17" x14ac:dyDescent="0.25">
      <c r="A68" t="s">
        <v>182</v>
      </c>
      <c r="B68" s="1">
        <v>46033</v>
      </c>
      <c r="C68" t="s">
        <v>79</v>
      </c>
      <c r="D68" t="s">
        <v>101</v>
      </c>
      <c r="E68" t="s">
        <v>20</v>
      </c>
      <c r="F68" t="s">
        <v>21</v>
      </c>
      <c r="G68" t="s">
        <v>98</v>
      </c>
      <c r="H68" t="s">
        <v>38</v>
      </c>
      <c r="I68" t="s">
        <v>108</v>
      </c>
      <c r="J68">
        <v>16</v>
      </c>
      <c r="K68">
        <v>34017.96</v>
      </c>
      <c r="L68">
        <v>544287.36</v>
      </c>
      <c r="M68">
        <v>0</v>
      </c>
      <c r="N68">
        <v>0</v>
      </c>
      <c r="O68">
        <v>544287.36</v>
      </c>
      <c r="P68" t="s">
        <v>25</v>
      </c>
      <c r="Q68" t="s">
        <v>26</v>
      </c>
    </row>
    <row r="69" spans="1:17" x14ac:dyDescent="0.25">
      <c r="A69" t="s">
        <v>183</v>
      </c>
      <c r="B69" s="1">
        <v>45981</v>
      </c>
      <c r="C69" t="s">
        <v>18</v>
      </c>
      <c r="D69" t="s">
        <v>19</v>
      </c>
      <c r="E69" t="s">
        <v>20</v>
      </c>
      <c r="F69" t="s">
        <v>50</v>
      </c>
      <c r="G69" t="s">
        <v>66</v>
      </c>
      <c r="H69" t="s">
        <v>57</v>
      </c>
      <c r="I69" t="s">
        <v>92</v>
      </c>
      <c r="J69">
        <v>17</v>
      </c>
      <c r="K69">
        <v>40447.050000000003</v>
      </c>
      <c r="L69">
        <v>687599.85</v>
      </c>
      <c r="M69">
        <v>57610.67</v>
      </c>
      <c r="N69">
        <v>0</v>
      </c>
      <c r="O69">
        <v>629989.18000000005</v>
      </c>
      <c r="P69" t="s">
        <v>32</v>
      </c>
      <c r="Q69" t="s">
        <v>32</v>
      </c>
    </row>
    <row r="70" spans="1:17" x14ac:dyDescent="0.25">
      <c r="A70" t="s">
        <v>184</v>
      </c>
      <c r="B70" s="1">
        <v>45966</v>
      </c>
      <c r="C70" t="s">
        <v>54</v>
      </c>
      <c r="D70" t="s">
        <v>70</v>
      </c>
      <c r="E70" t="s">
        <v>35</v>
      </c>
      <c r="F70" t="s">
        <v>50</v>
      </c>
      <c r="G70" t="s">
        <v>89</v>
      </c>
      <c r="H70" t="s">
        <v>38</v>
      </c>
      <c r="I70" t="s">
        <v>86</v>
      </c>
      <c r="J70">
        <v>50</v>
      </c>
      <c r="K70">
        <v>11929.84</v>
      </c>
      <c r="L70">
        <v>596492</v>
      </c>
      <c r="M70">
        <v>0</v>
      </c>
      <c r="N70">
        <v>0</v>
      </c>
      <c r="O70">
        <v>596492</v>
      </c>
      <c r="P70" t="s">
        <v>73</v>
      </c>
      <c r="Q70" t="s">
        <v>32</v>
      </c>
    </row>
    <row r="71" spans="1:17" x14ac:dyDescent="0.25">
      <c r="A71" t="s">
        <v>185</v>
      </c>
      <c r="B71" s="1">
        <v>46020</v>
      </c>
      <c r="C71" t="s">
        <v>47</v>
      </c>
      <c r="D71" t="s">
        <v>48</v>
      </c>
      <c r="E71" t="s">
        <v>49</v>
      </c>
      <c r="F71" t="s">
        <v>71</v>
      </c>
      <c r="G71" t="s">
        <v>102</v>
      </c>
      <c r="H71" t="s">
        <v>94</v>
      </c>
      <c r="I71" t="s">
        <v>144</v>
      </c>
      <c r="J71">
        <v>2</v>
      </c>
      <c r="K71">
        <v>41084.79</v>
      </c>
      <c r="L71">
        <v>82169.58</v>
      </c>
      <c r="M71">
        <v>14870.59</v>
      </c>
      <c r="N71">
        <v>0</v>
      </c>
      <c r="O71">
        <v>67298.990000000005</v>
      </c>
      <c r="P71" t="s">
        <v>25</v>
      </c>
      <c r="Q71" t="s">
        <v>26</v>
      </c>
    </row>
    <row r="72" spans="1:17" x14ac:dyDescent="0.25">
      <c r="A72" t="s">
        <v>186</v>
      </c>
      <c r="B72" s="1">
        <v>46009</v>
      </c>
      <c r="C72" t="s">
        <v>79</v>
      </c>
      <c r="D72" t="s">
        <v>80</v>
      </c>
      <c r="E72" t="s">
        <v>35</v>
      </c>
      <c r="F72" t="s">
        <v>105</v>
      </c>
      <c r="G72" t="s">
        <v>81</v>
      </c>
      <c r="H72" t="s">
        <v>67</v>
      </c>
      <c r="I72" t="s">
        <v>170</v>
      </c>
      <c r="J72">
        <v>40</v>
      </c>
      <c r="K72">
        <v>30894.53</v>
      </c>
      <c r="L72">
        <v>1235781.2</v>
      </c>
      <c r="M72">
        <v>212665.8</v>
      </c>
      <c r="N72">
        <v>193610.62</v>
      </c>
      <c r="O72">
        <v>829504.78</v>
      </c>
      <c r="P72" t="s">
        <v>32</v>
      </c>
      <c r="Q72" t="s">
        <v>32</v>
      </c>
    </row>
    <row r="73" spans="1:17" x14ac:dyDescent="0.25">
      <c r="A73" t="s">
        <v>187</v>
      </c>
      <c r="B73" s="1">
        <v>45958</v>
      </c>
      <c r="C73" t="s">
        <v>47</v>
      </c>
      <c r="D73" t="s">
        <v>114</v>
      </c>
      <c r="E73" t="s">
        <v>41</v>
      </c>
      <c r="F73" t="s">
        <v>84</v>
      </c>
      <c r="G73" t="s">
        <v>140</v>
      </c>
      <c r="H73" t="s">
        <v>94</v>
      </c>
      <c r="I73" t="s">
        <v>177</v>
      </c>
      <c r="J73">
        <v>46</v>
      </c>
      <c r="K73">
        <v>35658.78</v>
      </c>
      <c r="L73">
        <v>1640303.88</v>
      </c>
      <c r="M73">
        <v>0</v>
      </c>
      <c r="N73">
        <v>0</v>
      </c>
      <c r="O73">
        <v>1640303.88</v>
      </c>
      <c r="P73" t="s">
        <v>31</v>
      </c>
      <c r="Q73" t="s">
        <v>32</v>
      </c>
    </row>
    <row r="74" spans="1:17" x14ac:dyDescent="0.25">
      <c r="A74" t="s">
        <v>188</v>
      </c>
      <c r="B74" s="1">
        <v>46010</v>
      </c>
      <c r="C74" t="s">
        <v>54</v>
      </c>
      <c r="D74" t="s">
        <v>97</v>
      </c>
      <c r="E74" t="s">
        <v>35</v>
      </c>
      <c r="F74" t="s">
        <v>42</v>
      </c>
      <c r="G74" t="s">
        <v>81</v>
      </c>
      <c r="H74" t="s">
        <v>94</v>
      </c>
      <c r="I74" t="s">
        <v>163</v>
      </c>
      <c r="J74">
        <v>5</v>
      </c>
      <c r="K74">
        <v>33409.980000000003</v>
      </c>
      <c r="L74">
        <v>167049.9</v>
      </c>
      <c r="M74">
        <v>0</v>
      </c>
      <c r="N74">
        <v>0</v>
      </c>
      <c r="O74">
        <v>167049.9</v>
      </c>
      <c r="P74" t="s">
        <v>31</v>
      </c>
      <c r="Q74" t="s">
        <v>32</v>
      </c>
    </row>
    <row r="75" spans="1:17" x14ac:dyDescent="0.25">
      <c r="A75" t="s">
        <v>189</v>
      </c>
      <c r="B75" s="1">
        <v>46011</v>
      </c>
      <c r="C75" t="s">
        <v>60</v>
      </c>
      <c r="D75" t="s">
        <v>123</v>
      </c>
      <c r="E75" t="s">
        <v>41</v>
      </c>
      <c r="F75" t="s">
        <v>50</v>
      </c>
      <c r="G75" t="s">
        <v>85</v>
      </c>
      <c r="H75" t="s">
        <v>44</v>
      </c>
      <c r="I75" t="s">
        <v>45</v>
      </c>
      <c r="J75">
        <v>10</v>
      </c>
      <c r="K75">
        <v>33466.79</v>
      </c>
      <c r="L75">
        <v>334667.90000000002</v>
      </c>
      <c r="M75">
        <v>63445.85</v>
      </c>
      <c r="N75">
        <v>0</v>
      </c>
      <c r="O75">
        <v>271222.05</v>
      </c>
      <c r="P75" t="s">
        <v>25</v>
      </c>
      <c r="Q75" t="s">
        <v>26</v>
      </c>
    </row>
    <row r="76" spans="1:17" x14ac:dyDescent="0.25">
      <c r="A76" t="s">
        <v>190</v>
      </c>
      <c r="B76" s="1">
        <v>46006</v>
      </c>
      <c r="C76" t="s">
        <v>60</v>
      </c>
      <c r="D76" t="s">
        <v>65</v>
      </c>
      <c r="E76" t="s">
        <v>20</v>
      </c>
      <c r="F76" t="s">
        <v>84</v>
      </c>
      <c r="G76" t="s">
        <v>140</v>
      </c>
      <c r="H76" t="s">
        <v>94</v>
      </c>
      <c r="I76" t="s">
        <v>163</v>
      </c>
      <c r="J76">
        <v>28</v>
      </c>
      <c r="K76">
        <v>47796.29</v>
      </c>
      <c r="L76">
        <v>1338296.1200000001</v>
      </c>
      <c r="M76">
        <v>0</v>
      </c>
      <c r="N76">
        <v>0</v>
      </c>
      <c r="O76">
        <v>1338296.1200000001</v>
      </c>
      <c r="P76" t="s">
        <v>32</v>
      </c>
      <c r="Q76" t="s">
        <v>26</v>
      </c>
    </row>
    <row r="77" spans="1:17" x14ac:dyDescent="0.25">
      <c r="A77" t="s">
        <v>191</v>
      </c>
      <c r="B77" s="1">
        <v>45983</v>
      </c>
      <c r="C77" t="s">
        <v>54</v>
      </c>
      <c r="D77" t="s">
        <v>55</v>
      </c>
      <c r="E77" t="s">
        <v>49</v>
      </c>
      <c r="F77" t="s">
        <v>137</v>
      </c>
      <c r="G77" t="s">
        <v>29</v>
      </c>
      <c r="H77" t="s">
        <v>38</v>
      </c>
      <c r="I77" t="s">
        <v>82</v>
      </c>
      <c r="J77">
        <v>42</v>
      </c>
      <c r="K77">
        <v>7360.23</v>
      </c>
      <c r="L77">
        <v>309129.65999999997</v>
      </c>
      <c r="M77">
        <v>21797.74</v>
      </c>
      <c r="N77">
        <v>0</v>
      </c>
      <c r="O77">
        <v>287331.92</v>
      </c>
      <c r="P77" t="s">
        <v>31</v>
      </c>
      <c r="Q77" t="s">
        <v>32</v>
      </c>
    </row>
    <row r="78" spans="1:17" x14ac:dyDescent="0.25">
      <c r="A78" t="s">
        <v>192</v>
      </c>
      <c r="B78" s="1">
        <v>45997</v>
      </c>
      <c r="C78" t="s">
        <v>60</v>
      </c>
      <c r="D78" t="s">
        <v>61</v>
      </c>
      <c r="E78" t="s">
        <v>49</v>
      </c>
      <c r="F78" t="s">
        <v>42</v>
      </c>
      <c r="G78" t="s">
        <v>51</v>
      </c>
      <c r="H78" t="s">
        <v>94</v>
      </c>
      <c r="I78" t="s">
        <v>193</v>
      </c>
      <c r="J78">
        <v>6</v>
      </c>
      <c r="K78">
        <v>49167.71</v>
      </c>
      <c r="L78">
        <v>295006.26</v>
      </c>
      <c r="M78">
        <v>4363.34</v>
      </c>
      <c r="N78">
        <v>0</v>
      </c>
      <c r="O78">
        <v>290642.92</v>
      </c>
      <c r="P78" t="s">
        <v>31</v>
      </c>
      <c r="Q78" t="s">
        <v>32</v>
      </c>
    </row>
    <row r="79" spans="1:17" x14ac:dyDescent="0.25">
      <c r="A79" t="s">
        <v>194</v>
      </c>
      <c r="B79" s="1">
        <v>45981</v>
      </c>
      <c r="C79" t="s">
        <v>47</v>
      </c>
      <c r="D79" t="s">
        <v>88</v>
      </c>
      <c r="E79" t="s">
        <v>49</v>
      </c>
      <c r="F79" t="s">
        <v>84</v>
      </c>
      <c r="G79" t="s">
        <v>22</v>
      </c>
      <c r="H79" t="s">
        <v>38</v>
      </c>
      <c r="I79" t="s">
        <v>108</v>
      </c>
      <c r="J79">
        <v>37</v>
      </c>
      <c r="K79">
        <v>8079.19</v>
      </c>
      <c r="L79">
        <v>298930.03000000003</v>
      </c>
      <c r="M79">
        <v>50212.4</v>
      </c>
      <c r="N79">
        <v>0</v>
      </c>
      <c r="O79">
        <v>248717.63</v>
      </c>
      <c r="P79" t="s">
        <v>25</v>
      </c>
      <c r="Q79" t="s">
        <v>26</v>
      </c>
    </row>
    <row r="80" spans="1:17" x14ac:dyDescent="0.25">
      <c r="A80" t="s">
        <v>195</v>
      </c>
      <c r="B80" s="1">
        <v>45964</v>
      </c>
      <c r="C80" t="s">
        <v>79</v>
      </c>
      <c r="D80" t="s">
        <v>80</v>
      </c>
      <c r="E80" t="s">
        <v>49</v>
      </c>
      <c r="F80" t="s">
        <v>137</v>
      </c>
      <c r="G80" t="s">
        <v>63</v>
      </c>
      <c r="H80" t="s">
        <v>44</v>
      </c>
      <c r="I80" t="s">
        <v>45</v>
      </c>
      <c r="J80">
        <v>37</v>
      </c>
      <c r="K80">
        <v>11033.69</v>
      </c>
      <c r="L80">
        <v>408246.53</v>
      </c>
      <c r="M80">
        <v>0</v>
      </c>
      <c r="N80">
        <v>0</v>
      </c>
      <c r="O80">
        <v>408246.53</v>
      </c>
      <c r="P80" t="s">
        <v>25</v>
      </c>
      <c r="Q80" t="s">
        <v>26</v>
      </c>
    </row>
    <row r="81" spans="1:17" x14ac:dyDescent="0.25">
      <c r="A81" t="s">
        <v>196</v>
      </c>
      <c r="B81" s="1">
        <v>46025</v>
      </c>
      <c r="C81" t="s">
        <v>18</v>
      </c>
      <c r="D81" t="s">
        <v>34</v>
      </c>
      <c r="E81" t="s">
        <v>35</v>
      </c>
      <c r="F81" t="s">
        <v>42</v>
      </c>
      <c r="G81" t="s">
        <v>63</v>
      </c>
      <c r="H81" t="s">
        <v>38</v>
      </c>
      <c r="I81" t="s">
        <v>108</v>
      </c>
      <c r="J81">
        <v>5</v>
      </c>
      <c r="K81">
        <v>40329.870000000003</v>
      </c>
      <c r="L81">
        <v>201649.35</v>
      </c>
      <c r="M81">
        <v>0</v>
      </c>
      <c r="N81">
        <v>0</v>
      </c>
      <c r="O81">
        <v>201649.35</v>
      </c>
      <c r="P81" t="s">
        <v>32</v>
      </c>
      <c r="Q81" t="s">
        <v>32</v>
      </c>
    </row>
    <row r="82" spans="1:17" x14ac:dyDescent="0.25">
      <c r="A82" t="s">
        <v>197</v>
      </c>
      <c r="B82" s="1">
        <v>46006</v>
      </c>
      <c r="C82" t="s">
        <v>54</v>
      </c>
      <c r="D82" t="s">
        <v>97</v>
      </c>
      <c r="E82" t="s">
        <v>35</v>
      </c>
      <c r="F82" t="s">
        <v>105</v>
      </c>
      <c r="G82" t="s">
        <v>63</v>
      </c>
      <c r="H82" t="s">
        <v>67</v>
      </c>
      <c r="I82" t="s">
        <v>154</v>
      </c>
      <c r="J82">
        <v>44</v>
      </c>
      <c r="K82">
        <v>37312.67</v>
      </c>
      <c r="L82">
        <v>1641757.48</v>
      </c>
      <c r="M82">
        <v>0</v>
      </c>
      <c r="N82">
        <v>0</v>
      </c>
      <c r="O82">
        <v>1641757.48</v>
      </c>
      <c r="P82" t="s">
        <v>73</v>
      </c>
      <c r="Q82" t="s">
        <v>26</v>
      </c>
    </row>
    <row r="83" spans="1:17" x14ac:dyDescent="0.25">
      <c r="A83" t="s">
        <v>198</v>
      </c>
      <c r="B83" s="1">
        <v>45984</v>
      </c>
      <c r="C83" t="s">
        <v>60</v>
      </c>
      <c r="D83" t="s">
        <v>61</v>
      </c>
      <c r="E83" t="s">
        <v>20</v>
      </c>
      <c r="F83" t="s">
        <v>21</v>
      </c>
      <c r="G83" t="s">
        <v>22</v>
      </c>
      <c r="H83" t="s">
        <v>94</v>
      </c>
      <c r="I83" t="s">
        <v>163</v>
      </c>
      <c r="J83">
        <v>32</v>
      </c>
      <c r="K83">
        <v>49181.56</v>
      </c>
      <c r="L83">
        <v>1573809.92</v>
      </c>
      <c r="M83">
        <v>0</v>
      </c>
      <c r="N83">
        <v>0</v>
      </c>
      <c r="O83">
        <v>1573809.92</v>
      </c>
      <c r="P83" t="s">
        <v>25</v>
      </c>
      <c r="Q83" t="s">
        <v>26</v>
      </c>
    </row>
    <row r="84" spans="1:17" x14ac:dyDescent="0.25">
      <c r="A84" t="s">
        <v>199</v>
      </c>
      <c r="B84" s="1">
        <v>46044</v>
      </c>
      <c r="C84" t="s">
        <v>60</v>
      </c>
      <c r="D84" t="s">
        <v>151</v>
      </c>
      <c r="E84" t="s">
        <v>49</v>
      </c>
      <c r="F84" t="s">
        <v>50</v>
      </c>
      <c r="G84" t="s">
        <v>98</v>
      </c>
      <c r="H84" t="s">
        <v>94</v>
      </c>
      <c r="I84" t="s">
        <v>163</v>
      </c>
      <c r="J84">
        <v>41</v>
      </c>
      <c r="K84">
        <v>43838.239999999998</v>
      </c>
      <c r="L84">
        <v>1797367.84</v>
      </c>
      <c r="M84">
        <v>0</v>
      </c>
      <c r="N84">
        <v>0</v>
      </c>
      <c r="O84">
        <v>1797367.84</v>
      </c>
      <c r="P84" t="s">
        <v>25</v>
      </c>
      <c r="Q84" t="s">
        <v>26</v>
      </c>
    </row>
    <row r="85" spans="1:17" x14ac:dyDescent="0.25">
      <c r="A85" t="s">
        <v>200</v>
      </c>
      <c r="B85" s="1">
        <v>45995</v>
      </c>
      <c r="C85" t="s">
        <v>79</v>
      </c>
      <c r="D85" t="s">
        <v>107</v>
      </c>
      <c r="E85" t="s">
        <v>20</v>
      </c>
      <c r="F85" t="s">
        <v>105</v>
      </c>
      <c r="G85" t="s">
        <v>63</v>
      </c>
      <c r="H85" t="s">
        <v>67</v>
      </c>
      <c r="I85" t="s">
        <v>201</v>
      </c>
      <c r="J85">
        <v>15</v>
      </c>
      <c r="K85">
        <v>23905.82</v>
      </c>
      <c r="L85">
        <v>358587.3</v>
      </c>
      <c r="M85">
        <v>71671.34</v>
      </c>
      <c r="N85">
        <v>8983.69</v>
      </c>
      <c r="O85">
        <v>277932.27</v>
      </c>
      <c r="P85" t="s">
        <v>25</v>
      </c>
      <c r="Q85" t="s">
        <v>26</v>
      </c>
    </row>
    <row r="86" spans="1:17" x14ac:dyDescent="0.25">
      <c r="A86" t="s">
        <v>202</v>
      </c>
      <c r="B86" s="1">
        <v>45972</v>
      </c>
      <c r="C86" t="s">
        <v>47</v>
      </c>
      <c r="D86" t="s">
        <v>88</v>
      </c>
      <c r="E86" t="s">
        <v>49</v>
      </c>
      <c r="F86" t="s">
        <v>62</v>
      </c>
      <c r="G86" t="s">
        <v>63</v>
      </c>
      <c r="H86" t="s">
        <v>57</v>
      </c>
      <c r="I86" t="s">
        <v>118</v>
      </c>
      <c r="J86">
        <v>23</v>
      </c>
      <c r="K86">
        <v>4394.59</v>
      </c>
      <c r="L86">
        <v>101075.57</v>
      </c>
      <c r="M86">
        <v>15095.74</v>
      </c>
      <c r="N86">
        <v>0</v>
      </c>
      <c r="O86">
        <v>85979.83</v>
      </c>
      <c r="P86" t="s">
        <v>73</v>
      </c>
      <c r="Q86" t="s">
        <v>32</v>
      </c>
    </row>
    <row r="87" spans="1:17" x14ac:dyDescent="0.25">
      <c r="A87" t="s">
        <v>203</v>
      </c>
      <c r="B87" s="1">
        <v>45984</v>
      </c>
      <c r="C87" t="s">
        <v>60</v>
      </c>
      <c r="D87" t="s">
        <v>65</v>
      </c>
      <c r="E87" t="s">
        <v>20</v>
      </c>
      <c r="F87" t="s">
        <v>71</v>
      </c>
      <c r="G87" t="s">
        <v>138</v>
      </c>
      <c r="H87" t="s">
        <v>38</v>
      </c>
      <c r="I87" t="s">
        <v>108</v>
      </c>
      <c r="J87">
        <v>18</v>
      </c>
      <c r="K87">
        <v>24556.43</v>
      </c>
      <c r="L87">
        <v>442015.74</v>
      </c>
      <c r="M87">
        <v>0</v>
      </c>
      <c r="N87">
        <v>0</v>
      </c>
      <c r="O87">
        <v>442015.74</v>
      </c>
      <c r="P87" t="s">
        <v>73</v>
      </c>
      <c r="Q87" t="s">
        <v>32</v>
      </c>
    </row>
    <row r="88" spans="1:17" x14ac:dyDescent="0.25">
      <c r="A88" t="s">
        <v>204</v>
      </c>
      <c r="B88" s="1">
        <v>46035</v>
      </c>
      <c r="C88" t="s">
        <v>18</v>
      </c>
      <c r="D88" t="s">
        <v>34</v>
      </c>
      <c r="E88" t="s">
        <v>49</v>
      </c>
      <c r="F88" t="s">
        <v>50</v>
      </c>
      <c r="G88" t="s">
        <v>81</v>
      </c>
      <c r="H88" t="s">
        <v>38</v>
      </c>
      <c r="I88" t="s">
        <v>82</v>
      </c>
      <c r="J88">
        <v>27</v>
      </c>
      <c r="K88">
        <v>4901.17</v>
      </c>
      <c r="L88">
        <v>132331.59</v>
      </c>
      <c r="M88">
        <v>0</v>
      </c>
      <c r="N88">
        <v>0</v>
      </c>
      <c r="O88">
        <v>132331.59</v>
      </c>
      <c r="P88" t="s">
        <v>32</v>
      </c>
      <c r="Q88" t="s">
        <v>32</v>
      </c>
    </row>
    <row r="89" spans="1:17" x14ac:dyDescent="0.25">
      <c r="A89" t="s">
        <v>205</v>
      </c>
      <c r="B89" s="1">
        <v>45974</v>
      </c>
      <c r="C89" t="s">
        <v>18</v>
      </c>
      <c r="D89" t="s">
        <v>34</v>
      </c>
      <c r="E89" t="s">
        <v>35</v>
      </c>
      <c r="F89" t="s">
        <v>84</v>
      </c>
      <c r="G89" t="s">
        <v>140</v>
      </c>
      <c r="H89" t="s">
        <v>38</v>
      </c>
      <c r="I89" t="s">
        <v>108</v>
      </c>
      <c r="J89">
        <v>13</v>
      </c>
      <c r="K89">
        <v>7685.82</v>
      </c>
      <c r="L89">
        <v>99915.66</v>
      </c>
      <c r="M89">
        <v>0</v>
      </c>
      <c r="N89">
        <v>0</v>
      </c>
      <c r="O89">
        <v>99915.66</v>
      </c>
      <c r="P89" t="s">
        <v>25</v>
      </c>
      <c r="Q89" t="s">
        <v>26</v>
      </c>
    </row>
    <row r="90" spans="1:17" x14ac:dyDescent="0.25">
      <c r="A90" t="s">
        <v>206</v>
      </c>
      <c r="B90" s="1">
        <v>45993</v>
      </c>
      <c r="C90" t="s">
        <v>79</v>
      </c>
      <c r="D90" t="s">
        <v>101</v>
      </c>
      <c r="E90" t="s">
        <v>41</v>
      </c>
      <c r="F90" t="s">
        <v>42</v>
      </c>
      <c r="G90" t="s">
        <v>43</v>
      </c>
      <c r="H90" t="s">
        <v>44</v>
      </c>
      <c r="I90" t="s">
        <v>141</v>
      </c>
      <c r="J90">
        <v>17</v>
      </c>
      <c r="K90">
        <v>37026.11</v>
      </c>
      <c r="L90">
        <v>629443.87</v>
      </c>
      <c r="M90">
        <v>108715.39</v>
      </c>
      <c r="N90">
        <v>0</v>
      </c>
      <c r="O90">
        <v>520728.48</v>
      </c>
      <c r="P90" t="s">
        <v>25</v>
      </c>
      <c r="Q90" t="s">
        <v>32</v>
      </c>
    </row>
    <row r="91" spans="1:17" x14ac:dyDescent="0.25">
      <c r="A91" t="s">
        <v>207</v>
      </c>
      <c r="B91" s="1">
        <v>45972</v>
      </c>
      <c r="C91" t="s">
        <v>79</v>
      </c>
      <c r="D91" t="s">
        <v>101</v>
      </c>
      <c r="E91" t="s">
        <v>35</v>
      </c>
      <c r="F91" t="s">
        <v>84</v>
      </c>
      <c r="G91" t="s">
        <v>37</v>
      </c>
      <c r="H91" t="s">
        <v>94</v>
      </c>
      <c r="I91" t="s">
        <v>177</v>
      </c>
      <c r="J91">
        <v>9</v>
      </c>
      <c r="K91">
        <v>11785.14</v>
      </c>
      <c r="L91">
        <v>106066.26</v>
      </c>
      <c r="M91">
        <v>1593.44</v>
      </c>
      <c r="N91">
        <v>0</v>
      </c>
      <c r="O91">
        <v>104472.82</v>
      </c>
      <c r="P91" t="s">
        <v>32</v>
      </c>
      <c r="Q91" t="s">
        <v>32</v>
      </c>
    </row>
    <row r="92" spans="1:17" x14ac:dyDescent="0.25">
      <c r="A92" t="s">
        <v>208</v>
      </c>
      <c r="B92" s="1">
        <v>45979</v>
      </c>
      <c r="C92" t="s">
        <v>54</v>
      </c>
      <c r="D92" t="s">
        <v>70</v>
      </c>
      <c r="E92" t="s">
        <v>20</v>
      </c>
      <c r="F92" t="s">
        <v>112</v>
      </c>
      <c r="G92" t="s">
        <v>63</v>
      </c>
      <c r="H92" t="s">
        <v>23</v>
      </c>
      <c r="I92" t="s">
        <v>131</v>
      </c>
      <c r="J92">
        <v>15</v>
      </c>
      <c r="K92">
        <v>26131.25</v>
      </c>
      <c r="L92">
        <v>391968.75</v>
      </c>
      <c r="M92">
        <v>63834.7</v>
      </c>
      <c r="N92">
        <v>0</v>
      </c>
      <c r="O92">
        <v>328134.05</v>
      </c>
      <c r="P92" t="s">
        <v>73</v>
      </c>
      <c r="Q92" t="s">
        <v>26</v>
      </c>
    </row>
    <row r="93" spans="1:17" x14ac:dyDescent="0.25">
      <c r="A93" t="s">
        <v>209</v>
      </c>
      <c r="B93" s="1">
        <v>46044</v>
      </c>
      <c r="C93" t="s">
        <v>47</v>
      </c>
      <c r="D93" t="s">
        <v>114</v>
      </c>
      <c r="E93" t="s">
        <v>41</v>
      </c>
      <c r="F93" t="s">
        <v>50</v>
      </c>
      <c r="G93" t="s">
        <v>51</v>
      </c>
      <c r="H93" t="s">
        <v>23</v>
      </c>
      <c r="I93" t="s">
        <v>24</v>
      </c>
      <c r="J93">
        <v>1</v>
      </c>
      <c r="K93">
        <v>45777.27</v>
      </c>
      <c r="L93">
        <v>45777.27</v>
      </c>
      <c r="M93">
        <v>8668.48</v>
      </c>
      <c r="N93">
        <v>0</v>
      </c>
      <c r="O93">
        <v>37108.79</v>
      </c>
      <c r="P93" t="s">
        <v>31</v>
      </c>
      <c r="Q93" t="s">
        <v>32</v>
      </c>
    </row>
    <row r="94" spans="1:17" x14ac:dyDescent="0.25">
      <c r="A94" t="s">
        <v>210</v>
      </c>
      <c r="B94" s="1">
        <v>46018</v>
      </c>
      <c r="C94" t="s">
        <v>79</v>
      </c>
      <c r="D94" t="s">
        <v>91</v>
      </c>
      <c r="E94" t="s">
        <v>35</v>
      </c>
      <c r="F94" t="s">
        <v>21</v>
      </c>
      <c r="G94" t="s">
        <v>29</v>
      </c>
      <c r="H94" t="s">
        <v>23</v>
      </c>
      <c r="I94" t="s">
        <v>52</v>
      </c>
      <c r="J94">
        <v>46</v>
      </c>
      <c r="K94">
        <v>6919.67</v>
      </c>
      <c r="L94">
        <v>318304.82</v>
      </c>
      <c r="M94">
        <v>1407.19</v>
      </c>
      <c r="N94">
        <v>0</v>
      </c>
      <c r="O94">
        <v>316897.63</v>
      </c>
      <c r="P94" t="s">
        <v>25</v>
      </c>
      <c r="Q94" t="s">
        <v>26</v>
      </c>
    </row>
    <row r="95" spans="1:17" x14ac:dyDescent="0.25">
      <c r="A95" t="s">
        <v>211</v>
      </c>
      <c r="B95" s="1">
        <v>46035</v>
      </c>
      <c r="C95" t="s">
        <v>47</v>
      </c>
      <c r="D95" t="s">
        <v>88</v>
      </c>
      <c r="E95" t="s">
        <v>41</v>
      </c>
      <c r="F95" t="s">
        <v>112</v>
      </c>
      <c r="G95" t="s">
        <v>63</v>
      </c>
      <c r="H95" t="s">
        <v>67</v>
      </c>
      <c r="I95" t="s">
        <v>170</v>
      </c>
      <c r="J95">
        <v>17</v>
      </c>
      <c r="K95">
        <v>33913.31</v>
      </c>
      <c r="L95">
        <v>576526.27</v>
      </c>
      <c r="M95">
        <v>0</v>
      </c>
      <c r="N95">
        <v>0</v>
      </c>
      <c r="O95">
        <v>576526.27</v>
      </c>
      <c r="P95" t="s">
        <v>25</v>
      </c>
      <c r="Q95" t="s">
        <v>26</v>
      </c>
    </row>
    <row r="96" spans="1:17" x14ac:dyDescent="0.25">
      <c r="A96" t="s">
        <v>212</v>
      </c>
      <c r="B96" s="1">
        <v>45995</v>
      </c>
      <c r="C96" t="s">
        <v>79</v>
      </c>
      <c r="D96" t="s">
        <v>91</v>
      </c>
      <c r="E96" t="s">
        <v>20</v>
      </c>
      <c r="F96" t="s">
        <v>84</v>
      </c>
      <c r="G96" t="s">
        <v>102</v>
      </c>
      <c r="H96" t="s">
        <v>38</v>
      </c>
      <c r="I96" t="s">
        <v>108</v>
      </c>
      <c r="J96">
        <v>38</v>
      </c>
      <c r="K96">
        <v>33166.339999999997</v>
      </c>
      <c r="L96">
        <v>1260320.92</v>
      </c>
      <c r="M96">
        <v>1645.88</v>
      </c>
      <c r="N96">
        <v>0</v>
      </c>
      <c r="O96">
        <v>1258675.04</v>
      </c>
      <c r="P96" t="s">
        <v>32</v>
      </c>
      <c r="Q96" t="s">
        <v>32</v>
      </c>
    </row>
    <row r="97" spans="1:17" x14ac:dyDescent="0.25">
      <c r="A97" t="s">
        <v>213</v>
      </c>
      <c r="B97" s="1">
        <v>45992</v>
      </c>
      <c r="C97" t="s">
        <v>79</v>
      </c>
      <c r="D97" t="s">
        <v>107</v>
      </c>
      <c r="E97" t="s">
        <v>20</v>
      </c>
      <c r="F97" t="s">
        <v>105</v>
      </c>
      <c r="G97" t="s">
        <v>63</v>
      </c>
      <c r="H97" t="s">
        <v>23</v>
      </c>
      <c r="I97" t="s">
        <v>30</v>
      </c>
      <c r="J97">
        <v>20</v>
      </c>
      <c r="K97">
        <v>5438.17</v>
      </c>
      <c r="L97">
        <v>108763.4</v>
      </c>
      <c r="M97">
        <v>0</v>
      </c>
      <c r="N97">
        <v>16214.77</v>
      </c>
      <c r="O97">
        <v>92548.63</v>
      </c>
      <c r="P97" t="s">
        <v>32</v>
      </c>
      <c r="Q97" t="s">
        <v>32</v>
      </c>
    </row>
    <row r="98" spans="1:17" x14ac:dyDescent="0.25">
      <c r="A98" t="s">
        <v>214</v>
      </c>
      <c r="B98" s="1">
        <v>46045</v>
      </c>
      <c r="C98" t="s">
        <v>79</v>
      </c>
      <c r="D98" t="s">
        <v>91</v>
      </c>
      <c r="E98" t="s">
        <v>41</v>
      </c>
      <c r="F98" t="s">
        <v>112</v>
      </c>
      <c r="G98" t="s">
        <v>43</v>
      </c>
      <c r="H98" t="s">
        <v>38</v>
      </c>
      <c r="I98" t="s">
        <v>86</v>
      </c>
      <c r="J98">
        <v>20</v>
      </c>
      <c r="K98">
        <v>3729.61</v>
      </c>
      <c r="L98">
        <v>74592.2</v>
      </c>
      <c r="M98">
        <v>0</v>
      </c>
      <c r="N98">
        <v>0</v>
      </c>
      <c r="O98">
        <v>74592.2</v>
      </c>
      <c r="P98" t="s">
        <v>31</v>
      </c>
      <c r="Q98" t="s">
        <v>32</v>
      </c>
    </row>
    <row r="99" spans="1:17" x14ac:dyDescent="0.25">
      <c r="A99" t="s">
        <v>215</v>
      </c>
      <c r="B99" s="1">
        <v>45958</v>
      </c>
      <c r="C99" t="s">
        <v>47</v>
      </c>
      <c r="D99" t="s">
        <v>127</v>
      </c>
      <c r="E99" t="s">
        <v>41</v>
      </c>
      <c r="F99" t="s">
        <v>42</v>
      </c>
      <c r="G99" t="s">
        <v>102</v>
      </c>
      <c r="H99" t="s">
        <v>38</v>
      </c>
      <c r="I99" t="s">
        <v>82</v>
      </c>
      <c r="J99">
        <v>16</v>
      </c>
      <c r="K99">
        <v>2179.09</v>
      </c>
      <c r="L99">
        <v>34865.440000000002</v>
      </c>
      <c r="M99">
        <v>0</v>
      </c>
      <c r="N99">
        <v>0</v>
      </c>
      <c r="O99">
        <v>34865.440000000002</v>
      </c>
      <c r="P99" t="s">
        <v>32</v>
      </c>
      <c r="Q99" t="s">
        <v>26</v>
      </c>
    </row>
    <row r="100" spans="1:17" x14ac:dyDescent="0.25">
      <c r="A100" t="s">
        <v>216</v>
      </c>
      <c r="B100" s="1">
        <v>45991</v>
      </c>
      <c r="C100" t="s">
        <v>18</v>
      </c>
      <c r="D100" t="s">
        <v>28</v>
      </c>
      <c r="E100" t="s">
        <v>41</v>
      </c>
      <c r="F100" t="s">
        <v>112</v>
      </c>
      <c r="G100" t="s">
        <v>29</v>
      </c>
      <c r="H100" t="s">
        <v>67</v>
      </c>
      <c r="I100" t="s">
        <v>68</v>
      </c>
      <c r="J100">
        <v>39</v>
      </c>
      <c r="K100">
        <v>3413.32</v>
      </c>
      <c r="L100">
        <v>133119.48000000001</v>
      </c>
      <c r="M100">
        <v>24716.28</v>
      </c>
      <c r="N100">
        <v>0</v>
      </c>
      <c r="O100">
        <v>108403.2</v>
      </c>
      <c r="P100" t="s">
        <v>73</v>
      </c>
      <c r="Q100" t="s">
        <v>32</v>
      </c>
    </row>
    <row r="101" spans="1:17" x14ac:dyDescent="0.25">
      <c r="A101" t="s">
        <v>217</v>
      </c>
      <c r="B101" s="1">
        <v>46037</v>
      </c>
      <c r="C101" t="s">
        <v>54</v>
      </c>
      <c r="D101" t="s">
        <v>55</v>
      </c>
      <c r="E101" t="s">
        <v>49</v>
      </c>
      <c r="F101" t="s">
        <v>21</v>
      </c>
      <c r="G101" t="s">
        <v>56</v>
      </c>
      <c r="H101" t="s">
        <v>38</v>
      </c>
      <c r="I101" t="s">
        <v>86</v>
      </c>
      <c r="J101">
        <v>17</v>
      </c>
      <c r="K101">
        <v>15636.07</v>
      </c>
      <c r="L101">
        <v>265813.19</v>
      </c>
      <c r="M101">
        <v>0</v>
      </c>
      <c r="N101">
        <v>0</v>
      </c>
      <c r="O101">
        <v>265813.19</v>
      </c>
      <c r="P101" t="s">
        <v>25</v>
      </c>
      <c r="Q101" t="s">
        <v>32</v>
      </c>
    </row>
    <row r="102" spans="1:17" x14ac:dyDescent="0.25">
      <c r="A102" t="s">
        <v>218</v>
      </c>
      <c r="B102" s="1">
        <v>46002</v>
      </c>
      <c r="C102" t="s">
        <v>54</v>
      </c>
      <c r="D102" t="s">
        <v>97</v>
      </c>
      <c r="E102" t="s">
        <v>41</v>
      </c>
      <c r="F102" t="s">
        <v>105</v>
      </c>
      <c r="G102" t="s">
        <v>138</v>
      </c>
      <c r="H102" t="s">
        <v>57</v>
      </c>
      <c r="I102" t="s">
        <v>160</v>
      </c>
      <c r="J102">
        <v>10</v>
      </c>
      <c r="K102">
        <v>42929.59</v>
      </c>
      <c r="L102">
        <v>429295.9</v>
      </c>
      <c r="M102">
        <v>12862.14</v>
      </c>
      <c r="N102">
        <v>0</v>
      </c>
      <c r="O102">
        <v>416433.76</v>
      </c>
      <c r="P102" t="s">
        <v>73</v>
      </c>
      <c r="Q102" t="s">
        <v>32</v>
      </c>
    </row>
    <row r="103" spans="1:17" x14ac:dyDescent="0.25">
      <c r="A103" t="s">
        <v>219</v>
      </c>
      <c r="B103" s="1">
        <v>46027</v>
      </c>
      <c r="C103" t="s">
        <v>60</v>
      </c>
      <c r="D103" t="s">
        <v>61</v>
      </c>
      <c r="E103" t="s">
        <v>49</v>
      </c>
      <c r="F103" t="s">
        <v>62</v>
      </c>
      <c r="G103" t="s">
        <v>37</v>
      </c>
      <c r="H103" t="s">
        <v>23</v>
      </c>
      <c r="I103" t="s">
        <v>99</v>
      </c>
      <c r="J103">
        <v>36</v>
      </c>
      <c r="K103">
        <v>45543.6</v>
      </c>
      <c r="L103">
        <v>1639569.6</v>
      </c>
      <c r="M103">
        <v>10355.030000000001</v>
      </c>
      <c r="N103">
        <v>0</v>
      </c>
      <c r="O103">
        <v>1629214.57</v>
      </c>
      <c r="P103" t="s">
        <v>25</v>
      </c>
      <c r="Q103" t="s">
        <v>26</v>
      </c>
    </row>
    <row r="104" spans="1:17" x14ac:dyDescent="0.25">
      <c r="A104" t="s">
        <v>220</v>
      </c>
      <c r="B104" s="1">
        <v>46019</v>
      </c>
      <c r="C104" t="s">
        <v>54</v>
      </c>
      <c r="D104" t="s">
        <v>97</v>
      </c>
      <c r="E104" t="s">
        <v>35</v>
      </c>
      <c r="F104" t="s">
        <v>50</v>
      </c>
      <c r="G104" t="s">
        <v>85</v>
      </c>
      <c r="H104" t="s">
        <v>57</v>
      </c>
      <c r="I104" t="s">
        <v>160</v>
      </c>
      <c r="J104">
        <v>30</v>
      </c>
      <c r="K104">
        <v>37480.050000000003</v>
      </c>
      <c r="L104">
        <v>1124401.5</v>
      </c>
      <c r="M104">
        <v>128389.35</v>
      </c>
      <c r="N104">
        <v>0</v>
      </c>
      <c r="O104">
        <v>996012.15</v>
      </c>
      <c r="P104" t="s">
        <v>73</v>
      </c>
      <c r="Q104" t="s">
        <v>32</v>
      </c>
    </row>
    <row r="105" spans="1:17" x14ac:dyDescent="0.25">
      <c r="A105" t="s">
        <v>221</v>
      </c>
      <c r="B105" s="1">
        <v>46012</v>
      </c>
      <c r="C105" t="s">
        <v>47</v>
      </c>
      <c r="D105" t="s">
        <v>127</v>
      </c>
      <c r="E105" t="s">
        <v>20</v>
      </c>
      <c r="F105" t="s">
        <v>71</v>
      </c>
      <c r="G105" t="s">
        <v>56</v>
      </c>
      <c r="H105" t="s">
        <v>57</v>
      </c>
      <c r="I105" t="s">
        <v>58</v>
      </c>
      <c r="J105">
        <v>27</v>
      </c>
      <c r="K105">
        <v>23649.66</v>
      </c>
      <c r="L105">
        <v>638540.81999999995</v>
      </c>
      <c r="M105">
        <v>0</v>
      </c>
      <c r="N105">
        <v>22061.59</v>
      </c>
      <c r="O105">
        <v>616479.23</v>
      </c>
      <c r="P105" t="s">
        <v>73</v>
      </c>
      <c r="Q105" t="s">
        <v>32</v>
      </c>
    </row>
    <row r="106" spans="1:17" x14ac:dyDescent="0.25">
      <c r="A106" t="s">
        <v>222</v>
      </c>
      <c r="B106" s="1">
        <v>46004</v>
      </c>
      <c r="C106" t="s">
        <v>47</v>
      </c>
      <c r="D106" t="s">
        <v>127</v>
      </c>
      <c r="E106" t="s">
        <v>35</v>
      </c>
      <c r="F106" t="s">
        <v>84</v>
      </c>
      <c r="G106" t="s">
        <v>98</v>
      </c>
      <c r="H106" t="s">
        <v>94</v>
      </c>
      <c r="I106" t="s">
        <v>95</v>
      </c>
      <c r="J106">
        <v>13</v>
      </c>
      <c r="K106">
        <v>45515.17</v>
      </c>
      <c r="L106">
        <v>591697.21</v>
      </c>
      <c r="M106">
        <v>0</v>
      </c>
      <c r="N106">
        <v>0</v>
      </c>
      <c r="O106">
        <v>591697.21</v>
      </c>
      <c r="P106" t="s">
        <v>31</v>
      </c>
      <c r="Q106" t="s">
        <v>32</v>
      </c>
    </row>
    <row r="107" spans="1:17" x14ac:dyDescent="0.25">
      <c r="A107" t="s">
        <v>223</v>
      </c>
      <c r="B107" s="1">
        <v>45965</v>
      </c>
      <c r="C107" t="s">
        <v>47</v>
      </c>
      <c r="D107" t="s">
        <v>88</v>
      </c>
      <c r="E107" t="s">
        <v>35</v>
      </c>
      <c r="F107" t="s">
        <v>50</v>
      </c>
      <c r="G107" t="s">
        <v>85</v>
      </c>
      <c r="H107" t="s">
        <v>67</v>
      </c>
      <c r="I107" t="s">
        <v>154</v>
      </c>
      <c r="J107">
        <v>32</v>
      </c>
      <c r="K107">
        <v>44799.61</v>
      </c>
      <c r="L107">
        <v>1433587.52</v>
      </c>
      <c r="M107">
        <v>73307.75</v>
      </c>
      <c r="N107">
        <v>0</v>
      </c>
      <c r="O107">
        <v>1360279.77</v>
      </c>
      <c r="P107" t="s">
        <v>73</v>
      </c>
      <c r="Q107" t="s">
        <v>32</v>
      </c>
    </row>
    <row r="108" spans="1:17" x14ac:dyDescent="0.25">
      <c r="A108" t="s">
        <v>224</v>
      </c>
      <c r="B108" s="1">
        <v>45966</v>
      </c>
      <c r="C108" t="s">
        <v>60</v>
      </c>
      <c r="D108" t="s">
        <v>151</v>
      </c>
      <c r="E108" t="s">
        <v>49</v>
      </c>
      <c r="F108" t="s">
        <v>84</v>
      </c>
      <c r="G108" t="s">
        <v>63</v>
      </c>
      <c r="H108" t="s">
        <v>38</v>
      </c>
      <c r="I108" t="s">
        <v>82</v>
      </c>
      <c r="J108">
        <v>19</v>
      </c>
      <c r="K108">
        <v>24529.48</v>
      </c>
      <c r="L108">
        <v>466060.12</v>
      </c>
      <c r="M108">
        <v>0</v>
      </c>
      <c r="N108">
        <v>47516.67</v>
      </c>
      <c r="O108">
        <v>418543.45</v>
      </c>
      <c r="P108" t="s">
        <v>32</v>
      </c>
      <c r="Q108" t="s">
        <v>32</v>
      </c>
    </row>
    <row r="109" spans="1:17" x14ac:dyDescent="0.25">
      <c r="A109" t="s">
        <v>225</v>
      </c>
      <c r="B109" s="1">
        <v>45984</v>
      </c>
      <c r="C109" t="s">
        <v>54</v>
      </c>
      <c r="D109" t="s">
        <v>70</v>
      </c>
      <c r="E109" t="s">
        <v>35</v>
      </c>
      <c r="F109" t="s">
        <v>71</v>
      </c>
      <c r="G109" t="s">
        <v>43</v>
      </c>
      <c r="H109" t="s">
        <v>94</v>
      </c>
      <c r="I109" t="s">
        <v>163</v>
      </c>
      <c r="J109">
        <v>33</v>
      </c>
      <c r="K109">
        <v>21839.31</v>
      </c>
      <c r="L109">
        <v>720697.23</v>
      </c>
      <c r="M109">
        <v>0</v>
      </c>
      <c r="N109">
        <v>0</v>
      </c>
      <c r="O109">
        <v>720697.23</v>
      </c>
      <c r="P109" t="s">
        <v>31</v>
      </c>
      <c r="Q109" t="s">
        <v>32</v>
      </c>
    </row>
    <row r="110" spans="1:17" x14ac:dyDescent="0.25">
      <c r="A110" t="s">
        <v>226</v>
      </c>
      <c r="B110" s="1">
        <v>45965</v>
      </c>
      <c r="C110" t="s">
        <v>47</v>
      </c>
      <c r="D110" t="s">
        <v>114</v>
      </c>
      <c r="E110" t="s">
        <v>41</v>
      </c>
      <c r="F110" t="s">
        <v>84</v>
      </c>
      <c r="G110" t="s">
        <v>89</v>
      </c>
      <c r="H110" t="s">
        <v>44</v>
      </c>
      <c r="I110" t="s">
        <v>141</v>
      </c>
      <c r="J110">
        <v>46</v>
      </c>
      <c r="K110">
        <v>24706.400000000001</v>
      </c>
      <c r="L110">
        <v>1136494.3999999999</v>
      </c>
      <c r="M110">
        <v>92607.38</v>
      </c>
      <c r="N110">
        <v>0</v>
      </c>
      <c r="O110">
        <v>1043887.02</v>
      </c>
      <c r="P110" t="s">
        <v>32</v>
      </c>
      <c r="Q110" t="s">
        <v>32</v>
      </c>
    </row>
    <row r="111" spans="1:17" x14ac:dyDescent="0.25">
      <c r="A111" t="s">
        <v>227</v>
      </c>
      <c r="B111" s="1">
        <v>45983</v>
      </c>
      <c r="C111" t="s">
        <v>79</v>
      </c>
      <c r="D111" t="s">
        <v>101</v>
      </c>
      <c r="E111" t="s">
        <v>20</v>
      </c>
      <c r="F111" t="s">
        <v>105</v>
      </c>
      <c r="G111" t="s">
        <v>56</v>
      </c>
      <c r="H111" t="s">
        <v>94</v>
      </c>
      <c r="I111" t="s">
        <v>95</v>
      </c>
      <c r="J111">
        <v>45</v>
      </c>
      <c r="K111">
        <v>33887.760000000002</v>
      </c>
      <c r="L111">
        <v>1524949.2</v>
      </c>
      <c r="M111">
        <v>0</v>
      </c>
      <c r="N111">
        <v>0</v>
      </c>
      <c r="O111">
        <v>1524949.2</v>
      </c>
      <c r="P111" t="s">
        <v>32</v>
      </c>
      <c r="Q111" t="s">
        <v>32</v>
      </c>
    </row>
    <row r="112" spans="1:17" x14ac:dyDescent="0.25">
      <c r="A112" t="s">
        <v>228</v>
      </c>
      <c r="B112" s="1">
        <v>46032</v>
      </c>
      <c r="C112" t="s">
        <v>18</v>
      </c>
      <c r="D112" t="s">
        <v>34</v>
      </c>
      <c r="E112" t="s">
        <v>41</v>
      </c>
      <c r="F112" t="s">
        <v>71</v>
      </c>
      <c r="G112" t="s">
        <v>63</v>
      </c>
      <c r="H112" t="s">
        <v>57</v>
      </c>
      <c r="I112" t="s">
        <v>58</v>
      </c>
      <c r="J112">
        <v>9</v>
      </c>
      <c r="K112">
        <v>39653.75</v>
      </c>
      <c r="L112">
        <v>356883.75</v>
      </c>
      <c r="M112">
        <v>8950.16</v>
      </c>
      <c r="N112">
        <v>0</v>
      </c>
      <c r="O112">
        <v>347933.59</v>
      </c>
      <c r="P112" t="s">
        <v>25</v>
      </c>
      <c r="Q112" t="s">
        <v>26</v>
      </c>
    </row>
    <row r="113" spans="1:17" x14ac:dyDescent="0.25">
      <c r="A113" t="s">
        <v>229</v>
      </c>
      <c r="B113" s="1">
        <v>45955</v>
      </c>
      <c r="C113" t="s">
        <v>60</v>
      </c>
      <c r="D113" t="s">
        <v>151</v>
      </c>
      <c r="E113" t="s">
        <v>49</v>
      </c>
      <c r="F113" t="s">
        <v>42</v>
      </c>
      <c r="G113" t="s">
        <v>51</v>
      </c>
      <c r="H113" t="s">
        <v>23</v>
      </c>
      <c r="I113" t="s">
        <v>131</v>
      </c>
      <c r="J113">
        <v>35</v>
      </c>
      <c r="K113">
        <v>42657.77</v>
      </c>
      <c r="L113">
        <v>1493021.95</v>
      </c>
      <c r="M113">
        <v>122906.02</v>
      </c>
      <c r="N113">
        <v>0</v>
      </c>
      <c r="O113">
        <v>1370115.93</v>
      </c>
      <c r="P113" t="s">
        <v>31</v>
      </c>
      <c r="Q113" t="s">
        <v>32</v>
      </c>
    </row>
    <row r="114" spans="1:17" x14ac:dyDescent="0.25">
      <c r="A114" t="s">
        <v>230</v>
      </c>
      <c r="B114" s="1">
        <v>45995</v>
      </c>
      <c r="C114" t="s">
        <v>79</v>
      </c>
      <c r="D114" t="s">
        <v>101</v>
      </c>
      <c r="E114" t="s">
        <v>20</v>
      </c>
      <c r="F114" t="s">
        <v>42</v>
      </c>
      <c r="G114" t="s">
        <v>138</v>
      </c>
      <c r="H114" t="s">
        <v>38</v>
      </c>
      <c r="I114" t="s">
        <v>108</v>
      </c>
      <c r="J114">
        <v>9</v>
      </c>
      <c r="K114">
        <v>28594.01</v>
      </c>
      <c r="L114">
        <v>257346.09</v>
      </c>
      <c r="M114">
        <v>16724.22</v>
      </c>
      <c r="N114">
        <v>0</v>
      </c>
      <c r="O114">
        <v>240621.87</v>
      </c>
      <c r="P114" t="s">
        <v>25</v>
      </c>
      <c r="Q114" t="s">
        <v>26</v>
      </c>
    </row>
    <row r="115" spans="1:17" x14ac:dyDescent="0.25">
      <c r="A115" t="s">
        <v>231</v>
      </c>
      <c r="B115" s="1">
        <v>45995</v>
      </c>
      <c r="C115" t="s">
        <v>79</v>
      </c>
      <c r="D115" t="s">
        <v>80</v>
      </c>
      <c r="E115" t="s">
        <v>41</v>
      </c>
      <c r="F115" t="s">
        <v>21</v>
      </c>
      <c r="G115" t="s">
        <v>56</v>
      </c>
      <c r="H115" t="s">
        <v>44</v>
      </c>
      <c r="I115" t="s">
        <v>141</v>
      </c>
      <c r="J115">
        <v>29</v>
      </c>
      <c r="K115">
        <v>27277.43</v>
      </c>
      <c r="L115">
        <v>791045.47</v>
      </c>
      <c r="M115">
        <v>11672.57</v>
      </c>
      <c r="N115">
        <v>0</v>
      </c>
      <c r="O115">
        <v>779372.9</v>
      </c>
      <c r="P115" t="s">
        <v>32</v>
      </c>
      <c r="Q115" t="s">
        <v>32</v>
      </c>
    </row>
    <row r="116" spans="1:17" x14ac:dyDescent="0.25">
      <c r="A116" t="s">
        <v>232</v>
      </c>
      <c r="B116" s="1">
        <v>46026</v>
      </c>
      <c r="C116" t="s">
        <v>54</v>
      </c>
      <c r="D116" t="s">
        <v>70</v>
      </c>
      <c r="E116" t="s">
        <v>20</v>
      </c>
      <c r="F116" t="s">
        <v>42</v>
      </c>
      <c r="G116" t="s">
        <v>102</v>
      </c>
      <c r="H116" t="s">
        <v>38</v>
      </c>
      <c r="I116" t="s">
        <v>120</v>
      </c>
      <c r="J116">
        <v>1</v>
      </c>
      <c r="K116">
        <v>33815.410000000003</v>
      </c>
      <c r="L116">
        <v>33815.410000000003</v>
      </c>
      <c r="M116">
        <v>4961.3900000000003</v>
      </c>
      <c r="N116">
        <v>0</v>
      </c>
      <c r="O116">
        <v>28854.02</v>
      </c>
      <c r="P116" t="s">
        <v>31</v>
      </c>
      <c r="Q116" t="s">
        <v>32</v>
      </c>
    </row>
    <row r="117" spans="1:17" x14ac:dyDescent="0.25">
      <c r="A117" t="s">
        <v>233</v>
      </c>
      <c r="B117" s="1">
        <v>45962</v>
      </c>
      <c r="C117" t="s">
        <v>79</v>
      </c>
      <c r="D117" t="s">
        <v>91</v>
      </c>
      <c r="E117" t="s">
        <v>35</v>
      </c>
      <c r="F117" t="s">
        <v>71</v>
      </c>
      <c r="G117" t="s">
        <v>22</v>
      </c>
      <c r="H117" t="s">
        <v>38</v>
      </c>
      <c r="I117" t="s">
        <v>39</v>
      </c>
      <c r="J117">
        <v>19</v>
      </c>
      <c r="K117">
        <v>9615.56</v>
      </c>
      <c r="L117">
        <v>182695.64</v>
      </c>
      <c r="M117">
        <v>10302.59</v>
      </c>
      <c r="N117">
        <v>0</v>
      </c>
      <c r="O117">
        <v>172393.05</v>
      </c>
      <c r="P117" t="s">
        <v>73</v>
      </c>
      <c r="Q117" t="s">
        <v>32</v>
      </c>
    </row>
    <row r="118" spans="1:17" x14ac:dyDescent="0.25">
      <c r="A118" t="s">
        <v>234</v>
      </c>
      <c r="B118" s="1">
        <v>45971</v>
      </c>
      <c r="C118" t="s">
        <v>60</v>
      </c>
      <c r="D118" t="s">
        <v>61</v>
      </c>
      <c r="E118" t="s">
        <v>35</v>
      </c>
      <c r="F118" t="s">
        <v>84</v>
      </c>
      <c r="G118" t="s">
        <v>81</v>
      </c>
      <c r="H118" t="s">
        <v>23</v>
      </c>
      <c r="I118" t="s">
        <v>110</v>
      </c>
      <c r="J118">
        <v>31</v>
      </c>
      <c r="K118">
        <v>17212.62</v>
      </c>
      <c r="L118">
        <v>533591.22</v>
      </c>
      <c r="M118">
        <v>28433.19</v>
      </c>
      <c r="N118">
        <v>0</v>
      </c>
      <c r="O118">
        <v>505158.03</v>
      </c>
      <c r="P118" t="s">
        <v>32</v>
      </c>
      <c r="Q118" t="s">
        <v>26</v>
      </c>
    </row>
    <row r="119" spans="1:17" x14ac:dyDescent="0.25">
      <c r="A119" t="s">
        <v>235</v>
      </c>
      <c r="B119" s="1">
        <v>45997</v>
      </c>
      <c r="C119" t="s">
        <v>47</v>
      </c>
      <c r="D119" t="s">
        <v>114</v>
      </c>
      <c r="E119" t="s">
        <v>49</v>
      </c>
      <c r="F119" t="s">
        <v>71</v>
      </c>
      <c r="G119" t="s">
        <v>51</v>
      </c>
      <c r="H119" t="s">
        <v>57</v>
      </c>
      <c r="I119" t="s">
        <v>92</v>
      </c>
      <c r="J119">
        <v>24</v>
      </c>
      <c r="K119">
        <v>45909.66</v>
      </c>
      <c r="L119">
        <v>1101831.8400000001</v>
      </c>
      <c r="M119">
        <v>163310.04</v>
      </c>
      <c r="N119">
        <v>0</v>
      </c>
      <c r="O119">
        <v>938521.8</v>
      </c>
      <c r="P119" t="s">
        <v>73</v>
      </c>
      <c r="Q119" t="s">
        <v>32</v>
      </c>
    </row>
    <row r="120" spans="1:17" x14ac:dyDescent="0.25">
      <c r="A120" t="s">
        <v>236</v>
      </c>
      <c r="B120" s="1">
        <v>46022</v>
      </c>
      <c r="C120" t="s">
        <v>18</v>
      </c>
      <c r="D120" t="s">
        <v>28</v>
      </c>
      <c r="E120" t="s">
        <v>35</v>
      </c>
      <c r="F120" t="s">
        <v>36</v>
      </c>
      <c r="G120" t="s">
        <v>66</v>
      </c>
      <c r="H120" t="s">
        <v>57</v>
      </c>
      <c r="I120" t="s">
        <v>118</v>
      </c>
      <c r="J120">
        <v>3</v>
      </c>
      <c r="K120">
        <v>35267.18</v>
      </c>
      <c r="L120">
        <v>105801.54</v>
      </c>
      <c r="M120">
        <v>16353.49</v>
      </c>
      <c r="N120">
        <v>0</v>
      </c>
      <c r="O120">
        <v>89448.05</v>
      </c>
      <c r="P120" t="s">
        <v>31</v>
      </c>
      <c r="Q120" t="s">
        <v>32</v>
      </c>
    </row>
    <row r="121" spans="1:17" x14ac:dyDescent="0.25">
      <c r="A121" t="s">
        <v>237</v>
      </c>
      <c r="B121" s="1">
        <v>46032</v>
      </c>
      <c r="C121" t="s">
        <v>79</v>
      </c>
      <c r="D121" t="s">
        <v>91</v>
      </c>
      <c r="E121" t="s">
        <v>35</v>
      </c>
      <c r="F121" t="s">
        <v>42</v>
      </c>
      <c r="G121" t="s">
        <v>140</v>
      </c>
      <c r="H121" t="s">
        <v>44</v>
      </c>
      <c r="I121" t="s">
        <v>135</v>
      </c>
      <c r="J121">
        <v>17</v>
      </c>
      <c r="K121">
        <v>44662.29</v>
      </c>
      <c r="L121">
        <v>759258.93</v>
      </c>
      <c r="M121">
        <v>0</v>
      </c>
      <c r="N121">
        <v>0</v>
      </c>
      <c r="O121">
        <v>759258.93</v>
      </c>
      <c r="P121" t="s">
        <v>73</v>
      </c>
      <c r="Q121" t="s">
        <v>32</v>
      </c>
    </row>
    <row r="122" spans="1:17" x14ac:dyDescent="0.25">
      <c r="A122" t="s">
        <v>238</v>
      </c>
      <c r="B122" s="1">
        <v>46042</v>
      </c>
      <c r="C122" t="s">
        <v>79</v>
      </c>
      <c r="D122" t="s">
        <v>101</v>
      </c>
      <c r="E122" t="s">
        <v>49</v>
      </c>
      <c r="F122" t="s">
        <v>50</v>
      </c>
      <c r="G122" t="s">
        <v>63</v>
      </c>
      <c r="H122" t="s">
        <v>57</v>
      </c>
      <c r="I122" t="s">
        <v>160</v>
      </c>
      <c r="J122">
        <v>38</v>
      </c>
      <c r="K122">
        <v>30157</v>
      </c>
      <c r="L122">
        <v>1145966</v>
      </c>
      <c r="M122">
        <v>0</v>
      </c>
      <c r="N122">
        <v>10243.41</v>
      </c>
      <c r="O122">
        <v>1135722.5900000001</v>
      </c>
      <c r="P122" t="s">
        <v>31</v>
      </c>
      <c r="Q122" t="s">
        <v>32</v>
      </c>
    </row>
    <row r="123" spans="1:17" x14ac:dyDescent="0.25">
      <c r="A123" t="s">
        <v>239</v>
      </c>
      <c r="B123" s="1">
        <v>45994</v>
      </c>
      <c r="C123" t="s">
        <v>47</v>
      </c>
      <c r="D123" t="s">
        <v>114</v>
      </c>
      <c r="E123" t="s">
        <v>41</v>
      </c>
      <c r="F123" t="s">
        <v>105</v>
      </c>
      <c r="G123" t="s">
        <v>102</v>
      </c>
      <c r="H123" t="s">
        <v>23</v>
      </c>
      <c r="I123" t="s">
        <v>24</v>
      </c>
      <c r="J123">
        <v>2</v>
      </c>
      <c r="K123">
        <v>9137.23</v>
      </c>
      <c r="L123">
        <v>18274.46</v>
      </c>
      <c r="M123">
        <v>3587.46</v>
      </c>
      <c r="N123">
        <v>0</v>
      </c>
      <c r="O123">
        <v>14687</v>
      </c>
      <c r="P123" t="s">
        <v>32</v>
      </c>
      <c r="Q123" t="s">
        <v>32</v>
      </c>
    </row>
    <row r="124" spans="1:17" x14ac:dyDescent="0.25">
      <c r="A124" t="s">
        <v>240</v>
      </c>
      <c r="B124" s="1">
        <v>45991</v>
      </c>
      <c r="C124" t="s">
        <v>60</v>
      </c>
      <c r="D124" t="s">
        <v>61</v>
      </c>
      <c r="E124" t="s">
        <v>20</v>
      </c>
      <c r="F124" t="s">
        <v>112</v>
      </c>
      <c r="G124" t="s">
        <v>98</v>
      </c>
      <c r="H124" t="s">
        <v>94</v>
      </c>
      <c r="I124" t="s">
        <v>144</v>
      </c>
      <c r="J124">
        <v>5</v>
      </c>
      <c r="K124">
        <v>3727.77</v>
      </c>
      <c r="L124">
        <v>18638.849999999999</v>
      </c>
      <c r="M124">
        <v>2594.6</v>
      </c>
      <c r="N124">
        <v>0</v>
      </c>
      <c r="O124">
        <v>16044.25</v>
      </c>
      <c r="P124" t="s">
        <v>31</v>
      </c>
      <c r="Q124" t="s">
        <v>32</v>
      </c>
    </row>
    <row r="125" spans="1:17" x14ac:dyDescent="0.25">
      <c r="A125" t="s">
        <v>241</v>
      </c>
      <c r="B125" s="1">
        <v>45977</v>
      </c>
      <c r="C125" t="s">
        <v>47</v>
      </c>
      <c r="D125" t="s">
        <v>127</v>
      </c>
      <c r="E125" t="s">
        <v>20</v>
      </c>
      <c r="F125" t="s">
        <v>137</v>
      </c>
      <c r="G125" t="s">
        <v>102</v>
      </c>
      <c r="H125" t="s">
        <v>23</v>
      </c>
      <c r="I125" t="s">
        <v>30</v>
      </c>
      <c r="J125">
        <v>17</v>
      </c>
      <c r="K125">
        <v>34148.57</v>
      </c>
      <c r="L125">
        <v>580525.68999999994</v>
      </c>
      <c r="M125">
        <v>0</v>
      </c>
      <c r="N125">
        <v>0</v>
      </c>
      <c r="O125">
        <v>580525.68999999994</v>
      </c>
      <c r="P125" t="s">
        <v>73</v>
      </c>
      <c r="Q125" t="s">
        <v>32</v>
      </c>
    </row>
    <row r="126" spans="1:17" x14ac:dyDescent="0.25">
      <c r="A126" t="s">
        <v>242</v>
      </c>
      <c r="B126" s="1">
        <v>45957</v>
      </c>
      <c r="C126" t="s">
        <v>54</v>
      </c>
      <c r="D126" t="s">
        <v>133</v>
      </c>
      <c r="E126" t="s">
        <v>49</v>
      </c>
      <c r="F126" t="s">
        <v>71</v>
      </c>
      <c r="G126" t="s">
        <v>22</v>
      </c>
      <c r="H126" t="s">
        <v>94</v>
      </c>
      <c r="I126" t="s">
        <v>193</v>
      </c>
      <c r="J126">
        <v>18</v>
      </c>
      <c r="K126">
        <v>16405.09</v>
      </c>
      <c r="L126">
        <v>295291.62</v>
      </c>
      <c r="M126">
        <v>49187.83</v>
      </c>
      <c r="N126">
        <v>0</v>
      </c>
      <c r="O126">
        <v>246103.79</v>
      </c>
      <c r="P126" t="s">
        <v>31</v>
      </c>
      <c r="Q126" t="s">
        <v>32</v>
      </c>
    </row>
    <row r="127" spans="1:17" x14ac:dyDescent="0.25">
      <c r="A127" t="s">
        <v>243</v>
      </c>
      <c r="B127" s="1">
        <v>45998</v>
      </c>
      <c r="C127" t="s">
        <v>18</v>
      </c>
      <c r="D127" t="s">
        <v>19</v>
      </c>
      <c r="E127" t="s">
        <v>20</v>
      </c>
      <c r="F127" t="s">
        <v>42</v>
      </c>
      <c r="G127" t="s">
        <v>43</v>
      </c>
      <c r="H127" t="s">
        <v>94</v>
      </c>
      <c r="I127" t="s">
        <v>177</v>
      </c>
      <c r="J127">
        <v>49</v>
      </c>
      <c r="K127">
        <v>19702.099999999999</v>
      </c>
      <c r="L127">
        <v>965402.9</v>
      </c>
      <c r="M127">
        <v>0</v>
      </c>
      <c r="N127">
        <v>0</v>
      </c>
      <c r="O127">
        <v>965402.9</v>
      </c>
      <c r="P127" t="s">
        <v>25</v>
      </c>
      <c r="Q127" t="s">
        <v>26</v>
      </c>
    </row>
    <row r="128" spans="1:17" x14ac:dyDescent="0.25">
      <c r="A128" t="s">
        <v>244</v>
      </c>
      <c r="B128" s="1">
        <v>46005</v>
      </c>
      <c r="C128" t="s">
        <v>79</v>
      </c>
      <c r="D128" t="s">
        <v>101</v>
      </c>
      <c r="E128" t="s">
        <v>41</v>
      </c>
      <c r="F128" t="s">
        <v>21</v>
      </c>
      <c r="G128" t="s">
        <v>43</v>
      </c>
      <c r="H128" t="s">
        <v>67</v>
      </c>
      <c r="I128" t="s">
        <v>170</v>
      </c>
      <c r="J128">
        <v>17</v>
      </c>
      <c r="K128">
        <v>17425.580000000002</v>
      </c>
      <c r="L128">
        <v>296234.86</v>
      </c>
      <c r="M128">
        <v>51372.1</v>
      </c>
      <c r="N128">
        <v>695.14</v>
      </c>
      <c r="O128">
        <v>244167.62</v>
      </c>
      <c r="P128" t="s">
        <v>25</v>
      </c>
      <c r="Q128" t="s">
        <v>26</v>
      </c>
    </row>
    <row r="129" spans="1:17" x14ac:dyDescent="0.25">
      <c r="A129" t="s">
        <v>245</v>
      </c>
      <c r="B129" s="1">
        <v>45955</v>
      </c>
      <c r="C129" t="s">
        <v>18</v>
      </c>
      <c r="D129" t="s">
        <v>34</v>
      </c>
      <c r="E129" t="s">
        <v>35</v>
      </c>
      <c r="F129" t="s">
        <v>36</v>
      </c>
      <c r="G129" t="s">
        <v>140</v>
      </c>
      <c r="H129" t="s">
        <v>38</v>
      </c>
      <c r="I129" t="s">
        <v>108</v>
      </c>
      <c r="J129">
        <v>33</v>
      </c>
      <c r="K129">
        <v>33424.18</v>
      </c>
      <c r="L129">
        <v>1102997.94</v>
      </c>
      <c r="M129">
        <v>8296.85</v>
      </c>
      <c r="N129">
        <v>0</v>
      </c>
      <c r="O129">
        <v>1094701.0900000001</v>
      </c>
      <c r="P129" t="s">
        <v>32</v>
      </c>
      <c r="Q129" t="s">
        <v>26</v>
      </c>
    </row>
    <row r="130" spans="1:17" x14ac:dyDescent="0.25">
      <c r="A130" t="s">
        <v>246</v>
      </c>
      <c r="B130" s="1">
        <v>45967</v>
      </c>
      <c r="C130" t="s">
        <v>54</v>
      </c>
      <c r="D130" t="s">
        <v>97</v>
      </c>
      <c r="E130" t="s">
        <v>35</v>
      </c>
      <c r="F130" t="s">
        <v>36</v>
      </c>
      <c r="G130" t="s">
        <v>81</v>
      </c>
      <c r="H130" t="s">
        <v>94</v>
      </c>
      <c r="I130" t="s">
        <v>115</v>
      </c>
      <c r="J130">
        <v>2</v>
      </c>
      <c r="K130">
        <v>11890.48</v>
      </c>
      <c r="L130">
        <v>23780.959999999999</v>
      </c>
      <c r="M130">
        <v>0</v>
      </c>
      <c r="N130">
        <v>0</v>
      </c>
      <c r="O130">
        <v>23780.959999999999</v>
      </c>
      <c r="P130" t="s">
        <v>32</v>
      </c>
      <c r="Q130" t="s">
        <v>26</v>
      </c>
    </row>
    <row r="131" spans="1:17" x14ac:dyDescent="0.25">
      <c r="A131" t="s">
        <v>247</v>
      </c>
      <c r="B131" s="1">
        <v>45991</v>
      </c>
      <c r="C131" t="s">
        <v>54</v>
      </c>
      <c r="D131" t="s">
        <v>55</v>
      </c>
      <c r="E131" t="s">
        <v>49</v>
      </c>
      <c r="F131" t="s">
        <v>42</v>
      </c>
      <c r="G131" t="s">
        <v>51</v>
      </c>
      <c r="H131" t="s">
        <v>94</v>
      </c>
      <c r="I131" t="s">
        <v>95</v>
      </c>
      <c r="J131">
        <v>4</v>
      </c>
      <c r="K131">
        <v>15591.78</v>
      </c>
      <c r="L131">
        <v>62367.12</v>
      </c>
      <c r="M131">
        <v>0</v>
      </c>
      <c r="N131">
        <v>0</v>
      </c>
      <c r="O131">
        <v>62367.12</v>
      </c>
      <c r="P131" t="s">
        <v>31</v>
      </c>
      <c r="Q131" t="s">
        <v>32</v>
      </c>
    </row>
    <row r="132" spans="1:17" x14ac:dyDescent="0.25">
      <c r="A132" t="s">
        <v>248</v>
      </c>
      <c r="B132" s="1">
        <v>46005</v>
      </c>
      <c r="C132" t="s">
        <v>79</v>
      </c>
      <c r="D132" t="s">
        <v>107</v>
      </c>
      <c r="E132" t="s">
        <v>20</v>
      </c>
      <c r="F132" t="s">
        <v>42</v>
      </c>
      <c r="G132" t="s">
        <v>66</v>
      </c>
      <c r="H132" t="s">
        <v>67</v>
      </c>
      <c r="I132" t="s">
        <v>201</v>
      </c>
      <c r="J132">
        <v>11</v>
      </c>
      <c r="K132">
        <v>30395.74</v>
      </c>
      <c r="L132">
        <v>334353.14</v>
      </c>
      <c r="M132">
        <v>49338.55</v>
      </c>
      <c r="N132">
        <v>0</v>
      </c>
      <c r="O132">
        <v>285014.59000000003</v>
      </c>
      <c r="P132" t="s">
        <v>31</v>
      </c>
      <c r="Q132" t="s">
        <v>32</v>
      </c>
    </row>
    <row r="133" spans="1:17" x14ac:dyDescent="0.25">
      <c r="A133" t="s">
        <v>249</v>
      </c>
      <c r="B133" s="1">
        <v>45977</v>
      </c>
      <c r="C133" t="s">
        <v>18</v>
      </c>
      <c r="D133" t="s">
        <v>19</v>
      </c>
      <c r="E133" t="s">
        <v>41</v>
      </c>
      <c r="F133" t="s">
        <v>42</v>
      </c>
      <c r="G133" t="s">
        <v>37</v>
      </c>
      <c r="H133" t="s">
        <v>94</v>
      </c>
      <c r="I133" t="s">
        <v>193</v>
      </c>
      <c r="J133">
        <v>22</v>
      </c>
      <c r="K133">
        <v>24269.54</v>
      </c>
      <c r="L133">
        <v>533929.88</v>
      </c>
      <c r="M133">
        <v>30428.68</v>
      </c>
      <c r="N133">
        <v>0</v>
      </c>
      <c r="O133">
        <v>503501.2</v>
      </c>
      <c r="P133" t="s">
        <v>32</v>
      </c>
      <c r="Q133" t="s">
        <v>32</v>
      </c>
    </row>
    <row r="134" spans="1:17" x14ac:dyDescent="0.25">
      <c r="A134" t="s">
        <v>250</v>
      </c>
      <c r="B134" s="1">
        <v>46017</v>
      </c>
      <c r="C134" t="s">
        <v>18</v>
      </c>
      <c r="D134" t="s">
        <v>34</v>
      </c>
      <c r="E134" t="s">
        <v>41</v>
      </c>
      <c r="F134" t="s">
        <v>71</v>
      </c>
      <c r="G134" t="s">
        <v>29</v>
      </c>
      <c r="H134" t="s">
        <v>38</v>
      </c>
      <c r="I134" t="s">
        <v>175</v>
      </c>
      <c r="J134">
        <v>11</v>
      </c>
      <c r="K134">
        <v>24830.57</v>
      </c>
      <c r="L134">
        <v>273136.27</v>
      </c>
      <c r="M134">
        <v>48998.75</v>
      </c>
      <c r="N134">
        <v>0</v>
      </c>
      <c r="O134">
        <v>224137.52</v>
      </c>
      <c r="P134" t="s">
        <v>32</v>
      </c>
      <c r="Q134" t="s">
        <v>32</v>
      </c>
    </row>
    <row r="135" spans="1:17" x14ac:dyDescent="0.25">
      <c r="A135" t="s">
        <v>251</v>
      </c>
      <c r="B135" s="1">
        <v>46038</v>
      </c>
      <c r="C135" t="s">
        <v>47</v>
      </c>
      <c r="D135" t="s">
        <v>88</v>
      </c>
      <c r="E135" t="s">
        <v>41</v>
      </c>
      <c r="F135" t="s">
        <v>137</v>
      </c>
      <c r="G135" t="s">
        <v>89</v>
      </c>
      <c r="H135" t="s">
        <v>67</v>
      </c>
      <c r="I135" t="s">
        <v>201</v>
      </c>
      <c r="J135">
        <v>3</v>
      </c>
      <c r="K135">
        <v>615.47</v>
      </c>
      <c r="L135">
        <v>1846.41</v>
      </c>
      <c r="M135">
        <v>269.66000000000003</v>
      </c>
      <c r="N135">
        <v>60.9</v>
      </c>
      <c r="O135">
        <v>1515.85</v>
      </c>
      <c r="P135" t="s">
        <v>73</v>
      </c>
      <c r="Q135" t="s">
        <v>26</v>
      </c>
    </row>
    <row r="136" spans="1:17" x14ac:dyDescent="0.25">
      <c r="A136" t="s">
        <v>252</v>
      </c>
      <c r="B136" s="1">
        <v>46020</v>
      </c>
      <c r="C136" t="s">
        <v>47</v>
      </c>
      <c r="D136" t="s">
        <v>127</v>
      </c>
      <c r="E136" t="s">
        <v>35</v>
      </c>
      <c r="F136" t="s">
        <v>112</v>
      </c>
      <c r="G136" t="s">
        <v>98</v>
      </c>
      <c r="H136" t="s">
        <v>94</v>
      </c>
      <c r="I136" t="s">
        <v>193</v>
      </c>
      <c r="J136">
        <v>3</v>
      </c>
      <c r="K136">
        <v>30096.16</v>
      </c>
      <c r="L136">
        <v>90288.48</v>
      </c>
      <c r="M136">
        <v>11060.92</v>
      </c>
      <c r="N136">
        <v>0</v>
      </c>
      <c r="O136">
        <v>79227.56</v>
      </c>
      <c r="P136" t="s">
        <v>31</v>
      </c>
      <c r="Q136" t="s">
        <v>32</v>
      </c>
    </row>
    <row r="137" spans="1:17" x14ac:dyDescent="0.25">
      <c r="A137" t="s">
        <v>253</v>
      </c>
      <c r="B137" s="1">
        <v>45962</v>
      </c>
      <c r="C137" t="s">
        <v>79</v>
      </c>
      <c r="D137" t="s">
        <v>101</v>
      </c>
      <c r="E137" t="s">
        <v>35</v>
      </c>
      <c r="F137" t="s">
        <v>62</v>
      </c>
      <c r="G137" t="s">
        <v>43</v>
      </c>
      <c r="H137" t="s">
        <v>67</v>
      </c>
      <c r="I137" t="s">
        <v>103</v>
      </c>
      <c r="J137">
        <v>9</v>
      </c>
      <c r="K137">
        <v>35414.83</v>
      </c>
      <c r="L137">
        <v>318733.46999999997</v>
      </c>
      <c r="M137">
        <v>34530.519999999997</v>
      </c>
      <c r="N137">
        <v>0</v>
      </c>
      <c r="O137">
        <v>284202.95</v>
      </c>
      <c r="P137" t="s">
        <v>73</v>
      </c>
      <c r="Q137" t="s">
        <v>32</v>
      </c>
    </row>
    <row r="138" spans="1:17" x14ac:dyDescent="0.25">
      <c r="A138" t="s">
        <v>254</v>
      </c>
      <c r="B138" s="1">
        <v>46000</v>
      </c>
      <c r="C138" t="s">
        <v>18</v>
      </c>
      <c r="D138" t="s">
        <v>34</v>
      </c>
      <c r="E138" t="s">
        <v>20</v>
      </c>
      <c r="F138" t="s">
        <v>42</v>
      </c>
      <c r="G138" t="s">
        <v>138</v>
      </c>
      <c r="H138" t="s">
        <v>23</v>
      </c>
      <c r="I138" t="s">
        <v>30</v>
      </c>
      <c r="J138">
        <v>47</v>
      </c>
      <c r="K138">
        <v>33236.699999999997</v>
      </c>
      <c r="L138">
        <v>1562124.9</v>
      </c>
      <c r="M138">
        <v>281180.98</v>
      </c>
      <c r="N138">
        <v>0</v>
      </c>
      <c r="O138">
        <v>1280943.92</v>
      </c>
      <c r="P138" t="s">
        <v>32</v>
      </c>
      <c r="Q138" t="s">
        <v>32</v>
      </c>
    </row>
    <row r="139" spans="1:17" x14ac:dyDescent="0.25">
      <c r="A139" t="s">
        <v>255</v>
      </c>
      <c r="B139" s="1">
        <v>46015</v>
      </c>
      <c r="C139" t="s">
        <v>79</v>
      </c>
      <c r="D139" t="s">
        <v>80</v>
      </c>
      <c r="E139" t="s">
        <v>41</v>
      </c>
      <c r="F139" t="s">
        <v>71</v>
      </c>
      <c r="G139" t="s">
        <v>85</v>
      </c>
      <c r="H139" t="s">
        <v>67</v>
      </c>
      <c r="I139" t="s">
        <v>77</v>
      </c>
      <c r="J139">
        <v>26</v>
      </c>
      <c r="K139">
        <v>20924.97</v>
      </c>
      <c r="L139">
        <v>544049.22</v>
      </c>
      <c r="M139">
        <v>0</v>
      </c>
      <c r="N139">
        <v>0</v>
      </c>
      <c r="O139">
        <v>544049.22</v>
      </c>
      <c r="P139" t="s">
        <v>73</v>
      </c>
      <c r="Q139" t="s">
        <v>26</v>
      </c>
    </row>
    <row r="140" spans="1:17" x14ac:dyDescent="0.25">
      <c r="A140" t="s">
        <v>256</v>
      </c>
      <c r="B140" s="1">
        <v>46028</v>
      </c>
      <c r="C140" t="s">
        <v>60</v>
      </c>
      <c r="D140" t="s">
        <v>123</v>
      </c>
      <c r="E140" t="s">
        <v>41</v>
      </c>
      <c r="F140" t="s">
        <v>137</v>
      </c>
      <c r="G140" t="s">
        <v>102</v>
      </c>
      <c r="H140" t="s">
        <v>57</v>
      </c>
      <c r="I140" t="s">
        <v>148</v>
      </c>
      <c r="J140">
        <v>3</v>
      </c>
      <c r="K140">
        <v>34604.83</v>
      </c>
      <c r="L140">
        <v>103814.49</v>
      </c>
      <c r="M140">
        <v>11841.67</v>
      </c>
      <c r="N140">
        <v>14218.11</v>
      </c>
      <c r="O140">
        <v>77754.710000000006</v>
      </c>
      <c r="P140" t="s">
        <v>32</v>
      </c>
      <c r="Q140" t="s">
        <v>32</v>
      </c>
    </row>
    <row r="141" spans="1:17" x14ac:dyDescent="0.25">
      <c r="A141" t="s">
        <v>257</v>
      </c>
      <c r="B141" s="1">
        <v>45972</v>
      </c>
      <c r="C141" t="s">
        <v>18</v>
      </c>
      <c r="D141" t="s">
        <v>75</v>
      </c>
      <c r="E141" t="s">
        <v>20</v>
      </c>
      <c r="F141" t="s">
        <v>112</v>
      </c>
      <c r="G141" t="s">
        <v>37</v>
      </c>
      <c r="H141" t="s">
        <v>67</v>
      </c>
      <c r="I141" t="s">
        <v>170</v>
      </c>
      <c r="J141">
        <v>46</v>
      </c>
      <c r="K141">
        <v>40000.550000000003</v>
      </c>
      <c r="L141">
        <v>1840025.3</v>
      </c>
      <c r="M141">
        <v>0</v>
      </c>
      <c r="N141">
        <v>0</v>
      </c>
      <c r="O141">
        <v>1840025.3</v>
      </c>
      <c r="P141" t="s">
        <v>73</v>
      </c>
      <c r="Q141" t="s">
        <v>32</v>
      </c>
    </row>
    <row r="142" spans="1:17" x14ac:dyDescent="0.25">
      <c r="A142" t="s">
        <v>258</v>
      </c>
      <c r="B142" s="1">
        <v>45997</v>
      </c>
      <c r="C142" t="s">
        <v>54</v>
      </c>
      <c r="D142" t="s">
        <v>70</v>
      </c>
      <c r="E142" t="s">
        <v>41</v>
      </c>
      <c r="F142" t="s">
        <v>42</v>
      </c>
      <c r="G142" t="s">
        <v>63</v>
      </c>
      <c r="H142" t="s">
        <v>57</v>
      </c>
      <c r="I142" t="s">
        <v>92</v>
      </c>
      <c r="J142">
        <v>1</v>
      </c>
      <c r="K142">
        <v>12032.85</v>
      </c>
      <c r="L142">
        <v>12032.85</v>
      </c>
      <c r="M142">
        <v>750.31</v>
      </c>
      <c r="N142">
        <v>1190.56</v>
      </c>
      <c r="O142">
        <v>10091.98</v>
      </c>
      <c r="P142" t="s">
        <v>31</v>
      </c>
      <c r="Q142" t="s">
        <v>32</v>
      </c>
    </row>
    <row r="143" spans="1:17" x14ac:dyDescent="0.25">
      <c r="A143" t="s">
        <v>259</v>
      </c>
      <c r="B143" s="1">
        <v>45963</v>
      </c>
      <c r="C143" t="s">
        <v>54</v>
      </c>
      <c r="D143" t="s">
        <v>70</v>
      </c>
      <c r="E143" t="s">
        <v>35</v>
      </c>
      <c r="F143" t="s">
        <v>105</v>
      </c>
      <c r="G143" t="s">
        <v>43</v>
      </c>
      <c r="H143" t="s">
        <v>94</v>
      </c>
      <c r="I143" t="s">
        <v>95</v>
      </c>
      <c r="J143">
        <v>33</v>
      </c>
      <c r="K143">
        <v>26522.23</v>
      </c>
      <c r="L143">
        <v>875233.59</v>
      </c>
      <c r="M143">
        <v>87354.58</v>
      </c>
      <c r="N143">
        <v>0</v>
      </c>
      <c r="O143">
        <v>787879.01</v>
      </c>
      <c r="P143" t="s">
        <v>32</v>
      </c>
      <c r="Q143" t="s">
        <v>32</v>
      </c>
    </row>
    <row r="144" spans="1:17" x14ac:dyDescent="0.25">
      <c r="A144" t="s">
        <v>260</v>
      </c>
      <c r="B144" s="1">
        <v>46039</v>
      </c>
      <c r="C144" t="s">
        <v>47</v>
      </c>
      <c r="D144" t="s">
        <v>114</v>
      </c>
      <c r="E144" t="s">
        <v>49</v>
      </c>
      <c r="F144" t="s">
        <v>112</v>
      </c>
      <c r="G144" t="s">
        <v>56</v>
      </c>
      <c r="H144" t="s">
        <v>67</v>
      </c>
      <c r="I144" t="s">
        <v>201</v>
      </c>
      <c r="J144">
        <v>47</v>
      </c>
      <c r="K144">
        <v>11566.03</v>
      </c>
      <c r="L144">
        <v>543603.41</v>
      </c>
      <c r="M144">
        <v>39130.82</v>
      </c>
      <c r="N144">
        <v>0</v>
      </c>
      <c r="O144">
        <v>504472.59</v>
      </c>
      <c r="P144" t="s">
        <v>73</v>
      </c>
      <c r="Q144" t="s">
        <v>26</v>
      </c>
    </row>
    <row r="145" spans="1:17" x14ac:dyDescent="0.25">
      <c r="A145" t="s">
        <v>261</v>
      </c>
      <c r="B145" s="1">
        <v>45995</v>
      </c>
      <c r="C145" t="s">
        <v>18</v>
      </c>
      <c r="D145" t="s">
        <v>28</v>
      </c>
      <c r="E145" t="s">
        <v>49</v>
      </c>
      <c r="F145" t="s">
        <v>36</v>
      </c>
      <c r="G145" t="s">
        <v>66</v>
      </c>
      <c r="H145" t="s">
        <v>44</v>
      </c>
      <c r="I145" t="s">
        <v>124</v>
      </c>
      <c r="J145">
        <v>26</v>
      </c>
      <c r="K145">
        <v>7618.03</v>
      </c>
      <c r="L145">
        <v>198068.78</v>
      </c>
      <c r="M145">
        <v>0</v>
      </c>
      <c r="N145">
        <v>0</v>
      </c>
      <c r="O145">
        <v>198068.78</v>
      </c>
      <c r="P145" t="s">
        <v>73</v>
      </c>
      <c r="Q145" t="s">
        <v>32</v>
      </c>
    </row>
    <row r="146" spans="1:17" x14ac:dyDescent="0.25">
      <c r="A146" t="s">
        <v>262</v>
      </c>
      <c r="B146" s="1">
        <v>46013</v>
      </c>
      <c r="C146" t="s">
        <v>54</v>
      </c>
      <c r="D146" t="s">
        <v>55</v>
      </c>
      <c r="E146" t="s">
        <v>35</v>
      </c>
      <c r="F146" t="s">
        <v>50</v>
      </c>
      <c r="G146" t="s">
        <v>66</v>
      </c>
      <c r="H146" t="s">
        <v>94</v>
      </c>
      <c r="I146" t="s">
        <v>193</v>
      </c>
      <c r="J146">
        <v>3</v>
      </c>
      <c r="K146">
        <v>49433.96</v>
      </c>
      <c r="L146">
        <v>148301.88</v>
      </c>
      <c r="M146">
        <v>583.33000000000004</v>
      </c>
      <c r="N146">
        <v>0</v>
      </c>
      <c r="O146">
        <v>147718.54999999999</v>
      </c>
      <c r="P146" t="s">
        <v>25</v>
      </c>
      <c r="Q146" t="s">
        <v>128</v>
      </c>
    </row>
    <row r="147" spans="1:17" x14ac:dyDescent="0.25">
      <c r="A147" t="s">
        <v>263</v>
      </c>
      <c r="B147" s="1">
        <v>45975</v>
      </c>
      <c r="C147" t="s">
        <v>47</v>
      </c>
      <c r="D147" t="s">
        <v>127</v>
      </c>
      <c r="E147" t="s">
        <v>20</v>
      </c>
      <c r="F147" t="s">
        <v>50</v>
      </c>
      <c r="G147" t="s">
        <v>22</v>
      </c>
      <c r="H147" t="s">
        <v>94</v>
      </c>
      <c r="I147" t="s">
        <v>144</v>
      </c>
      <c r="J147">
        <v>32</v>
      </c>
      <c r="K147">
        <v>25064.720000000001</v>
      </c>
      <c r="L147">
        <v>802071.04000000004</v>
      </c>
      <c r="M147">
        <v>0</v>
      </c>
      <c r="N147">
        <v>0</v>
      </c>
      <c r="O147">
        <v>802071.04000000004</v>
      </c>
      <c r="P147" t="s">
        <v>31</v>
      </c>
      <c r="Q147" t="s">
        <v>32</v>
      </c>
    </row>
    <row r="148" spans="1:17" x14ac:dyDescent="0.25">
      <c r="A148" t="s">
        <v>264</v>
      </c>
      <c r="B148" s="1">
        <v>45994</v>
      </c>
      <c r="C148" t="s">
        <v>60</v>
      </c>
      <c r="D148" t="s">
        <v>123</v>
      </c>
      <c r="E148" t="s">
        <v>49</v>
      </c>
      <c r="F148" t="s">
        <v>36</v>
      </c>
      <c r="G148" t="s">
        <v>81</v>
      </c>
      <c r="H148" t="s">
        <v>23</v>
      </c>
      <c r="I148" t="s">
        <v>52</v>
      </c>
      <c r="J148">
        <v>46</v>
      </c>
      <c r="K148">
        <v>38424.89</v>
      </c>
      <c r="L148">
        <v>1767544.94</v>
      </c>
      <c r="M148">
        <v>0</v>
      </c>
      <c r="N148">
        <v>518043.92</v>
      </c>
      <c r="O148">
        <v>1249501.02</v>
      </c>
      <c r="P148" t="s">
        <v>25</v>
      </c>
      <c r="Q148" t="s">
        <v>26</v>
      </c>
    </row>
    <row r="149" spans="1:17" x14ac:dyDescent="0.25">
      <c r="A149" t="s">
        <v>265</v>
      </c>
      <c r="B149" s="1">
        <v>45997</v>
      </c>
      <c r="C149" t="s">
        <v>79</v>
      </c>
      <c r="D149" t="s">
        <v>101</v>
      </c>
      <c r="E149" t="s">
        <v>20</v>
      </c>
      <c r="F149" t="s">
        <v>62</v>
      </c>
      <c r="G149" t="s">
        <v>37</v>
      </c>
      <c r="H149" t="s">
        <v>67</v>
      </c>
      <c r="I149" t="s">
        <v>103</v>
      </c>
      <c r="J149">
        <v>16</v>
      </c>
      <c r="K149">
        <v>14112.08</v>
      </c>
      <c r="L149">
        <v>225793.28</v>
      </c>
      <c r="M149">
        <v>4907.47</v>
      </c>
      <c r="N149">
        <v>17772.169999999998</v>
      </c>
      <c r="O149">
        <v>203113.64</v>
      </c>
      <c r="P149" t="s">
        <v>31</v>
      </c>
      <c r="Q149" t="s">
        <v>32</v>
      </c>
    </row>
    <row r="150" spans="1:17" x14ac:dyDescent="0.25">
      <c r="A150" t="s">
        <v>266</v>
      </c>
      <c r="B150" s="1">
        <v>45998</v>
      </c>
      <c r="C150" t="s">
        <v>47</v>
      </c>
      <c r="D150" t="s">
        <v>114</v>
      </c>
      <c r="E150" t="s">
        <v>41</v>
      </c>
      <c r="F150" t="s">
        <v>112</v>
      </c>
      <c r="G150" t="s">
        <v>66</v>
      </c>
      <c r="H150" t="s">
        <v>57</v>
      </c>
      <c r="I150" t="s">
        <v>72</v>
      </c>
      <c r="J150">
        <v>25</v>
      </c>
      <c r="K150">
        <v>46617.599999999999</v>
      </c>
      <c r="L150">
        <v>1165440</v>
      </c>
      <c r="M150">
        <v>110305.1</v>
      </c>
      <c r="N150">
        <v>0</v>
      </c>
      <c r="O150">
        <v>1055134.8999999999</v>
      </c>
      <c r="P150" t="s">
        <v>25</v>
      </c>
      <c r="Q150" t="s">
        <v>128</v>
      </c>
    </row>
    <row r="151" spans="1:17" x14ac:dyDescent="0.25">
      <c r="A151" t="s">
        <v>267</v>
      </c>
      <c r="B151" s="1">
        <v>45975</v>
      </c>
      <c r="C151" t="s">
        <v>60</v>
      </c>
      <c r="D151" t="s">
        <v>65</v>
      </c>
      <c r="E151" t="s">
        <v>49</v>
      </c>
      <c r="F151" t="s">
        <v>36</v>
      </c>
      <c r="G151" t="s">
        <v>43</v>
      </c>
      <c r="H151" t="s">
        <v>67</v>
      </c>
      <c r="I151" t="s">
        <v>170</v>
      </c>
      <c r="J151">
        <v>45</v>
      </c>
      <c r="K151">
        <v>13893.41</v>
      </c>
      <c r="L151">
        <v>625203.44999999995</v>
      </c>
      <c r="M151">
        <v>0</v>
      </c>
      <c r="N151">
        <v>0</v>
      </c>
      <c r="O151">
        <v>625203.44999999995</v>
      </c>
      <c r="P151" t="s">
        <v>32</v>
      </c>
      <c r="Q151" t="s">
        <v>32</v>
      </c>
    </row>
    <row r="152" spans="1:17" x14ac:dyDescent="0.25">
      <c r="A152" t="s">
        <v>268</v>
      </c>
      <c r="B152" s="1">
        <v>46010</v>
      </c>
      <c r="C152" t="s">
        <v>47</v>
      </c>
      <c r="D152" t="s">
        <v>127</v>
      </c>
      <c r="E152" t="s">
        <v>41</v>
      </c>
      <c r="F152" t="s">
        <v>62</v>
      </c>
      <c r="G152" t="s">
        <v>43</v>
      </c>
      <c r="H152" t="s">
        <v>38</v>
      </c>
      <c r="I152" t="s">
        <v>82</v>
      </c>
      <c r="J152">
        <v>38</v>
      </c>
      <c r="K152">
        <v>8365.83</v>
      </c>
      <c r="L152">
        <v>317901.53999999998</v>
      </c>
      <c r="M152">
        <v>22461.34</v>
      </c>
      <c r="N152">
        <v>0</v>
      </c>
      <c r="O152">
        <v>295440.2</v>
      </c>
      <c r="P152" t="s">
        <v>73</v>
      </c>
      <c r="Q152" t="s">
        <v>32</v>
      </c>
    </row>
    <row r="153" spans="1:17" x14ac:dyDescent="0.25">
      <c r="A153" t="s">
        <v>269</v>
      </c>
      <c r="B153" s="1">
        <v>46016</v>
      </c>
      <c r="C153" t="s">
        <v>54</v>
      </c>
      <c r="D153" t="s">
        <v>133</v>
      </c>
      <c r="E153" t="s">
        <v>41</v>
      </c>
      <c r="F153" t="s">
        <v>84</v>
      </c>
      <c r="G153" t="s">
        <v>51</v>
      </c>
      <c r="H153" t="s">
        <v>67</v>
      </c>
      <c r="I153" t="s">
        <v>154</v>
      </c>
      <c r="J153">
        <v>25</v>
      </c>
      <c r="K153">
        <v>41403.97</v>
      </c>
      <c r="L153">
        <v>1035099.25</v>
      </c>
      <c r="M153">
        <v>0</v>
      </c>
      <c r="N153">
        <v>0</v>
      </c>
      <c r="O153">
        <v>1035099.25</v>
      </c>
      <c r="P153" t="s">
        <v>32</v>
      </c>
      <c r="Q153" t="s">
        <v>32</v>
      </c>
    </row>
    <row r="154" spans="1:17" x14ac:dyDescent="0.25">
      <c r="A154" t="s">
        <v>270</v>
      </c>
      <c r="B154" s="1">
        <v>46016</v>
      </c>
      <c r="C154" t="s">
        <v>60</v>
      </c>
      <c r="D154" t="s">
        <v>61</v>
      </c>
      <c r="E154" t="s">
        <v>35</v>
      </c>
      <c r="F154" t="s">
        <v>71</v>
      </c>
      <c r="G154" t="s">
        <v>98</v>
      </c>
      <c r="H154" t="s">
        <v>44</v>
      </c>
      <c r="I154" t="s">
        <v>135</v>
      </c>
      <c r="J154">
        <v>47</v>
      </c>
      <c r="K154">
        <v>1442.05</v>
      </c>
      <c r="L154">
        <v>67776.350000000006</v>
      </c>
      <c r="M154">
        <v>13433.86</v>
      </c>
      <c r="N154">
        <v>0</v>
      </c>
      <c r="O154">
        <v>54342.49</v>
      </c>
      <c r="P154" t="s">
        <v>73</v>
      </c>
      <c r="Q154" t="s">
        <v>32</v>
      </c>
    </row>
    <row r="155" spans="1:17" x14ac:dyDescent="0.25">
      <c r="A155" t="s">
        <v>271</v>
      </c>
      <c r="B155" s="1">
        <v>46013</v>
      </c>
      <c r="C155" t="s">
        <v>18</v>
      </c>
      <c r="D155" t="s">
        <v>34</v>
      </c>
      <c r="E155" t="s">
        <v>20</v>
      </c>
      <c r="F155" t="s">
        <v>112</v>
      </c>
      <c r="G155" t="s">
        <v>22</v>
      </c>
      <c r="H155" t="s">
        <v>44</v>
      </c>
      <c r="I155" t="s">
        <v>135</v>
      </c>
      <c r="J155">
        <v>46</v>
      </c>
      <c r="K155">
        <v>22768.5</v>
      </c>
      <c r="L155">
        <v>1047351</v>
      </c>
      <c r="M155">
        <v>81661.5</v>
      </c>
      <c r="N155">
        <v>0</v>
      </c>
      <c r="O155">
        <v>965689.5</v>
      </c>
      <c r="P155" t="s">
        <v>73</v>
      </c>
      <c r="Q155" t="s">
        <v>32</v>
      </c>
    </row>
    <row r="156" spans="1:17" x14ac:dyDescent="0.25">
      <c r="A156" t="s">
        <v>272</v>
      </c>
      <c r="B156" s="1">
        <v>45981</v>
      </c>
      <c r="C156" t="s">
        <v>18</v>
      </c>
      <c r="D156" t="s">
        <v>75</v>
      </c>
      <c r="E156" t="s">
        <v>49</v>
      </c>
      <c r="F156" t="s">
        <v>21</v>
      </c>
      <c r="G156" t="s">
        <v>85</v>
      </c>
      <c r="H156" t="s">
        <v>67</v>
      </c>
      <c r="I156" t="s">
        <v>77</v>
      </c>
      <c r="J156">
        <v>4</v>
      </c>
      <c r="K156">
        <v>47690.7</v>
      </c>
      <c r="L156">
        <v>190762.8</v>
      </c>
      <c r="M156">
        <v>9532.9699999999993</v>
      </c>
      <c r="N156">
        <v>0</v>
      </c>
      <c r="O156">
        <v>181229.83</v>
      </c>
      <c r="P156" t="s">
        <v>32</v>
      </c>
      <c r="Q156" t="s">
        <v>32</v>
      </c>
    </row>
    <row r="157" spans="1:17" x14ac:dyDescent="0.25">
      <c r="A157" t="s">
        <v>273</v>
      </c>
      <c r="B157" s="1">
        <v>46008</v>
      </c>
      <c r="C157" t="s">
        <v>79</v>
      </c>
      <c r="D157" t="s">
        <v>91</v>
      </c>
      <c r="E157" t="s">
        <v>41</v>
      </c>
      <c r="F157" t="s">
        <v>71</v>
      </c>
      <c r="G157" t="s">
        <v>85</v>
      </c>
      <c r="H157" t="s">
        <v>94</v>
      </c>
      <c r="I157" t="s">
        <v>115</v>
      </c>
      <c r="J157">
        <v>9</v>
      </c>
      <c r="K157">
        <v>30743.88</v>
      </c>
      <c r="L157">
        <v>276694.92</v>
      </c>
      <c r="M157">
        <v>50990.49</v>
      </c>
      <c r="N157">
        <v>0</v>
      </c>
      <c r="O157">
        <v>225704.43</v>
      </c>
      <c r="P157" t="s">
        <v>73</v>
      </c>
      <c r="Q157" t="s">
        <v>26</v>
      </c>
    </row>
    <row r="158" spans="1:17" x14ac:dyDescent="0.25">
      <c r="A158" t="s">
        <v>274</v>
      </c>
      <c r="B158" s="1">
        <v>45956</v>
      </c>
      <c r="C158" t="s">
        <v>47</v>
      </c>
      <c r="D158" t="s">
        <v>114</v>
      </c>
      <c r="E158" t="s">
        <v>41</v>
      </c>
      <c r="F158" t="s">
        <v>112</v>
      </c>
      <c r="G158" t="s">
        <v>37</v>
      </c>
      <c r="H158" t="s">
        <v>38</v>
      </c>
      <c r="I158" t="s">
        <v>175</v>
      </c>
      <c r="J158">
        <v>45</v>
      </c>
      <c r="K158">
        <v>30464.67</v>
      </c>
      <c r="L158">
        <v>1370910.15</v>
      </c>
      <c r="M158">
        <v>873.78</v>
      </c>
      <c r="N158">
        <v>233867.49</v>
      </c>
      <c r="O158">
        <v>1136168.8799999999</v>
      </c>
      <c r="P158" t="s">
        <v>73</v>
      </c>
      <c r="Q158" t="s">
        <v>32</v>
      </c>
    </row>
    <row r="159" spans="1:17" x14ac:dyDescent="0.25">
      <c r="A159" t="s">
        <v>275</v>
      </c>
      <c r="B159" s="1">
        <v>46025</v>
      </c>
      <c r="C159" t="s">
        <v>60</v>
      </c>
      <c r="D159" t="s">
        <v>151</v>
      </c>
      <c r="E159" t="s">
        <v>49</v>
      </c>
      <c r="F159" t="s">
        <v>137</v>
      </c>
      <c r="G159" t="s">
        <v>81</v>
      </c>
      <c r="H159" t="s">
        <v>44</v>
      </c>
      <c r="I159" t="s">
        <v>152</v>
      </c>
      <c r="J159">
        <v>31</v>
      </c>
      <c r="K159">
        <v>21843.81</v>
      </c>
      <c r="L159">
        <v>677158.11</v>
      </c>
      <c r="M159">
        <v>0</v>
      </c>
      <c r="N159">
        <v>0</v>
      </c>
      <c r="O159">
        <v>677158.11</v>
      </c>
      <c r="P159" t="s">
        <v>25</v>
      </c>
      <c r="Q159" t="s">
        <v>26</v>
      </c>
    </row>
    <row r="160" spans="1:17" x14ac:dyDescent="0.25">
      <c r="A160" t="s">
        <v>276</v>
      </c>
      <c r="B160" s="1">
        <v>46038</v>
      </c>
      <c r="C160" t="s">
        <v>54</v>
      </c>
      <c r="D160" t="s">
        <v>55</v>
      </c>
      <c r="E160" t="s">
        <v>41</v>
      </c>
      <c r="F160" t="s">
        <v>21</v>
      </c>
      <c r="G160" t="s">
        <v>89</v>
      </c>
      <c r="H160" t="s">
        <v>94</v>
      </c>
      <c r="I160" t="s">
        <v>163</v>
      </c>
      <c r="J160">
        <v>14</v>
      </c>
      <c r="K160">
        <v>18692.29</v>
      </c>
      <c r="L160">
        <v>261692.06</v>
      </c>
      <c r="M160">
        <v>0</v>
      </c>
      <c r="N160">
        <v>0</v>
      </c>
      <c r="O160">
        <v>261692.06</v>
      </c>
      <c r="P160" t="s">
        <v>32</v>
      </c>
      <c r="Q160" t="s">
        <v>32</v>
      </c>
    </row>
    <row r="161" spans="1:17" x14ac:dyDescent="0.25">
      <c r="A161" t="s">
        <v>277</v>
      </c>
      <c r="B161" s="1">
        <v>46015</v>
      </c>
      <c r="C161" t="s">
        <v>18</v>
      </c>
      <c r="D161" t="s">
        <v>19</v>
      </c>
      <c r="E161" t="s">
        <v>20</v>
      </c>
      <c r="F161" t="s">
        <v>21</v>
      </c>
      <c r="G161" t="s">
        <v>85</v>
      </c>
      <c r="H161" t="s">
        <v>23</v>
      </c>
      <c r="I161" t="s">
        <v>99</v>
      </c>
      <c r="J161">
        <v>39</v>
      </c>
      <c r="K161">
        <v>46995.6</v>
      </c>
      <c r="L161">
        <v>1832828.4</v>
      </c>
      <c r="M161">
        <v>48591.28</v>
      </c>
      <c r="N161">
        <v>0</v>
      </c>
      <c r="O161">
        <v>1784237.12</v>
      </c>
      <c r="P161" t="s">
        <v>31</v>
      </c>
      <c r="Q161" t="s">
        <v>32</v>
      </c>
    </row>
    <row r="162" spans="1:17" x14ac:dyDescent="0.25">
      <c r="A162" t="s">
        <v>278</v>
      </c>
      <c r="B162" s="1">
        <v>46014</v>
      </c>
      <c r="C162" t="s">
        <v>79</v>
      </c>
      <c r="D162" t="s">
        <v>80</v>
      </c>
      <c r="E162" t="s">
        <v>49</v>
      </c>
      <c r="F162" t="s">
        <v>42</v>
      </c>
      <c r="G162" t="s">
        <v>56</v>
      </c>
      <c r="H162" t="s">
        <v>57</v>
      </c>
      <c r="I162" t="s">
        <v>118</v>
      </c>
      <c r="J162">
        <v>46</v>
      </c>
      <c r="K162">
        <v>33872.14</v>
      </c>
      <c r="L162">
        <v>1558118.44</v>
      </c>
      <c r="M162">
        <v>198543.17</v>
      </c>
      <c r="N162">
        <v>0</v>
      </c>
      <c r="O162">
        <v>1359575.27</v>
      </c>
      <c r="P162" t="s">
        <v>73</v>
      </c>
      <c r="Q162" t="s">
        <v>32</v>
      </c>
    </row>
    <row r="163" spans="1:17" x14ac:dyDescent="0.25">
      <c r="A163" t="s">
        <v>279</v>
      </c>
      <c r="B163" s="1">
        <v>45997</v>
      </c>
      <c r="C163" t="s">
        <v>60</v>
      </c>
      <c r="D163" t="s">
        <v>61</v>
      </c>
      <c r="E163" t="s">
        <v>20</v>
      </c>
      <c r="F163" t="s">
        <v>84</v>
      </c>
      <c r="G163" t="s">
        <v>66</v>
      </c>
      <c r="H163" t="s">
        <v>44</v>
      </c>
      <c r="I163" t="s">
        <v>141</v>
      </c>
      <c r="J163">
        <v>44</v>
      </c>
      <c r="K163">
        <v>33884.129999999997</v>
      </c>
      <c r="L163">
        <v>1490901.72</v>
      </c>
      <c r="M163">
        <v>0</v>
      </c>
      <c r="N163">
        <v>0</v>
      </c>
      <c r="O163">
        <v>1490901.72</v>
      </c>
      <c r="P163" t="s">
        <v>32</v>
      </c>
      <c r="Q163" t="s">
        <v>32</v>
      </c>
    </row>
    <row r="164" spans="1:17" x14ac:dyDescent="0.25">
      <c r="A164" t="s">
        <v>280</v>
      </c>
      <c r="B164" s="1">
        <v>46040</v>
      </c>
      <c r="C164" t="s">
        <v>47</v>
      </c>
      <c r="D164" t="s">
        <v>48</v>
      </c>
      <c r="E164" t="s">
        <v>20</v>
      </c>
      <c r="F164" t="s">
        <v>62</v>
      </c>
      <c r="G164" t="s">
        <v>56</v>
      </c>
      <c r="H164" t="s">
        <v>44</v>
      </c>
      <c r="I164" t="s">
        <v>281</v>
      </c>
      <c r="J164">
        <v>46</v>
      </c>
      <c r="K164">
        <v>3434.66</v>
      </c>
      <c r="L164">
        <v>157994.35999999999</v>
      </c>
      <c r="M164">
        <v>2842.72</v>
      </c>
      <c r="N164">
        <v>0</v>
      </c>
      <c r="O164">
        <v>155151.64000000001</v>
      </c>
      <c r="P164" t="s">
        <v>31</v>
      </c>
      <c r="Q164" t="s">
        <v>32</v>
      </c>
    </row>
    <row r="165" spans="1:17" x14ac:dyDescent="0.25">
      <c r="A165" t="s">
        <v>282</v>
      </c>
      <c r="B165" s="1">
        <v>46018</v>
      </c>
      <c r="C165" t="s">
        <v>47</v>
      </c>
      <c r="D165" t="s">
        <v>114</v>
      </c>
      <c r="E165" t="s">
        <v>35</v>
      </c>
      <c r="F165" t="s">
        <v>112</v>
      </c>
      <c r="G165" t="s">
        <v>51</v>
      </c>
      <c r="H165" t="s">
        <v>38</v>
      </c>
      <c r="I165" t="s">
        <v>108</v>
      </c>
      <c r="J165">
        <v>28</v>
      </c>
      <c r="K165">
        <v>28183.55</v>
      </c>
      <c r="L165">
        <v>789139.4</v>
      </c>
      <c r="M165">
        <v>0</v>
      </c>
      <c r="N165">
        <v>0</v>
      </c>
      <c r="O165">
        <v>789139.4</v>
      </c>
      <c r="P165" t="s">
        <v>32</v>
      </c>
      <c r="Q165" t="s">
        <v>32</v>
      </c>
    </row>
    <row r="166" spans="1:17" x14ac:dyDescent="0.25">
      <c r="A166" t="s">
        <v>283</v>
      </c>
      <c r="B166" s="1">
        <v>46045</v>
      </c>
      <c r="C166" t="s">
        <v>47</v>
      </c>
      <c r="D166" t="s">
        <v>114</v>
      </c>
      <c r="E166" t="s">
        <v>20</v>
      </c>
      <c r="F166" t="s">
        <v>36</v>
      </c>
      <c r="G166" t="s">
        <v>29</v>
      </c>
      <c r="H166" t="s">
        <v>57</v>
      </c>
      <c r="I166" t="s">
        <v>118</v>
      </c>
      <c r="J166">
        <v>41</v>
      </c>
      <c r="K166">
        <v>43109.120000000003</v>
      </c>
      <c r="L166">
        <v>1767473.92</v>
      </c>
      <c r="M166">
        <v>183495.41</v>
      </c>
      <c r="N166">
        <v>0</v>
      </c>
      <c r="O166">
        <v>1583978.51</v>
      </c>
      <c r="P166" t="s">
        <v>73</v>
      </c>
      <c r="Q166" t="s">
        <v>26</v>
      </c>
    </row>
    <row r="167" spans="1:17" x14ac:dyDescent="0.25">
      <c r="A167" t="s">
        <v>284</v>
      </c>
      <c r="B167" s="1">
        <v>45993</v>
      </c>
      <c r="C167" t="s">
        <v>47</v>
      </c>
      <c r="D167" t="s">
        <v>88</v>
      </c>
      <c r="E167" t="s">
        <v>20</v>
      </c>
      <c r="F167" t="s">
        <v>21</v>
      </c>
      <c r="G167" t="s">
        <v>37</v>
      </c>
      <c r="H167" t="s">
        <v>94</v>
      </c>
      <c r="I167" t="s">
        <v>177</v>
      </c>
      <c r="J167">
        <v>19</v>
      </c>
      <c r="K167">
        <v>2097.04</v>
      </c>
      <c r="L167">
        <v>39843.760000000002</v>
      </c>
      <c r="M167">
        <v>0</v>
      </c>
      <c r="N167">
        <v>0</v>
      </c>
      <c r="O167">
        <v>39843.760000000002</v>
      </c>
      <c r="P167" t="s">
        <v>73</v>
      </c>
      <c r="Q167" t="s">
        <v>26</v>
      </c>
    </row>
    <row r="168" spans="1:17" x14ac:dyDescent="0.25">
      <c r="A168" t="s">
        <v>285</v>
      </c>
      <c r="B168" s="1">
        <v>45955</v>
      </c>
      <c r="C168" t="s">
        <v>18</v>
      </c>
      <c r="D168" t="s">
        <v>34</v>
      </c>
      <c r="E168" t="s">
        <v>35</v>
      </c>
      <c r="F168" t="s">
        <v>42</v>
      </c>
      <c r="G168" t="s">
        <v>138</v>
      </c>
      <c r="H168" t="s">
        <v>23</v>
      </c>
      <c r="I168" t="s">
        <v>24</v>
      </c>
      <c r="J168">
        <v>8</v>
      </c>
      <c r="K168">
        <v>2476.6799999999998</v>
      </c>
      <c r="L168">
        <v>19813.439999999999</v>
      </c>
      <c r="M168">
        <v>1147.71</v>
      </c>
      <c r="N168">
        <v>0</v>
      </c>
      <c r="O168">
        <v>18665.73</v>
      </c>
      <c r="P168" t="s">
        <v>31</v>
      </c>
      <c r="Q168" t="s">
        <v>32</v>
      </c>
    </row>
    <row r="169" spans="1:17" x14ac:dyDescent="0.25">
      <c r="A169" t="s">
        <v>286</v>
      </c>
      <c r="B169" s="1">
        <v>45988</v>
      </c>
      <c r="C169" t="s">
        <v>47</v>
      </c>
      <c r="D169" t="s">
        <v>48</v>
      </c>
      <c r="E169" t="s">
        <v>20</v>
      </c>
      <c r="F169" t="s">
        <v>36</v>
      </c>
      <c r="G169" t="s">
        <v>98</v>
      </c>
      <c r="H169" t="s">
        <v>38</v>
      </c>
      <c r="I169" t="s">
        <v>86</v>
      </c>
      <c r="J169">
        <v>44</v>
      </c>
      <c r="K169">
        <v>16539.29</v>
      </c>
      <c r="L169">
        <v>727728.76</v>
      </c>
      <c r="M169">
        <v>46386.99</v>
      </c>
      <c r="N169">
        <v>0</v>
      </c>
      <c r="O169">
        <v>681341.77</v>
      </c>
      <c r="P169" t="s">
        <v>73</v>
      </c>
      <c r="Q169" t="s">
        <v>32</v>
      </c>
    </row>
    <row r="170" spans="1:17" x14ac:dyDescent="0.25">
      <c r="A170" t="s">
        <v>287</v>
      </c>
      <c r="B170" s="1">
        <v>46029</v>
      </c>
      <c r="C170" t="s">
        <v>18</v>
      </c>
      <c r="D170" t="s">
        <v>75</v>
      </c>
      <c r="E170" t="s">
        <v>20</v>
      </c>
      <c r="F170" t="s">
        <v>71</v>
      </c>
      <c r="G170" t="s">
        <v>37</v>
      </c>
      <c r="H170" t="s">
        <v>67</v>
      </c>
      <c r="I170" t="s">
        <v>77</v>
      </c>
      <c r="J170">
        <v>42</v>
      </c>
      <c r="K170">
        <v>33246.46</v>
      </c>
      <c r="L170">
        <v>1396351.32</v>
      </c>
      <c r="M170">
        <v>154366.21</v>
      </c>
      <c r="N170">
        <v>0</v>
      </c>
      <c r="O170">
        <v>1241985.1100000001</v>
      </c>
      <c r="P170" t="s">
        <v>73</v>
      </c>
      <c r="Q170" t="s">
        <v>32</v>
      </c>
    </row>
    <row r="171" spans="1:17" x14ac:dyDescent="0.25">
      <c r="A171" t="s">
        <v>288</v>
      </c>
      <c r="B171" s="1">
        <v>45957</v>
      </c>
      <c r="C171" t="s">
        <v>60</v>
      </c>
      <c r="D171" t="s">
        <v>123</v>
      </c>
      <c r="E171" t="s">
        <v>49</v>
      </c>
      <c r="F171" t="s">
        <v>36</v>
      </c>
      <c r="G171" t="s">
        <v>56</v>
      </c>
      <c r="H171" t="s">
        <v>44</v>
      </c>
      <c r="I171" t="s">
        <v>135</v>
      </c>
      <c r="J171">
        <v>24</v>
      </c>
      <c r="K171">
        <v>21581.24</v>
      </c>
      <c r="L171">
        <v>517949.76</v>
      </c>
      <c r="M171">
        <v>26340.6</v>
      </c>
      <c r="N171">
        <v>0</v>
      </c>
      <c r="O171">
        <v>491609.16</v>
      </c>
      <c r="P171" t="s">
        <v>32</v>
      </c>
      <c r="Q171" t="s">
        <v>32</v>
      </c>
    </row>
    <row r="172" spans="1:17" x14ac:dyDescent="0.25">
      <c r="A172" t="s">
        <v>289</v>
      </c>
      <c r="B172" s="1">
        <v>46029</v>
      </c>
      <c r="C172" t="s">
        <v>79</v>
      </c>
      <c r="D172" t="s">
        <v>91</v>
      </c>
      <c r="E172" t="s">
        <v>49</v>
      </c>
      <c r="F172" t="s">
        <v>62</v>
      </c>
      <c r="G172" t="s">
        <v>89</v>
      </c>
      <c r="H172" t="s">
        <v>44</v>
      </c>
      <c r="I172" t="s">
        <v>152</v>
      </c>
      <c r="J172">
        <v>32</v>
      </c>
      <c r="K172">
        <v>28342.36</v>
      </c>
      <c r="L172">
        <v>906955.52</v>
      </c>
      <c r="M172">
        <v>150514.81</v>
      </c>
      <c r="N172">
        <v>0</v>
      </c>
      <c r="O172">
        <v>756440.71</v>
      </c>
      <c r="P172" t="s">
        <v>32</v>
      </c>
      <c r="Q172" t="s">
        <v>26</v>
      </c>
    </row>
    <row r="173" spans="1:17" x14ac:dyDescent="0.25">
      <c r="A173" t="s">
        <v>290</v>
      </c>
      <c r="B173" s="1">
        <v>45987</v>
      </c>
      <c r="C173" t="s">
        <v>60</v>
      </c>
      <c r="D173" t="s">
        <v>123</v>
      </c>
      <c r="E173" t="s">
        <v>20</v>
      </c>
      <c r="F173" t="s">
        <v>84</v>
      </c>
      <c r="G173" t="s">
        <v>56</v>
      </c>
      <c r="H173" t="s">
        <v>67</v>
      </c>
      <c r="I173" t="s">
        <v>103</v>
      </c>
      <c r="J173">
        <v>41</v>
      </c>
      <c r="K173">
        <v>3881.07</v>
      </c>
      <c r="L173">
        <v>159123.87</v>
      </c>
      <c r="M173">
        <v>17775</v>
      </c>
      <c r="N173">
        <v>25586.89</v>
      </c>
      <c r="O173">
        <v>115761.98</v>
      </c>
      <c r="P173" t="s">
        <v>73</v>
      </c>
      <c r="Q173" t="s">
        <v>32</v>
      </c>
    </row>
    <row r="174" spans="1:17" x14ac:dyDescent="0.25">
      <c r="A174" t="s">
        <v>291</v>
      </c>
      <c r="B174" s="1">
        <v>46022</v>
      </c>
      <c r="C174" t="s">
        <v>18</v>
      </c>
      <c r="D174" t="s">
        <v>28</v>
      </c>
      <c r="E174" t="s">
        <v>20</v>
      </c>
      <c r="F174" t="s">
        <v>71</v>
      </c>
      <c r="G174" t="s">
        <v>43</v>
      </c>
      <c r="H174" t="s">
        <v>44</v>
      </c>
      <c r="I174" t="s">
        <v>141</v>
      </c>
      <c r="J174">
        <v>48</v>
      </c>
      <c r="K174">
        <v>23835.48</v>
      </c>
      <c r="L174">
        <v>1144103.04</v>
      </c>
      <c r="M174">
        <v>214705.9</v>
      </c>
      <c r="N174">
        <v>0</v>
      </c>
      <c r="O174">
        <v>929397.14</v>
      </c>
      <c r="P174" t="s">
        <v>31</v>
      </c>
      <c r="Q174" t="s">
        <v>32</v>
      </c>
    </row>
    <row r="175" spans="1:17" x14ac:dyDescent="0.25">
      <c r="A175" t="s">
        <v>292</v>
      </c>
      <c r="B175" s="1">
        <v>46037</v>
      </c>
      <c r="C175" t="s">
        <v>47</v>
      </c>
      <c r="D175" t="s">
        <v>48</v>
      </c>
      <c r="E175" t="s">
        <v>41</v>
      </c>
      <c r="F175" t="s">
        <v>36</v>
      </c>
      <c r="G175" t="s">
        <v>29</v>
      </c>
      <c r="H175" t="s">
        <v>23</v>
      </c>
      <c r="I175" t="s">
        <v>30</v>
      </c>
      <c r="J175">
        <v>36</v>
      </c>
      <c r="K175">
        <v>45896.94</v>
      </c>
      <c r="L175">
        <v>1652289.84</v>
      </c>
      <c r="M175">
        <v>324011.88</v>
      </c>
      <c r="N175">
        <v>0</v>
      </c>
      <c r="O175">
        <v>1328277.96</v>
      </c>
      <c r="P175" t="s">
        <v>31</v>
      </c>
      <c r="Q175" t="s">
        <v>32</v>
      </c>
    </row>
    <row r="176" spans="1:17" x14ac:dyDescent="0.25">
      <c r="A176" t="s">
        <v>293</v>
      </c>
      <c r="B176" s="1">
        <v>46026</v>
      </c>
      <c r="C176" t="s">
        <v>47</v>
      </c>
      <c r="D176" t="s">
        <v>88</v>
      </c>
      <c r="E176" t="s">
        <v>20</v>
      </c>
      <c r="F176" t="s">
        <v>84</v>
      </c>
      <c r="G176" t="s">
        <v>140</v>
      </c>
      <c r="H176" t="s">
        <v>57</v>
      </c>
      <c r="I176" t="s">
        <v>118</v>
      </c>
      <c r="J176">
        <v>7</v>
      </c>
      <c r="K176">
        <v>8322.1299999999992</v>
      </c>
      <c r="L176">
        <v>58254.91</v>
      </c>
      <c r="M176">
        <v>833.34</v>
      </c>
      <c r="N176">
        <v>0</v>
      </c>
      <c r="O176">
        <v>57421.57</v>
      </c>
      <c r="P176" t="s">
        <v>32</v>
      </c>
      <c r="Q176" t="s">
        <v>26</v>
      </c>
    </row>
    <row r="177" spans="1:17" x14ac:dyDescent="0.25">
      <c r="A177" t="s">
        <v>294</v>
      </c>
      <c r="B177" s="1">
        <v>46024</v>
      </c>
      <c r="C177" t="s">
        <v>18</v>
      </c>
      <c r="D177" t="s">
        <v>34</v>
      </c>
      <c r="E177" t="s">
        <v>49</v>
      </c>
      <c r="F177" t="s">
        <v>42</v>
      </c>
      <c r="G177" t="s">
        <v>98</v>
      </c>
      <c r="H177" t="s">
        <v>23</v>
      </c>
      <c r="I177" t="s">
        <v>131</v>
      </c>
      <c r="J177">
        <v>6</v>
      </c>
      <c r="K177">
        <v>47438.02</v>
      </c>
      <c r="L177">
        <v>284628.12</v>
      </c>
      <c r="M177">
        <v>0</v>
      </c>
      <c r="N177">
        <v>0</v>
      </c>
      <c r="O177">
        <v>284628.12</v>
      </c>
      <c r="P177" t="s">
        <v>32</v>
      </c>
      <c r="Q177" t="s">
        <v>32</v>
      </c>
    </row>
    <row r="178" spans="1:17" x14ac:dyDescent="0.25">
      <c r="A178" t="s">
        <v>295</v>
      </c>
      <c r="B178" s="1">
        <v>45978</v>
      </c>
      <c r="C178" t="s">
        <v>47</v>
      </c>
      <c r="D178" t="s">
        <v>88</v>
      </c>
      <c r="E178" t="s">
        <v>35</v>
      </c>
      <c r="F178" t="s">
        <v>62</v>
      </c>
      <c r="G178" t="s">
        <v>63</v>
      </c>
      <c r="H178" t="s">
        <v>67</v>
      </c>
      <c r="I178" t="s">
        <v>154</v>
      </c>
      <c r="J178">
        <v>11</v>
      </c>
      <c r="K178">
        <v>11555.36</v>
      </c>
      <c r="L178">
        <v>127108.96</v>
      </c>
      <c r="M178">
        <v>0</v>
      </c>
      <c r="N178">
        <v>0</v>
      </c>
      <c r="O178">
        <v>127108.96</v>
      </c>
      <c r="P178" t="s">
        <v>31</v>
      </c>
      <c r="Q178" t="s">
        <v>32</v>
      </c>
    </row>
    <row r="179" spans="1:17" x14ac:dyDescent="0.25">
      <c r="A179" t="s">
        <v>296</v>
      </c>
      <c r="B179" s="1">
        <v>45988</v>
      </c>
      <c r="C179" t="s">
        <v>54</v>
      </c>
      <c r="D179" t="s">
        <v>97</v>
      </c>
      <c r="E179" t="s">
        <v>20</v>
      </c>
      <c r="F179" t="s">
        <v>36</v>
      </c>
      <c r="G179" t="s">
        <v>63</v>
      </c>
      <c r="H179" t="s">
        <v>38</v>
      </c>
      <c r="I179" t="s">
        <v>108</v>
      </c>
      <c r="J179">
        <v>50</v>
      </c>
      <c r="K179">
        <v>19608.47</v>
      </c>
      <c r="L179">
        <v>980423.5</v>
      </c>
      <c r="M179">
        <v>122136.65</v>
      </c>
      <c r="N179">
        <v>0</v>
      </c>
      <c r="O179">
        <v>858286.85</v>
      </c>
      <c r="P179" t="s">
        <v>73</v>
      </c>
      <c r="Q179" t="s">
        <v>32</v>
      </c>
    </row>
    <row r="180" spans="1:17" x14ac:dyDescent="0.25">
      <c r="A180" t="s">
        <v>297</v>
      </c>
      <c r="B180" s="1">
        <v>46040</v>
      </c>
      <c r="C180" t="s">
        <v>54</v>
      </c>
      <c r="D180" t="s">
        <v>97</v>
      </c>
      <c r="E180" t="s">
        <v>20</v>
      </c>
      <c r="F180" t="s">
        <v>21</v>
      </c>
      <c r="G180" t="s">
        <v>51</v>
      </c>
      <c r="H180" t="s">
        <v>94</v>
      </c>
      <c r="I180" t="s">
        <v>144</v>
      </c>
      <c r="J180">
        <v>43</v>
      </c>
      <c r="K180">
        <v>15316.03</v>
      </c>
      <c r="L180">
        <v>658589.29</v>
      </c>
      <c r="M180">
        <v>0</v>
      </c>
      <c r="N180">
        <v>0</v>
      </c>
      <c r="O180">
        <v>658589.29</v>
      </c>
      <c r="P180" t="s">
        <v>32</v>
      </c>
      <c r="Q180" t="s">
        <v>32</v>
      </c>
    </row>
    <row r="181" spans="1:17" x14ac:dyDescent="0.25">
      <c r="A181" t="s">
        <v>298</v>
      </c>
      <c r="B181" s="1">
        <v>45961</v>
      </c>
      <c r="C181" t="s">
        <v>18</v>
      </c>
      <c r="D181" t="s">
        <v>34</v>
      </c>
      <c r="E181" t="s">
        <v>35</v>
      </c>
      <c r="F181" t="s">
        <v>36</v>
      </c>
      <c r="G181" t="s">
        <v>43</v>
      </c>
      <c r="H181" t="s">
        <v>67</v>
      </c>
      <c r="I181" t="s">
        <v>77</v>
      </c>
      <c r="J181">
        <v>22</v>
      </c>
      <c r="K181">
        <v>49532.82</v>
      </c>
      <c r="L181">
        <v>1089722.04</v>
      </c>
      <c r="M181">
        <v>0</v>
      </c>
      <c r="N181">
        <v>0</v>
      </c>
      <c r="O181">
        <v>1089722.04</v>
      </c>
      <c r="P181" t="s">
        <v>31</v>
      </c>
      <c r="Q181" t="s">
        <v>32</v>
      </c>
    </row>
    <row r="182" spans="1:17" x14ac:dyDescent="0.25">
      <c r="A182" t="s">
        <v>299</v>
      </c>
      <c r="B182" s="1">
        <v>46012</v>
      </c>
      <c r="C182" t="s">
        <v>60</v>
      </c>
      <c r="D182" t="s">
        <v>61</v>
      </c>
      <c r="E182" t="s">
        <v>35</v>
      </c>
      <c r="F182" t="s">
        <v>36</v>
      </c>
      <c r="G182" t="s">
        <v>29</v>
      </c>
      <c r="H182" t="s">
        <v>94</v>
      </c>
      <c r="I182" t="s">
        <v>115</v>
      </c>
      <c r="J182">
        <v>32</v>
      </c>
      <c r="K182">
        <v>49217.29</v>
      </c>
      <c r="L182">
        <v>1574953.28</v>
      </c>
      <c r="M182">
        <v>190371.64</v>
      </c>
      <c r="N182">
        <v>0</v>
      </c>
      <c r="O182">
        <v>1384581.64</v>
      </c>
      <c r="P182" t="s">
        <v>73</v>
      </c>
      <c r="Q182" t="s">
        <v>32</v>
      </c>
    </row>
    <row r="183" spans="1:17" x14ac:dyDescent="0.25">
      <c r="A183" t="s">
        <v>300</v>
      </c>
      <c r="B183" s="1">
        <v>46004</v>
      </c>
      <c r="C183" t="s">
        <v>60</v>
      </c>
      <c r="D183" t="s">
        <v>151</v>
      </c>
      <c r="E183" t="s">
        <v>41</v>
      </c>
      <c r="F183" t="s">
        <v>84</v>
      </c>
      <c r="G183" t="s">
        <v>43</v>
      </c>
      <c r="H183" t="s">
        <v>23</v>
      </c>
      <c r="I183" t="s">
        <v>110</v>
      </c>
      <c r="J183">
        <v>48</v>
      </c>
      <c r="K183">
        <v>4449.5</v>
      </c>
      <c r="L183">
        <v>213576</v>
      </c>
      <c r="M183">
        <v>0</v>
      </c>
      <c r="N183">
        <v>0</v>
      </c>
      <c r="O183">
        <v>213576</v>
      </c>
      <c r="P183" t="s">
        <v>73</v>
      </c>
      <c r="Q183" t="s">
        <v>26</v>
      </c>
    </row>
    <row r="184" spans="1:17" x14ac:dyDescent="0.25">
      <c r="A184" t="s">
        <v>301</v>
      </c>
      <c r="B184" s="1">
        <v>46034</v>
      </c>
      <c r="C184" t="s">
        <v>54</v>
      </c>
      <c r="D184" t="s">
        <v>97</v>
      </c>
      <c r="E184" t="s">
        <v>35</v>
      </c>
      <c r="F184" t="s">
        <v>50</v>
      </c>
      <c r="G184" t="s">
        <v>56</v>
      </c>
      <c r="H184" t="s">
        <v>23</v>
      </c>
      <c r="I184" t="s">
        <v>24</v>
      </c>
      <c r="J184">
        <v>50</v>
      </c>
      <c r="K184">
        <v>7634.49</v>
      </c>
      <c r="L184">
        <v>381724.5</v>
      </c>
      <c r="M184">
        <v>59044.6</v>
      </c>
      <c r="N184">
        <v>0</v>
      </c>
      <c r="O184">
        <v>322679.90000000002</v>
      </c>
      <c r="P184" t="s">
        <v>73</v>
      </c>
      <c r="Q184" t="s">
        <v>32</v>
      </c>
    </row>
    <row r="185" spans="1:17" x14ac:dyDescent="0.25">
      <c r="A185" t="s">
        <v>302</v>
      </c>
      <c r="B185" s="1">
        <v>46040</v>
      </c>
      <c r="C185" t="s">
        <v>60</v>
      </c>
      <c r="D185" t="s">
        <v>123</v>
      </c>
      <c r="E185" t="s">
        <v>20</v>
      </c>
      <c r="F185" t="s">
        <v>36</v>
      </c>
      <c r="G185" t="s">
        <v>29</v>
      </c>
      <c r="H185" t="s">
        <v>44</v>
      </c>
      <c r="I185" t="s">
        <v>152</v>
      </c>
      <c r="J185">
        <v>7</v>
      </c>
      <c r="K185">
        <v>31659.95</v>
      </c>
      <c r="L185">
        <v>221619.65</v>
      </c>
      <c r="M185">
        <v>22458.29</v>
      </c>
      <c r="N185">
        <v>0</v>
      </c>
      <c r="O185">
        <v>199161.36</v>
      </c>
      <c r="P185" t="s">
        <v>73</v>
      </c>
      <c r="Q185" t="s">
        <v>32</v>
      </c>
    </row>
    <row r="186" spans="1:17" x14ac:dyDescent="0.25">
      <c r="A186" t="s">
        <v>303</v>
      </c>
      <c r="B186" s="1">
        <v>46033</v>
      </c>
      <c r="C186" t="s">
        <v>18</v>
      </c>
      <c r="D186" t="s">
        <v>34</v>
      </c>
      <c r="E186" t="s">
        <v>49</v>
      </c>
      <c r="F186" t="s">
        <v>62</v>
      </c>
      <c r="G186" t="s">
        <v>37</v>
      </c>
      <c r="H186" t="s">
        <v>94</v>
      </c>
      <c r="I186" t="s">
        <v>95</v>
      </c>
      <c r="J186">
        <v>26</v>
      </c>
      <c r="K186">
        <v>17700.46</v>
      </c>
      <c r="L186">
        <v>460211.96</v>
      </c>
      <c r="M186">
        <v>0</v>
      </c>
      <c r="N186">
        <v>36347.29</v>
      </c>
      <c r="O186">
        <v>423864.67</v>
      </c>
      <c r="P186" t="s">
        <v>32</v>
      </c>
      <c r="Q186" t="s">
        <v>26</v>
      </c>
    </row>
    <row r="187" spans="1:17" x14ac:dyDescent="0.25">
      <c r="A187" t="s">
        <v>304</v>
      </c>
      <c r="B187" s="1">
        <v>45985</v>
      </c>
      <c r="C187" t="s">
        <v>79</v>
      </c>
      <c r="D187" t="s">
        <v>107</v>
      </c>
      <c r="E187" t="s">
        <v>49</v>
      </c>
      <c r="F187" t="s">
        <v>42</v>
      </c>
      <c r="G187" t="s">
        <v>85</v>
      </c>
      <c r="H187" t="s">
        <v>94</v>
      </c>
      <c r="I187" t="s">
        <v>177</v>
      </c>
      <c r="J187">
        <v>33</v>
      </c>
      <c r="K187">
        <v>16678.8</v>
      </c>
      <c r="L187">
        <v>550400.4</v>
      </c>
      <c r="M187">
        <v>0</v>
      </c>
      <c r="N187">
        <v>0</v>
      </c>
      <c r="O187">
        <v>550400.4</v>
      </c>
      <c r="P187" t="s">
        <v>31</v>
      </c>
      <c r="Q187" t="s">
        <v>32</v>
      </c>
    </row>
    <row r="188" spans="1:17" x14ac:dyDescent="0.25">
      <c r="A188" t="s">
        <v>305</v>
      </c>
      <c r="B188" s="1">
        <v>45980</v>
      </c>
      <c r="C188" t="s">
        <v>54</v>
      </c>
      <c r="D188" t="s">
        <v>97</v>
      </c>
      <c r="E188" t="s">
        <v>35</v>
      </c>
      <c r="F188" t="s">
        <v>112</v>
      </c>
      <c r="G188" t="s">
        <v>63</v>
      </c>
      <c r="H188" t="s">
        <v>57</v>
      </c>
      <c r="I188" t="s">
        <v>148</v>
      </c>
      <c r="J188">
        <v>48</v>
      </c>
      <c r="K188">
        <v>43415.46</v>
      </c>
      <c r="L188">
        <v>2083942.08</v>
      </c>
      <c r="M188">
        <v>0</v>
      </c>
      <c r="N188">
        <v>595027.68000000005</v>
      </c>
      <c r="O188">
        <v>1488914.4</v>
      </c>
      <c r="P188" t="s">
        <v>73</v>
      </c>
      <c r="Q188" t="s">
        <v>32</v>
      </c>
    </row>
    <row r="189" spans="1:17" x14ac:dyDescent="0.25">
      <c r="A189" t="s">
        <v>306</v>
      </c>
      <c r="B189" s="1">
        <v>46017</v>
      </c>
      <c r="C189" t="s">
        <v>60</v>
      </c>
      <c r="D189" t="s">
        <v>123</v>
      </c>
      <c r="E189" t="s">
        <v>49</v>
      </c>
      <c r="F189" t="s">
        <v>137</v>
      </c>
      <c r="G189" t="s">
        <v>43</v>
      </c>
      <c r="H189" t="s">
        <v>94</v>
      </c>
      <c r="I189" t="s">
        <v>95</v>
      </c>
      <c r="J189">
        <v>49</v>
      </c>
      <c r="K189">
        <v>1362.78</v>
      </c>
      <c r="L189">
        <v>66776.22</v>
      </c>
      <c r="M189">
        <v>0</v>
      </c>
      <c r="N189">
        <v>13914.7</v>
      </c>
      <c r="O189">
        <v>52861.52</v>
      </c>
      <c r="P189" t="s">
        <v>25</v>
      </c>
      <c r="Q189" t="s">
        <v>26</v>
      </c>
    </row>
    <row r="190" spans="1:17" x14ac:dyDescent="0.25">
      <c r="A190" t="s">
        <v>307</v>
      </c>
      <c r="B190" s="1">
        <v>45971</v>
      </c>
      <c r="C190" t="s">
        <v>60</v>
      </c>
      <c r="D190" t="s">
        <v>123</v>
      </c>
      <c r="E190" t="s">
        <v>20</v>
      </c>
      <c r="F190" t="s">
        <v>21</v>
      </c>
      <c r="G190" t="s">
        <v>63</v>
      </c>
      <c r="H190" t="s">
        <v>38</v>
      </c>
      <c r="I190" t="s">
        <v>82</v>
      </c>
      <c r="J190">
        <v>18</v>
      </c>
      <c r="K190">
        <v>19292.11</v>
      </c>
      <c r="L190">
        <v>347257.98</v>
      </c>
      <c r="M190">
        <v>0</v>
      </c>
      <c r="N190">
        <v>37006.379999999997</v>
      </c>
      <c r="O190">
        <v>310251.59999999998</v>
      </c>
      <c r="P190" t="s">
        <v>32</v>
      </c>
      <c r="Q190" t="s">
        <v>32</v>
      </c>
    </row>
    <row r="191" spans="1:17" x14ac:dyDescent="0.25">
      <c r="A191" t="s">
        <v>308</v>
      </c>
      <c r="B191" s="1">
        <v>46035</v>
      </c>
      <c r="C191" t="s">
        <v>47</v>
      </c>
      <c r="D191" t="s">
        <v>127</v>
      </c>
      <c r="E191" t="s">
        <v>41</v>
      </c>
      <c r="F191" t="s">
        <v>137</v>
      </c>
      <c r="G191" t="s">
        <v>102</v>
      </c>
      <c r="H191" t="s">
        <v>23</v>
      </c>
      <c r="I191" t="s">
        <v>30</v>
      </c>
      <c r="J191">
        <v>12</v>
      </c>
      <c r="K191">
        <v>29959.81</v>
      </c>
      <c r="L191">
        <v>359517.72</v>
      </c>
      <c r="M191">
        <v>61671.92</v>
      </c>
      <c r="N191">
        <v>0</v>
      </c>
      <c r="O191">
        <v>297845.8</v>
      </c>
      <c r="P191" t="s">
        <v>25</v>
      </c>
      <c r="Q191" t="s">
        <v>26</v>
      </c>
    </row>
    <row r="192" spans="1:17" x14ac:dyDescent="0.25">
      <c r="A192" t="s">
        <v>309</v>
      </c>
      <c r="B192" s="1">
        <v>45964</v>
      </c>
      <c r="C192" t="s">
        <v>47</v>
      </c>
      <c r="D192" t="s">
        <v>114</v>
      </c>
      <c r="E192" t="s">
        <v>49</v>
      </c>
      <c r="F192" t="s">
        <v>50</v>
      </c>
      <c r="G192" t="s">
        <v>89</v>
      </c>
      <c r="H192" t="s">
        <v>57</v>
      </c>
      <c r="I192" t="s">
        <v>72</v>
      </c>
      <c r="J192">
        <v>4</v>
      </c>
      <c r="K192">
        <v>18094.84</v>
      </c>
      <c r="L192">
        <v>72379.360000000001</v>
      </c>
      <c r="M192">
        <v>7131.16</v>
      </c>
      <c r="N192">
        <v>0</v>
      </c>
      <c r="O192">
        <v>65248.2</v>
      </c>
      <c r="P192" t="s">
        <v>31</v>
      </c>
      <c r="Q192" t="s">
        <v>32</v>
      </c>
    </row>
    <row r="193" spans="1:17" x14ac:dyDescent="0.25">
      <c r="A193" t="s">
        <v>310</v>
      </c>
      <c r="B193" s="1">
        <v>46001</v>
      </c>
      <c r="C193" t="s">
        <v>79</v>
      </c>
      <c r="D193" t="s">
        <v>101</v>
      </c>
      <c r="E193" t="s">
        <v>41</v>
      </c>
      <c r="F193" t="s">
        <v>36</v>
      </c>
      <c r="G193" t="s">
        <v>51</v>
      </c>
      <c r="H193" t="s">
        <v>44</v>
      </c>
      <c r="I193" t="s">
        <v>124</v>
      </c>
      <c r="J193">
        <v>11</v>
      </c>
      <c r="K193">
        <v>48424.57</v>
      </c>
      <c r="L193">
        <v>532670.27</v>
      </c>
      <c r="M193">
        <v>67031.490000000005</v>
      </c>
      <c r="N193">
        <v>0</v>
      </c>
      <c r="O193">
        <v>465638.78</v>
      </c>
      <c r="P193" t="s">
        <v>31</v>
      </c>
      <c r="Q193" t="s">
        <v>32</v>
      </c>
    </row>
    <row r="194" spans="1:17" x14ac:dyDescent="0.25">
      <c r="A194" t="s">
        <v>311</v>
      </c>
      <c r="B194" s="1">
        <v>46023</v>
      </c>
      <c r="C194" t="s">
        <v>79</v>
      </c>
      <c r="D194" t="s">
        <v>80</v>
      </c>
      <c r="E194" t="s">
        <v>49</v>
      </c>
      <c r="F194" t="s">
        <v>50</v>
      </c>
      <c r="G194" t="s">
        <v>140</v>
      </c>
      <c r="H194" t="s">
        <v>57</v>
      </c>
      <c r="I194" t="s">
        <v>92</v>
      </c>
      <c r="J194">
        <v>14</v>
      </c>
      <c r="K194">
        <v>16359.86</v>
      </c>
      <c r="L194">
        <v>229038.04</v>
      </c>
      <c r="M194">
        <v>2726.09</v>
      </c>
      <c r="N194">
        <v>0</v>
      </c>
      <c r="O194">
        <v>226311.95</v>
      </c>
      <c r="P194" t="s">
        <v>25</v>
      </c>
      <c r="Q194" t="s">
        <v>26</v>
      </c>
    </row>
    <row r="195" spans="1:17" x14ac:dyDescent="0.25">
      <c r="A195" t="s">
        <v>312</v>
      </c>
      <c r="B195" s="1">
        <v>45954</v>
      </c>
      <c r="C195" t="s">
        <v>60</v>
      </c>
      <c r="D195" t="s">
        <v>61</v>
      </c>
      <c r="E195" t="s">
        <v>20</v>
      </c>
      <c r="F195" t="s">
        <v>21</v>
      </c>
      <c r="G195" t="s">
        <v>37</v>
      </c>
      <c r="H195" t="s">
        <v>23</v>
      </c>
      <c r="I195" t="s">
        <v>131</v>
      </c>
      <c r="J195">
        <v>16</v>
      </c>
      <c r="K195">
        <v>45214.81</v>
      </c>
      <c r="L195">
        <v>723436.96</v>
      </c>
      <c r="M195">
        <v>0</v>
      </c>
      <c r="N195">
        <v>2813.88</v>
      </c>
      <c r="O195">
        <v>720623.08</v>
      </c>
      <c r="P195" t="s">
        <v>32</v>
      </c>
      <c r="Q195" t="s">
        <v>32</v>
      </c>
    </row>
    <row r="196" spans="1:17" x14ac:dyDescent="0.25">
      <c r="A196" t="s">
        <v>313</v>
      </c>
      <c r="B196" s="1">
        <v>45964</v>
      </c>
      <c r="C196" t="s">
        <v>79</v>
      </c>
      <c r="D196" t="s">
        <v>80</v>
      </c>
      <c r="E196" t="s">
        <v>20</v>
      </c>
      <c r="F196" t="s">
        <v>36</v>
      </c>
      <c r="G196" t="s">
        <v>85</v>
      </c>
      <c r="H196" t="s">
        <v>44</v>
      </c>
      <c r="I196" t="s">
        <v>152</v>
      </c>
      <c r="J196">
        <v>3</v>
      </c>
      <c r="K196">
        <v>48166.41</v>
      </c>
      <c r="L196">
        <v>144499.23000000001</v>
      </c>
      <c r="M196">
        <v>16833.95</v>
      </c>
      <c r="N196">
        <v>5712.68</v>
      </c>
      <c r="O196">
        <v>121952.6</v>
      </c>
      <c r="P196" t="s">
        <v>25</v>
      </c>
      <c r="Q196" t="s">
        <v>26</v>
      </c>
    </row>
    <row r="197" spans="1:17" x14ac:dyDescent="0.25">
      <c r="A197" t="s">
        <v>314</v>
      </c>
      <c r="B197" s="1">
        <v>46002</v>
      </c>
      <c r="C197" t="s">
        <v>79</v>
      </c>
      <c r="D197" t="s">
        <v>91</v>
      </c>
      <c r="E197" t="s">
        <v>49</v>
      </c>
      <c r="F197" t="s">
        <v>42</v>
      </c>
      <c r="G197" t="s">
        <v>43</v>
      </c>
      <c r="H197" t="s">
        <v>94</v>
      </c>
      <c r="I197" t="s">
        <v>95</v>
      </c>
      <c r="J197">
        <v>11</v>
      </c>
      <c r="K197">
        <v>17695.599999999999</v>
      </c>
      <c r="L197">
        <v>194651.6</v>
      </c>
      <c r="M197">
        <v>23115.24</v>
      </c>
      <c r="N197">
        <v>0</v>
      </c>
      <c r="O197">
        <v>171536.36</v>
      </c>
      <c r="P197" t="s">
        <v>73</v>
      </c>
      <c r="Q197" t="s">
        <v>32</v>
      </c>
    </row>
    <row r="198" spans="1:17" x14ac:dyDescent="0.25">
      <c r="A198" t="s">
        <v>315</v>
      </c>
      <c r="B198" s="1">
        <v>45977</v>
      </c>
      <c r="C198" t="s">
        <v>18</v>
      </c>
      <c r="D198" t="s">
        <v>34</v>
      </c>
      <c r="E198" t="s">
        <v>35</v>
      </c>
      <c r="F198" t="s">
        <v>42</v>
      </c>
      <c r="G198" t="s">
        <v>98</v>
      </c>
      <c r="H198" t="s">
        <v>38</v>
      </c>
      <c r="I198" t="s">
        <v>108</v>
      </c>
      <c r="J198">
        <v>40</v>
      </c>
      <c r="K198">
        <v>40750.49</v>
      </c>
      <c r="L198">
        <v>1630019.6</v>
      </c>
      <c r="M198">
        <v>0</v>
      </c>
      <c r="N198">
        <v>0</v>
      </c>
      <c r="O198">
        <v>1630019.6</v>
      </c>
      <c r="P198" t="s">
        <v>31</v>
      </c>
      <c r="Q198" t="s">
        <v>32</v>
      </c>
    </row>
    <row r="199" spans="1:17" x14ac:dyDescent="0.25">
      <c r="A199" t="s">
        <v>316</v>
      </c>
      <c r="B199" s="1">
        <v>45995</v>
      </c>
      <c r="C199" t="s">
        <v>18</v>
      </c>
      <c r="D199" t="s">
        <v>34</v>
      </c>
      <c r="E199" t="s">
        <v>49</v>
      </c>
      <c r="F199" t="s">
        <v>42</v>
      </c>
      <c r="G199" t="s">
        <v>140</v>
      </c>
      <c r="H199" t="s">
        <v>44</v>
      </c>
      <c r="I199" t="s">
        <v>281</v>
      </c>
      <c r="J199">
        <v>11</v>
      </c>
      <c r="K199">
        <v>6219.81</v>
      </c>
      <c r="L199">
        <v>68417.91</v>
      </c>
      <c r="M199">
        <v>0</v>
      </c>
      <c r="N199">
        <v>0</v>
      </c>
      <c r="O199">
        <v>68417.91</v>
      </c>
      <c r="P199" t="s">
        <v>73</v>
      </c>
      <c r="Q199" t="s">
        <v>32</v>
      </c>
    </row>
    <row r="200" spans="1:17" x14ac:dyDescent="0.25">
      <c r="A200" t="s">
        <v>317</v>
      </c>
      <c r="B200" s="1">
        <v>45968</v>
      </c>
      <c r="C200" t="s">
        <v>47</v>
      </c>
      <c r="D200" t="s">
        <v>88</v>
      </c>
      <c r="E200" t="s">
        <v>35</v>
      </c>
      <c r="F200" t="s">
        <v>50</v>
      </c>
      <c r="G200" t="s">
        <v>37</v>
      </c>
      <c r="H200" t="s">
        <v>94</v>
      </c>
      <c r="I200" t="s">
        <v>193</v>
      </c>
      <c r="J200">
        <v>24</v>
      </c>
      <c r="K200">
        <v>37677.43</v>
      </c>
      <c r="L200">
        <v>904258.32</v>
      </c>
      <c r="M200">
        <v>0</v>
      </c>
      <c r="N200">
        <v>0</v>
      </c>
      <c r="O200">
        <v>904258.32</v>
      </c>
      <c r="P200" t="s">
        <v>73</v>
      </c>
      <c r="Q200" t="s">
        <v>26</v>
      </c>
    </row>
    <row r="201" spans="1:17" x14ac:dyDescent="0.25">
      <c r="A201" t="s">
        <v>318</v>
      </c>
      <c r="B201" s="1">
        <v>45966</v>
      </c>
      <c r="C201" t="s">
        <v>54</v>
      </c>
      <c r="D201" t="s">
        <v>70</v>
      </c>
      <c r="E201" t="s">
        <v>35</v>
      </c>
      <c r="F201" t="s">
        <v>42</v>
      </c>
      <c r="G201" t="s">
        <v>56</v>
      </c>
      <c r="H201" t="s">
        <v>67</v>
      </c>
      <c r="I201" t="s">
        <v>154</v>
      </c>
      <c r="J201">
        <v>36</v>
      </c>
      <c r="K201">
        <v>1274.3499999999999</v>
      </c>
      <c r="L201">
        <v>45876.6</v>
      </c>
      <c r="M201">
        <v>0</v>
      </c>
      <c r="N201">
        <v>0</v>
      </c>
      <c r="O201">
        <v>45876.6</v>
      </c>
      <c r="P201" t="s">
        <v>32</v>
      </c>
      <c r="Q201" t="s">
        <v>32</v>
      </c>
    </row>
    <row r="202" spans="1:17" x14ac:dyDescent="0.25">
      <c r="A202" t="s">
        <v>319</v>
      </c>
      <c r="B202" s="1">
        <v>45973</v>
      </c>
      <c r="C202" t="s">
        <v>47</v>
      </c>
      <c r="D202" t="s">
        <v>114</v>
      </c>
      <c r="E202" t="s">
        <v>20</v>
      </c>
      <c r="F202" t="s">
        <v>50</v>
      </c>
      <c r="G202" t="s">
        <v>138</v>
      </c>
      <c r="H202" t="s">
        <v>57</v>
      </c>
      <c r="I202" t="s">
        <v>72</v>
      </c>
      <c r="J202">
        <v>17</v>
      </c>
      <c r="K202">
        <v>45628.71</v>
      </c>
      <c r="L202">
        <v>775688.07</v>
      </c>
      <c r="M202">
        <v>129530.01</v>
      </c>
      <c r="N202">
        <v>0</v>
      </c>
      <c r="O202">
        <v>646158.06000000006</v>
      </c>
      <c r="P202" t="s">
        <v>32</v>
      </c>
      <c r="Q202" t="s">
        <v>32</v>
      </c>
    </row>
    <row r="203" spans="1:17" x14ac:dyDescent="0.25">
      <c r="A203" t="s">
        <v>320</v>
      </c>
      <c r="B203" s="1">
        <v>46014</v>
      </c>
      <c r="C203" t="s">
        <v>79</v>
      </c>
      <c r="D203" t="s">
        <v>101</v>
      </c>
      <c r="E203" t="s">
        <v>35</v>
      </c>
      <c r="F203" t="s">
        <v>62</v>
      </c>
      <c r="G203" t="s">
        <v>89</v>
      </c>
      <c r="H203" t="s">
        <v>38</v>
      </c>
      <c r="I203" t="s">
        <v>82</v>
      </c>
      <c r="J203">
        <v>48</v>
      </c>
      <c r="K203">
        <v>27859.439999999999</v>
      </c>
      <c r="L203">
        <v>1337253.1200000001</v>
      </c>
      <c r="M203">
        <v>0</v>
      </c>
      <c r="N203">
        <v>0</v>
      </c>
      <c r="O203">
        <v>1337253.1200000001</v>
      </c>
      <c r="P203" t="s">
        <v>73</v>
      </c>
      <c r="Q203" t="s">
        <v>26</v>
      </c>
    </row>
    <row r="204" spans="1:17" x14ac:dyDescent="0.25">
      <c r="A204" t="s">
        <v>321</v>
      </c>
      <c r="B204" s="1">
        <v>45984</v>
      </c>
      <c r="C204" t="s">
        <v>18</v>
      </c>
      <c r="D204" t="s">
        <v>28</v>
      </c>
      <c r="E204" t="s">
        <v>35</v>
      </c>
      <c r="F204" t="s">
        <v>21</v>
      </c>
      <c r="G204" t="s">
        <v>22</v>
      </c>
      <c r="H204" t="s">
        <v>94</v>
      </c>
      <c r="I204" t="s">
        <v>177</v>
      </c>
      <c r="J204">
        <v>20</v>
      </c>
      <c r="K204">
        <v>41829.480000000003</v>
      </c>
      <c r="L204">
        <v>836589.6</v>
      </c>
      <c r="M204">
        <v>0</v>
      </c>
      <c r="N204">
        <v>0</v>
      </c>
      <c r="O204">
        <v>836589.6</v>
      </c>
      <c r="P204" t="s">
        <v>32</v>
      </c>
      <c r="Q204" t="s">
        <v>32</v>
      </c>
    </row>
    <row r="205" spans="1:17" x14ac:dyDescent="0.25">
      <c r="A205" t="s">
        <v>322</v>
      </c>
      <c r="B205" s="1">
        <v>46031</v>
      </c>
      <c r="C205" t="s">
        <v>60</v>
      </c>
      <c r="D205" t="s">
        <v>123</v>
      </c>
      <c r="E205" t="s">
        <v>20</v>
      </c>
      <c r="F205" t="s">
        <v>71</v>
      </c>
      <c r="G205" t="s">
        <v>102</v>
      </c>
      <c r="H205" t="s">
        <v>67</v>
      </c>
      <c r="I205" t="s">
        <v>77</v>
      </c>
      <c r="J205">
        <v>16</v>
      </c>
      <c r="K205">
        <v>15205.06</v>
      </c>
      <c r="L205">
        <v>243280.96</v>
      </c>
      <c r="M205">
        <v>16030.37</v>
      </c>
      <c r="N205">
        <v>0</v>
      </c>
      <c r="O205">
        <v>227250.59</v>
      </c>
      <c r="P205" t="s">
        <v>31</v>
      </c>
      <c r="Q205" t="s">
        <v>32</v>
      </c>
    </row>
    <row r="206" spans="1:17" x14ac:dyDescent="0.25">
      <c r="A206" t="s">
        <v>323</v>
      </c>
      <c r="B206" s="1">
        <v>45963</v>
      </c>
      <c r="C206" t="s">
        <v>79</v>
      </c>
      <c r="D206" t="s">
        <v>107</v>
      </c>
      <c r="E206" t="s">
        <v>20</v>
      </c>
      <c r="F206" t="s">
        <v>105</v>
      </c>
      <c r="G206" t="s">
        <v>138</v>
      </c>
      <c r="H206" t="s">
        <v>57</v>
      </c>
      <c r="I206" t="s">
        <v>92</v>
      </c>
      <c r="J206">
        <v>15</v>
      </c>
      <c r="K206">
        <v>13013.74</v>
      </c>
      <c r="L206">
        <v>195206.1</v>
      </c>
      <c r="M206">
        <v>0</v>
      </c>
      <c r="N206">
        <v>0</v>
      </c>
      <c r="O206">
        <v>195206.1</v>
      </c>
      <c r="P206" t="s">
        <v>31</v>
      </c>
      <c r="Q206" t="s">
        <v>32</v>
      </c>
    </row>
    <row r="207" spans="1:17" x14ac:dyDescent="0.25">
      <c r="A207" t="s">
        <v>324</v>
      </c>
      <c r="B207" s="1">
        <v>46036</v>
      </c>
      <c r="C207" t="s">
        <v>18</v>
      </c>
      <c r="D207" t="s">
        <v>19</v>
      </c>
      <c r="E207" t="s">
        <v>41</v>
      </c>
      <c r="F207" t="s">
        <v>62</v>
      </c>
      <c r="G207" t="s">
        <v>37</v>
      </c>
      <c r="H207" t="s">
        <v>94</v>
      </c>
      <c r="I207" t="s">
        <v>193</v>
      </c>
      <c r="J207">
        <v>7</v>
      </c>
      <c r="K207">
        <v>11391.09</v>
      </c>
      <c r="L207">
        <v>79737.63</v>
      </c>
      <c r="M207">
        <v>13621.85</v>
      </c>
      <c r="N207">
        <v>0</v>
      </c>
      <c r="O207">
        <v>66115.78</v>
      </c>
      <c r="P207" t="s">
        <v>32</v>
      </c>
      <c r="Q207" t="s">
        <v>26</v>
      </c>
    </row>
    <row r="208" spans="1:17" x14ac:dyDescent="0.25">
      <c r="A208" t="s">
        <v>325</v>
      </c>
      <c r="B208" s="1">
        <v>46009</v>
      </c>
      <c r="C208" t="s">
        <v>60</v>
      </c>
      <c r="D208" t="s">
        <v>61</v>
      </c>
      <c r="E208" t="s">
        <v>35</v>
      </c>
      <c r="F208" t="s">
        <v>21</v>
      </c>
      <c r="G208" t="s">
        <v>51</v>
      </c>
      <c r="H208" t="s">
        <v>57</v>
      </c>
      <c r="I208" t="s">
        <v>58</v>
      </c>
      <c r="J208">
        <v>12</v>
      </c>
      <c r="K208">
        <v>17468.91</v>
      </c>
      <c r="L208">
        <v>209626.92</v>
      </c>
      <c r="M208">
        <v>0</v>
      </c>
      <c r="N208">
        <v>0</v>
      </c>
      <c r="O208">
        <v>209626.92</v>
      </c>
      <c r="P208" t="s">
        <v>25</v>
      </c>
      <c r="Q208" t="s">
        <v>26</v>
      </c>
    </row>
    <row r="209" spans="1:17" x14ac:dyDescent="0.25">
      <c r="A209" t="s">
        <v>326</v>
      </c>
      <c r="B209" s="1">
        <v>46030</v>
      </c>
      <c r="C209" t="s">
        <v>54</v>
      </c>
      <c r="D209" t="s">
        <v>70</v>
      </c>
      <c r="E209" t="s">
        <v>20</v>
      </c>
      <c r="F209" t="s">
        <v>137</v>
      </c>
      <c r="G209" t="s">
        <v>102</v>
      </c>
      <c r="H209" t="s">
        <v>38</v>
      </c>
      <c r="I209" t="s">
        <v>120</v>
      </c>
      <c r="J209">
        <v>14</v>
      </c>
      <c r="K209">
        <v>33635.040000000001</v>
      </c>
      <c r="L209">
        <v>470890.56</v>
      </c>
      <c r="M209">
        <v>64692.36</v>
      </c>
      <c r="N209">
        <v>0</v>
      </c>
      <c r="O209">
        <v>406198.2</v>
      </c>
      <c r="P209" t="s">
        <v>25</v>
      </c>
      <c r="Q209" t="s">
        <v>26</v>
      </c>
    </row>
    <row r="210" spans="1:17" x14ac:dyDescent="0.25">
      <c r="A210" t="s">
        <v>327</v>
      </c>
      <c r="B210" s="1">
        <v>45965</v>
      </c>
      <c r="C210" t="s">
        <v>79</v>
      </c>
      <c r="D210" t="s">
        <v>80</v>
      </c>
      <c r="E210" t="s">
        <v>20</v>
      </c>
      <c r="F210" t="s">
        <v>71</v>
      </c>
      <c r="G210" t="s">
        <v>37</v>
      </c>
      <c r="H210" t="s">
        <v>94</v>
      </c>
      <c r="I210" t="s">
        <v>193</v>
      </c>
      <c r="J210">
        <v>7</v>
      </c>
      <c r="K210">
        <v>17293.84</v>
      </c>
      <c r="L210">
        <v>121056.88</v>
      </c>
      <c r="M210">
        <v>3321.25</v>
      </c>
      <c r="N210">
        <v>35793.21</v>
      </c>
      <c r="O210">
        <v>81942.42</v>
      </c>
      <c r="P210" t="s">
        <v>73</v>
      </c>
      <c r="Q210" t="s">
        <v>32</v>
      </c>
    </row>
    <row r="211" spans="1:17" x14ac:dyDescent="0.25">
      <c r="A211" t="s">
        <v>328</v>
      </c>
      <c r="B211" s="1">
        <v>46029</v>
      </c>
      <c r="C211" t="s">
        <v>79</v>
      </c>
      <c r="D211" t="s">
        <v>80</v>
      </c>
      <c r="E211" t="s">
        <v>41</v>
      </c>
      <c r="F211" t="s">
        <v>84</v>
      </c>
      <c r="G211" t="s">
        <v>51</v>
      </c>
      <c r="H211" t="s">
        <v>57</v>
      </c>
      <c r="I211" t="s">
        <v>160</v>
      </c>
      <c r="J211">
        <v>20</v>
      </c>
      <c r="K211">
        <v>25212.37</v>
      </c>
      <c r="L211">
        <v>504247.4</v>
      </c>
      <c r="M211">
        <v>0</v>
      </c>
      <c r="N211">
        <v>2331.14</v>
      </c>
      <c r="O211">
        <v>501916.26</v>
      </c>
      <c r="P211" t="s">
        <v>25</v>
      </c>
      <c r="Q211" t="s">
        <v>26</v>
      </c>
    </row>
    <row r="212" spans="1:17" x14ac:dyDescent="0.25">
      <c r="A212" t="s">
        <v>329</v>
      </c>
      <c r="B212" s="1">
        <v>45978</v>
      </c>
      <c r="C212" t="s">
        <v>79</v>
      </c>
      <c r="D212" t="s">
        <v>107</v>
      </c>
      <c r="E212" t="s">
        <v>35</v>
      </c>
      <c r="F212" t="s">
        <v>50</v>
      </c>
      <c r="G212" t="s">
        <v>81</v>
      </c>
      <c r="H212" t="s">
        <v>38</v>
      </c>
      <c r="I212" t="s">
        <v>175</v>
      </c>
      <c r="J212">
        <v>11</v>
      </c>
      <c r="K212">
        <v>3651.81</v>
      </c>
      <c r="L212">
        <v>40169.910000000003</v>
      </c>
      <c r="M212">
        <v>1423.17</v>
      </c>
      <c r="N212">
        <v>0</v>
      </c>
      <c r="O212">
        <v>38746.74</v>
      </c>
      <c r="P212" t="s">
        <v>31</v>
      </c>
      <c r="Q212" t="s">
        <v>32</v>
      </c>
    </row>
    <row r="213" spans="1:17" x14ac:dyDescent="0.25">
      <c r="A213" t="s">
        <v>330</v>
      </c>
      <c r="B213" s="1">
        <v>46009</v>
      </c>
      <c r="C213" t="s">
        <v>54</v>
      </c>
      <c r="D213" t="s">
        <v>70</v>
      </c>
      <c r="E213" t="s">
        <v>49</v>
      </c>
      <c r="F213" t="s">
        <v>21</v>
      </c>
      <c r="G213" t="s">
        <v>81</v>
      </c>
      <c r="H213" t="s">
        <v>44</v>
      </c>
      <c r="I213" t="s">
        <v>124</v>
      </c>
      <c r="J213">
        <v>48</v>
      </c>
      <c r="K213">
        <v>30150.81</v>
      </c>
      <c r="L213">
        <v>1447238.88</v>
      </c>
      <c r="M213">
        <v>0</v>
      </c>
      <c r="N213">
        <v>0</v>
      </c>
      <c r="O213">
        <v>1447238.88</v>
      </c>
      <c r="P213" t="s">
        <v>31</v>
      </c>
      <c r="Q213" t="s">
        <v>32</v>
      </c>
    </row>
    <row r="214" spans="1:17" x14ac:dyDescent="0.25">
      <c r="A214" t="s">
        <v>331</v>
      </c>
      <c r="B214" s="1">
        <v>45969</v>
      </c>
      <c r="C214" t="s">
        <v>47</v>
      </c>
      <c r="D214" t="s">
        <v>114</v>
      </c>
      <c r="E214" t="s">
        <v>41</v>
      </c>
      <c r="F214" t="s">
        <v>137</v>
      </c>
      <c r="G214" t="s">
        <v>66</v>
      </c>
      <c r="H214" t="s">
        <v>94</v>
      </c>
      <c r="I214" t="s">
        <v>177</v>
      </c>
      <c r="J214">
        <v>30</v>
      </c>
      <c r="K214">
        <v>34264.86</v>
      </c>
      <c r="L214">
        <v>1027945.8</v>
      </c>
      <c r="M214">
        <v>101327.5</v>
      </c>
      <c r="N214">
        <v>207262.96</v>
      </c>
      <c r="O214">
        <v>719355.34</v>
      </c>
      <c r="P214" t="s">
        <v>73</v>
      </c>
      <c r="Q214" t="s">
        <v>32</v>
      </c>
    </row>
    <row r="215" spans="1:17" x14ac:dyDescent="0.25">
      <c r="A215" t="s">
        <v>332</v>
      </c>
      <c r="B215" s="1">
        <v>45986</v>
      </c>
      <c r="C215" t="s">
        <v>18</v>
      </c>
      <c r="D215" t="s">
        <v>28</v>
      </c>
      <c r="E215" t="s">
        <v>35</v>
      </c>
      <c r="F215" t="s">
        <v>36</v>
      </c>
      <c r="G215" t="s">
        <v>66</v>
      </c>
      <c r="H215" t="s">
        <v>57</v>
      </c>
      <c r="I215" t="s">
        <v>92</v>
      </c>
      <c r="J215">
        <v>41</v>
      </c>
      <c r="K215">
        <v>7862.38</v>
      </c>
      <c r="L215">
        <v>322357.58</v>
      </c>
      <c r="M215">
        <v>5360.39</v>
      </c>
      <c r="N215">
        <v>0</v>
      </c>
      <c r="O215">
        <v>316997.19</v>
      </c>
      <c r="P215" t="s">
        <v>25</v>
      </c>
      <c r="Q215" t="s">
        <v>32</v>
      </c>
    </row>
    <row r="216" spans="1:17" x14ac:dyDescent="0.25">
      <c r="A216" t="s">
        <v>333</v>
      </c>
      <c r="B216" s="1">
        <v>46001</v>
      </c>
      <c r="C216" t="s">
        <v>79</v>
      </c>
      <c r="D216" t="s">
        <v>107</v>
      </c>
      <c r="E216" t="s">
        <v>20</v>
      </c>
      <c r="F216" t="s">
        <v>21</v>
      </c>
      <c r="G216" t="s">
        <v>140</v>
      </c>
      <c r="H216" t="s">
        <v>38</v>
      </c>
      <c r="I216" t="s">
        <v>82</v>
      </c>
      <c r="J216">
        <v>25</v>
      </c>
      <c r="K216">
        <v>7718.41</v>
      </c>
      <c r="L216">
        <v>192960.25</v>
      </c>
      <c r="M216">
        <v>33498.839999999997</v>
      </c>
      <c r="N216">
        <v>0</v>
      </c>
      <c r="O216">
        <v>159461.41</v>
      </c>
      <c r="P216" t="s">
        <v>32</v>
      </c>
      <c r="Q216" t="s">
        <v>32</v>
      </c>
    </row>
    <row r="217" spans="1:17" x14ac:dyDescent="0.25">
      <c r="A217" t="s">
        <v>334</v>
      </c>
      <c r="B217" s="1">
        <v>45974</v>
      </c>
      <c r="C217" t="s">
        <v>47</v>
      </c>
      <c r="D217" t="s">
        <v>127</v>
      </c>
      <c r="E217" t="s">
        <v>35</v>
      </c>
      <c r="F217" t="s">
        <v>42</v>
      </c>
      <c r="G217" t="s">
        <v>51</v>
      </c>
      <c r="H217" t="s">
        <v>94</v>
      </c>
      <c r="I217" t="s">
        <v>163</v>
      </c>
      <c r="J217">
        <v>1</v>
      </c>
      <c r="K217">
        <v>4439.9799999999996</v>
      </c>
      <c r="L217">
        <v>4439.9799999999996</v>
      </c>
      <c r="M217">
        <v>485.28</v>
      </c>
      <c r="N217">
        <v>0</v>
      </c>
      <c r="O217">
        <v>3954.7</v>
      </c>
      <c r="P217" t="s">
        <v>73</v>
      </c>
      <c r="Q217" t="s">
        <v>26</v>
      </c>
    </row>
    <row r="218" spans="1:17" x14ac:dyDescent="0.25">
      <c r="A218" t="s">
        <v>335</v>
      </c>
      <c r="B218" s="1">
        <v>46033</v>
      </c>
      <c r="C218" t="s">
        <v>79</v>
      </c>
      <c r="D218" t="s">
        <v>101</v>
      </c>
      <c r="E218" t="s">
        <v>49</v>
      </c>
      <c r="F218" t="s">
        <v>42</v>
      </c>
      <c r="G218" t="s">
        <v>37</v>
      </c>
      <c r="H218" t="s">
        <v>23</v>
      </c>
      <c r="I218" t="s">
        <v>131</v>
      </c>
      <c r="J218">
        <v>27</v>
      </c>
      <c r="K218">
        <v>7211.42</v>
      </c>
      <c r="L218">
        <v>194708.34</v>
      </c>
      <c r="M218">
        <v>0</v>
      </c>
      <c r="N218">
        <v>0</v>
      </c>
      <c r="O218">
        <v>194708.34</v>
      </c>
      <c r="P218" t="s">
        <v>25</v>
      </c>
      <c r="Q218" t="s">
        <v>128</v>
      </c>
    </row>
    <row r="219" spans="1:17" x14ac:dyDescent="0.25">
      <c r="A219" t="s">
        <v>336</v>
      </c>
      <c r="B219" s="1">
        <v>46042</v>
      </c>
      <c r="C219" t="s">
        <v>79</v>
      </c>
      <c r="D219" t="s">
        <v>91</v>
      </c>
      <c r="E219" t="s">
        <v>35</v>
      </c>
      <c r="F219" t="s">
        <v>50</v>
      </c>
      <c r="G219" t="s">
        <v>63</v>
      </c>
      <c r="H219" t="s">
        <v>94</v>
      </c>
      <c r="I219" t="s">
        <v>115</v>
      </c>
      <c r="J219">
        <v>16</v>
      </c>
      <c r="K219">
        <v>16799.03</v>
      </c>
      <c r="L219">
        <v>268784.48</v>
      </c>
      <c r="M219">
        <v>14493.56</v>
      </c>
      <c r="N219">
        <v>0</v>
      </c>
      <c r="O219">
        <v>254290.92</v>
      </c>
      <c r="P219" t="s">
        <v>25</v>
      </c>
      <c r="Q219" t="s">
        <v>26</v>
      </c>
    </row>
    <row r="220" spans="1:17" x14ac:dyDescent="0.25">
      <c r="A220" t="s">
        <v>337</v>
      </c>
      <c r="B220" s="1">
        <v>46007</v>
      </c>
      <c r="C220" t="s">
        <v>60</v>
      </c>
      <c r="D220" t="s">
        <v>151</v>
      </c>
      <c r="E220" t="s">
        <v>41</v>
      </c>
      <c r="F220" t="s">
        <v>105</v>
      </c>
      <c r="G220" t="s">
        <v>43</v>
      </c>
      <c r="H220" t="s">
        <v>94</v>
      </c>
      <c r="I220" t="s">
        <v>163</v>
      </c>
      <c r="J220">
        <v>12</v>
      </c>
      <c r="K220">
        <v>41231.660000000003</v>
      </c>
      <c r="L220">
        <v>494779.92</v>
      </c>
      <c r="M220">
        <v>84504.72</v>
      </c>
      <c r="N220">
        <v>0</v>
      </c>
      <c r="O220">
        <v>410275.2</v>
      </c>
      <c r="P220" t="s">
        <v>31</v>
      </c>
      <c r="Q220" t="s">
        <v>32</v>
      </c>
    </row>
    <row r="221" spans="1:17" x14ac:dyDescent="0.25">
      <c r="A221" t="s">
        <v>338</v>
      </c>
      <c r="B221" s="1">
        <v>46031</v>
      </c>
      <c r="C221" t="s">
        <v>54</v>
      </c>
      <c r="D221" t="s">
        <v>133</v>
      </c>
      <c r="E221" t="s">
        <v>41</v>
      </c>
      <c r="F221" t="s">
        <v>50</v>
      </c>
      <c r="G221" t="s">
        <v>66</v>
      </c>
      <c r="H221" t="s">
        <v>57</v>
      </c>
      <c r="I221" t="s">
        <v>58</v>
      </c>
      <c r="J221">
        <v>28</v>
      </c>
      <c r="K221">
        <v>16727.32</v>
      </c>
      <c r="L221">
        <v>468364.96</v>
      </c>
      <c r="M221">
        <v>0</v>
      </c>
      <c r="N221">
        <v>0</v>
      </c>
      <c r="O221">
        <v>468364.96</v>
      </c>
      <c r="P221" t="s">
        <v>31</v>
      </c>
      <c r="Q221" t="s">
        <v>32</v>
      </c>
    </row>
    <row r="222" spans="1:17" x14ac:dyDescent="0.25">
      <c r="A222" t="s">
        <v>339</v>
      </c>
      <c r="B222" s="1">
        <v>46030</v>
      </c>
      <c r="C222" t="s">
        <v>79</v>
      </c>
      <c r="D222" t="s">
        <v>101</v>
      </c>
      <c r="E222" t="s">
        <v>20</v>
      </c>
      <c r="F222" t="s">
        <v>50</v>
      </c>
      <c r="G222" t="s">
        <v>43</v>
      </c>
      <c r="H222" t="s">
        <v>67</v>
      </c>
      <c r="I222" t="s">
        <v>68</v>
      </c>
      <c r="J222">
        <v>2</v>
      </c>
      <c r="K222">
        <v>48332.09</v>
      </c>
      <c r="L222">
        <v>96664.18</v>
      </c>
      <c r="M222">
        <v>3949.67</v>
      </c>
      <c r="N222">
        <v>0</v>
      </c>
      <c r="O222">
        <v>92714.51</v>
      </c>
      <c r="P222" t="s">
        <v>25</v>
      </c>
      <c r="Q222" t="s">
        <v>32</v>
      </c>
    </row>
    <row r="223" spans="1:17" x14ac:dyDescent="0.25">
      <c r="A223" t="s">
        <v>340</v>
      </c>
      <c r="B223" s="1">
        <v>45992</v>
      </c>
      <c r="C223" t="s">
        <v>60</v>
      </c>
      <c r="D223" t="s">
        <v>65</v>
      </c>
      <c r="E223" t="s">
        <v>20</v>
      </c>
      <c r="F223" t="s">
        <v>42</v>
      </c>
      <c r="G223" t="s">
        <v>85</v>
      </c>
      <c r="H223" t="s">
        <v>57</v>
      </c>
      <c r="I223" t="s">
        <v>118</v>
      </c>
      <c r="J223">
        <v>8</v>
      </c>
      <c r="K223">
        <v>26729.31</v>
      </c>
      <c r="L223">
        <v>213834.48</v>
      </c>
      <c r="M223">
        <v>30649.46</v>
      </c>
      <c r="N223">
        <v>0</v>
      </c>
      <c r="O223">
        <v>183185.02</v>
      </c>
      <c r="P223" t="s">
        <v>31</v>
      </c>
      <c r="Q223" t="s">
        <v>32</v>
      </c>
    </row>
    <row r="224" spans="1:17" x14ac:dyDescent="0.25">
      <c r="A224" t="s">
        <v>341</v>
      </c>
      <c r="B224" s="1">
        <v>46003</v>
      </c>
      <c r="C224" t="s">
        <v>60</v>
      </c>
      <c r="D224" t="s">
        <v>151</v>
      </c>
      <c r="E224" t="s">
        <v>20</v>
      </c>
      <c r="F224" t="s">
        <v>50</v>
      </c>
      <c r="G224" t="s">
        <v>43</v>
      </c>
      <c r="H224" t="s">
        <v>94</v>
      </c>
      <c r="I224" t="s">
        <v>144</v>
      </c>
      <c r="J224">
        <v>21</v>
      </c>
      <c r="K224">
        <v>42636.959999999999</v>
      </c>
      <c r="L224">
        <v>895376.16</v>
      </c>
      <c r="M224">
        <v>34030.44</v>
      </c>
      <c r="N224">
        <v>14132.68</v>
      </c>
      <c r="O224">
        <v>847213.04</v>
      </c>
      <c r="P224" t="s">
        <v>31</v>
      </c>
      <c r="Q224" t="s">
        <v>32</v>
      </c>
    </row>
    <row r="225" spans="1:17" x14ac:dyDescent="0.25">
      <c r="A225" t="s">
        <v>342</v>
      </c>
      <c r="B225" s="1">
        <v>46045</v>
      </c>
      <c r="C225" t="s">
        <v>47</v>
      </c>
      <c r="D225" t="s">
        <v>114</v>
      </c>
      <c r="E225" t="s">
        <v>35</v>
      </c>
      <c r="F225" t="s">
        <v>84</v>
      </c>
      <c r="G225" t="s">
        <v>22</v>
      </c>
      <c r="H225" t="s">
        <v>94</v>
      </c>
      <c r="I225" t="s">
        <v>193</v>
      </c>
      <c r="J225">
        <v>17</v>
      </c>
      <c r="K225">
        <v>16750.95</v>
      </c>
      <c r="L225">
        <v>284766.15000000002</v>
      </c>
      <c r="M225">
        <v>0</v>
      </c>
      <c r="N225">
        <v>0</v>
      </c>
      <c r="O225">
        <v>284766.15000000002</v>
      </c>
      <c r="P225" t="s">
        <v>32</v>
      </c>
      <c r="Q225" t="s">
        <v>26</v>
      </c>
    </row>
    <row r="226" spans="1:17" x14ac:dyDescent="0.25">
      <c r="A226" t="s">
        <v>343</v>
      </c>
      <c r="B226" s="1">
        <v>45993</v>
      </c>
      <c r="C226" t="s">
        <v>60</v>
      </c>
      <c r="D226" t="s">
        <v>61</v>
      </c>
      <c r="E226" t="s">
        <v>20</v>
      </c>
      <c r="F226" t="s">
        <v>112</v>
      </c>
      <c r="G226" t="s">
        <v>22</v>
      </c>
      <c r="H226" t="s">
        <v>23</v>
      </c>
      <c r="I226" t="s">
        <v>131</v>
      </c>
      <c r="J226">
        <v>8</v>
      </c>
      <c r="K226">
        <v>3438.67</v>
      </c>
      <c r="L226">
        <v>27509.360000000001</v>
      </c>
      <c r="M226">
        <v>4719.8599999999997</v>
      </c>
      <c r="N226">
        <v>2514.02</v>
      </c>
      <c r="O226">
        <v>20275.48</v>
      </c>
      <c r="P226" t="s">
        <v>32</v>
      </c>
      <c r="Q226" t="s">
        <v>32</v>
      </c>
    </row>
    <row r="227" spans="1:17" x14ac:dyDescent="0.25">
      <c r="A227" t="s">
        <v>344</v>
      </c>
      <c r="B227" s="1">
        <v>45957</v>
      </c>
      <c r="C227" t="s">
        <v>18</v>
      </c>
      <c r="D227" t="s">
        <v>28</v>
      </c>
      <c r="E227" t="s">
        <v>41</v>
      </c>
      <c r="F227" t="s">
        <v>50</v>
      </c>
      <c r="G227" t="s">
        <v>98</v>
      </c>
      <c r="H227" t="s">
        <v>57</v>
      </c>
      <c r="I227" t="s">
        <v>148</v>
      </c>
      <c r="J227">
        <v>13</v>
      </c>
      <c r="K227">
        <v>39636.5</v>
      </c>
      <c r="L227">
        <v>515274.5</v>
      </c>
      <c r="M227">
        <v>47914.16</v>
      </c>
      <c r="N227">
        <v>83145.03</v>
      </c>
      <c r="O227">
        <v>384215.31</v>
      </c>
      <c r="P227" t="s">
        <v>25</v>
      </c>
      <c r="Q227" t="s">
        <v>26</v>
      </c>
    </row>
    <row r="228" spans="1:17" x14ac:dyDescent="0.25">
      <c r="A228" t="s">
        <v>345</v>
      </c>
      <c r="B228" s="1">
        <v>46017</v>
      </c>
      <c r="C228" t="s">
        <v>60</v>
      </c>
      <c r="D228" t="s">
        <v>151</v>
      </c>
      <c r="E228" t="s">
        <v>20</v>
      </c>
      <c r="F228" t="s">
        <v>112</v>
      </c>
      <c r="G228" t="s">
        <v>22</v>
      </c>
      <c r="H228" t="s">
        <v>38</v>
      </c>
      <c r="I228" t="s">
        <v>175</v>
      </c>
      <c r="J228">
        <v>3</v>
      </c>
      <c r="K228">
        <v>36142.74</v>
      </c>
      <c r="L228">
        <v>108428.22</v>
      </c>
      <c r="M228">
        <v>13257.82</v>
      </c>
      <c r="N228">
        <v>0</v>
      </c>
      <c r="O228">
        <v>95170.4</v>
      </c>
      <c r="P228" t="s">
        <v>25</v>
      </c>
      <c r="Q228" t="s">
        <v>128</v>
      </c>
    </row>
    <row r="229" spans="1:17" x14ac:dyDescent="0.25">
      <c r="A229" t="s">
        <v>346</v>
      </c>
      <c r="B229" s="1">
        <v>46028</v>
      </c>
      <c r="C229" t="s">
        <v>60</v>
      </c>
      <c r="D229" t="s">
        <v>65</v>
      </c>
      <c r="E229" t="s">
        <v>49</v>
      </c>
      <c r="F229" t="s">
        <v>137</v>
      </c>
      <c r="G229" t="s">
        <v>85</v>
      </c>
      <c r="H229" t="s">
        <v>57</v>
      </c>
      <c r="I229" t="s">
        <v>92</v>
      </c>
      <c r="J229">
        <v>8</v>
      </c>
      <c r="K229">
        <v>29780.63</v>
      </c>
      <c r="L229">
        <v>238245.04</v>
      </c>
      <c r="M229">
        <v>0</v>
      </c>
      <c r="N229">
        <v>0</v>
      </c>
      <c r="O229">
        <v>238245.04</v>
      </c>
      <c r="P229" t="s">
        <v>31</v>
      </c>
      <c r="Q229" t="s">
        <v>32</v>
      </c>
    </row>
    <row r="230" spans="1:17" x14ac:dyDescent="0.25">
      <c r="A230" t="s">
        <v>347</v>
      </c>
      <c r="B230" s="1">
        <v>46032</v>
      </c>
      <c r="C230" t="s">
        <v>79</v>
      </c>
      <c r="D230" t="s">
        <v>107</v>
      </c>
      <c r="E230" t="s">
        <v>41</v>
      </c>
      <c r="F230" t="s">
        <v>71</v>
      </c>
      <c r="G230" t="s">
        <v>63</v>
      </c>
      <c r="H230" t="s">
        <v>38</v>
      </c>
      <c r="I230" t="s">
        <v>120</v>
      </c>
      <c r="J230">
        <v>19</v>
      </c>
      <c r="K230">
        <v>38259.11</v>
      </c>
      <c r="L230">
        <v>726923.09</v>
      </c>
      <c r="M230">
        <v>61389.13</v>
      </c>
      <c r="N230">
        <v>0</v>
      </c>
      <c r="O230">
        <v>665533.96</v>
      </c>
      <c r="P230" t="s">
        <v>73</v>
      </c>
      <c r="Q230" t="s">
        <v>32</v>
      </c>
    </row>
    <row r="231" spans="1:17" x14ac:dyDescent="0.25">
      <c r="A231" t="s">
        <v>348</v>
      </c>
      <c r="B231" s="1">
        <v>46008</v>
      </c>
      <c r="C231" t="s">
        <v>54</v>
      </c>
      <c r="D231" t="s">
        <v>97</v>
      </c>
      <c r="E231" t="s">
        <v>41</v>
      </c>
      <c r="F231" t="s">
        <v>21</v>
      </c>
      <c r="G231" t="s">
        <v>43</v>
      </c>
      <c r="H231" t="s">
        <v>44</v>
      </c>
      <c r="I231" t="s">
        <v>152</v>
      </c>
      <c r="J231">
        <v>21</v>
      </c>
      <c r="K231">
        <v>20512.73</v>
      </c>
      <c r="L231">
        <v>430767.33</v>
      </c>
      <c r="M231">
        <v>0</v>
      </c>
      <c r="N231">
        <v>0</v>
      </c>
      <c r="O231">
        <v>430767.33</v>
      </c>
      <c r="P231" t="s">
        <v>25</v>
      </c>
      <c r="Q231" t="s">
        <v>26</v>
      </c>
    </row>
    <row r="232" spans="1:17" x14ac:dyDescent="0.25">
      <c r="A232" t="s">
        <v>349</v>
      </c>
      <c r="B232" s="1">
        <v>46007</v>
      </c>
      <c r="C232" t="s">
        <v>79</v>
      </c>
      <c r="D232" t="s">
        <v>101</v>
      </c>
      <c r="E232" t="s">
        <v>35</v>
      </c>
      <c r="F232" t="s">
        <v>21</v>
      </c>
      <c r="G232" t="s">
        <v>102</v>
      </c>
      <c r="H232" t="s">
        <v>44</v>
      </c>
      <c r="I232" t="s">
        <v>152</v>
      </c>
      <c r="J232">
        <v>7</v>
      </c>
      <c r="K232">
        <v>43143.69</v>
      </c>
      <c r="L232">
        <v>302005.83</v>
      </c>
      <c r="M232">
        <v>32074.26</v>
      </c>
      <c r="N232">
        <v>48988.87</v>
      </c>
      <c r="O232">
        <v>220942.7</v>
      </c>
      <c r="P232" t="s">
        <v>73</v>
      </c>
      <c r="Q232" t="s">
        <v>32</v>
      </c>
    </row>
    <row r="233" spans="1:17" x14ac:dyDescent="0.25">
      <c r="A233" t="s">
        <v>350</v>
      </c>
      <c r="B233" s="1">
        <v>46031</v>
      </c>
      <c r="C233" t="s">
        <v>60</v>
      </c>
      <c r="D233" t="s">
        <v>65</v>
      </c>
      <c r="E233" t="s">
        <v>35</v>
      </c>
      <c r="F233" t="s">
        <v>112</v>
      </c>
      <c r="G233" t="s">
        <v>102</v>
      </c>
      <c r="H233" t="s">
        <v>67</v>
      </c>
      <c r="I233" t="s">
        <v>103</v>
      </c>
      <c r="J233">
        <v>15</v>
      </c>
      <c r="K233">
        <v>45693.29</v>
      </c>
      <c r="L233">
        <v>685399.35</v>
      </c>
      <c r="M233">
        <v>0</v>
      </c>
      <c r="N233">
        <v>0</v>
      </c>
      <c r="O233">
        <v>685399.35</v>
      </c>
      <c r="P233" t="s">
        <v>31</v>
      </c>
      <c r="Q233" t="s">
        <v>32</v>
      </c>
    </row>
    <row r="234" spans="1:17" x14ac:dyDescent="0.25">
      <c r="A234" t="s">
        <v>351</v>
      </c>
      <c r="B234" s="1">
        <v>46018</v>
      </c>
      <c r="C234" t="s">
        <v>47</v>
      </c>
      <c r="D234" t="s">
        <v>114</v>
      </c>
      <c r="E234" t="s">
        <v>49</v>
      </c>
      <c r="F234" t="s">
        <v>36</v>
      </c>
      <c r="G234" t="s">
        <v>85</v>
      </c>
      <c r="H234" t="s">
        <v>38</v>
      </c>
      <c r="I234" t="s">
        <v>108</v>
      </c>
      <c r="J234">
        <v>7</v>
      </c>
      <c r="K234">
        <v>16987.43</v>
      </c>
      <c r="L234">
        <v>118912.01</v>
      </c>
      <c r="M234">
        <v>1697.98</v>
      </c>
      <c r="N234">
        <v>0</v>
      </c>
      <c r="O234">
        <v>117214.03</v>
      </c>
      <c r="P234" t="s">
        <v>25</v>
      </c>
      <c r="Q234" t="s">
        <v>26</v>
      </c>
    </row>
    <row r="235" spans="1:17" x14ac:dyDescent="0.25">
      <c r="A235" t="s">
        <v>352</v>
      </c>
      <c r="B235" s="1">
        <v>45999</v>
      </c>
      <c r="C235" t="s">
        <v>60</v>
      </c>
      <c r="D235" t="s">
        <v>61</v>
      </c>
      <c r="E235" t="s">
        <v>20</v>
      </c>
      <c r="F235" t="s">
        <v>42</v>
      </c>
      <c r="G235" t="s">
        <v>89</v>
      </c>
      <c r="H235" t="s">
        <v>67</v>
      </c>
      <c r="I235" t="s">
        <v>68</v>
      </c>
      <c r="J235">
        <v>20</v>
      </c>
      <c r="K235">
        <v>41217.18</v>
      </c>
      <c r="L235">
        <v>824343.6</v>
      </c>
      <c r="M235">
        <v>491.69</v>
      </c>
      <c r="N235">
        <v>0</v>
      </c>
      <c r="O235">
        <v>823851.91</v>
      </c>
      <c r="P235" t="s">
        <v>73</v>
      </c>
      <c r="Q235" t="s">
        <v>32</v>
      </c>
    </row>
    <row r="236" spans="1:17" x14ac:dyDescent="0.25">
      <c r="A236" t="s">
        <v>353</v>
      </c>
      <c r="B236" s="1">
        <v>46014</v>
      </c>
      <c r="C236" t="s">
        <v>18</v>
      </c>
      <c r="D236" t="s">
        <v>34</v>
      </c>
      <c r="E236" t="s">
        <v>35</v>
      </c>
      <c r="F236" t="s">
        <v>71</v>
      </c>
      <c r="G236" t="s">
        <v>81</v>
      </c>
      <c r="H236" t="s">
        <v>67</v>
      </c>
      <c r="I236" t="s">
        <v>170</v>
      </c>
      <c r="J236">
        <v>19</v>
      </c>
      <c r="K236">
        <v>42267.24</v>
      </c>
      <c r="L236">
        <v>803077.56</v>
      </c>
      <c r="M236">
        <v>91970.45</v>
      </c>
      <c r="N236">
        <v>0</v>
      </c>
      <c r="O236">
        <v>711107.11</v>
      </c>
      <c r="P236" t="s">
        <v>25</v>
      </c>
      <c r="Q236" t="s">
        <v>26</v>
      </c>
    </row>
    <row r="237" spans="1:17" x14ac:dyDescent="0.25">
      <c r="A237" t="s">
        <v>354</v>
      </c>
      <c r="B237" s="1">
        <v>46029</v>
      </c>
      <c r="C237" t="s">
        <v>60</v>
      </c>
      <c r="D237" t="s">
        <v>151</v>
      </c>
      <c r="E237" t="s">
        <v>35</v>
      </c>
      <c r="F237" t="s">
        <v>71</v>
      </c>
      <c r="G237" t="s">
        <v>29</v>
      </c>
      <c r="H237" t="s">
        <v>94</v>
      </c>
      <c r="I237" t="s">
        <v>144</v>
      </c>
      <c r="J237">
        <v>27</v>
      </c>
      <c r="K237">
        <v>47358.65</v>
      </c>
      <c r="L237">
        <v>1278683.55</v>
      </c>
      <c r="M237">
        <v>55636.21</v>
      </c>
      <c r="N237">
        <v>203845.31</v>
      </c>
      <c r="O237">
        <v>1019202.03</v>
      </c>
      <c r="P237" t="s">
        <v>31</v>
      </c>
      <c r="Q237" t="s">
        <v>32</v>
      </c>
    </row>
    <row r="238" spans="1:17" x14ac:dyDescent="0.25">
      <c r="A238" t="s">
        <v>355</v>
      </c>
      <c r="B238" s="1">
        <v>46007</v>
      </c>
      <c r="C238" t="s">
        <v>60</v>
      </c>
      <c r="D238" t="s">
        <v>61</v>
      </c>
      <c r="E238" t="s">
        <v>35</v>
      </c>
      <c r="F238" t="s">
        <v>42</v>
      </c>
      <c r="G238" t="s">
        <v>51</v>
      </c>
      <c r="H238" t="s">
        <v>67</v>
      </c>
      <c r="I238" t="s">
        <v>170</v>
      </c>
      <c r="J238">
        <v>17</v>
      </c>
      <c r="K238">
        <v>47908.31</v>
      </c>
      <c r="L238">
        <v>814441.27</v>
      </c>
      <c r="M238">
        <v>113310.66</v>
      </c>
      <c r="N238">
        <v>0</v>
      </c>
      <c r="O238">
        <v>701130.61</v>
      </c>
      <c r="P238" t="s">
        <v>73</v>
      </c>
      <c r="Q238" t="s">
        <v>26</v>
      </c>
    </row>
    <row r="239" spans="1:17" x14ac:dyDescent="0.25">
      <c r="A239" t="s">
        <v>356</v>
      </c>
      <c r="B239" s="1">
        <v>45967</v>
      </c>
      <c r="C239" t="s">
        <v>79</v>
      </c>
      <c r="D239" t="s">
        <v>80</v>
      </c>
      <c r="E239" t="s">
        <v>49</v>
      </c>
      <c r="F239" t="s">
        <v>112</v>
      </c>
      <c r="G239" t="s">
        <v>43</v>
      </c>
      <c r="H239" t="s">
        <v>94</v>
      </c>
      <c r="I239" t="s">
        <v>177</v>
      </c>
      <c r="J239">
        <v>9</v>
      </c>
      <c r="K239">
        <v>40712.82</v>
      </c>
      <c r="L239">
        <v>366415.38</v>
      </c>
      <c r="M239">
        <v>72189.38</v>
      </c>
      <c r="N239">
        <v>106353.64</v>
      </c>
      <c r="O239">
        <v>187872.36</v>
      </c>
      <c r="P239" t="s">
        <v>31</v>
      </c>
      <c r="Q239" t="s">
        <v>32</v>
      </c>
    </row>
    <row r="240" spans="1:17" x14ac:dyDescent="0.25">
      <c r="A240" t="s">
        <v>357</v>
      </c>
      <c r="B240" s="1">
        <v>45981</v>
      </c>
      <c r="C240" t="s">
        <v>18</v>
      </c>
      <c r="D240" t="s">
        <v>75</v>
      </c>
      <c r="E240" t="s">
        <v>49</v>
      </c>
      <c r="F240" t="s">
        <v>84</v>
      </c>
      <c r="G240" t="s">
        <v>37</v>
      </c>
      <c r="H240" t="s">
        <v>23</v>
      </c>
      <c r="I240" t="s">
        <v>99</v>
      </c>
      <c r="J240">
        <v>45</v>
      </c>
      <c r="K240">
        <v>33605.18</v>
      </c>
      <c r="L240">
        <v>1512233.1</v>
      </c>
      <c r="M240">
        <v>0</v>
      </c>
      <c r="N240">
        <v>0</v>
      </c>
      <c r="O240">
        <v>1512233.1</v>
      </c>
      <c r="P240" t="s">
        <v>25</v>
      </c>
      <c r="Q240" t="s">
        <v>26</v>
      </c>
    </row>
    <row r="241" spans="1:17" x14ac:dyDescent="0.25">
      <c r="A241" t="s">
        <v>358</v>
      </c>
      <c r="B241" s="1">
        <v>46021</v>
      </c>
      <c r="C241" t="s">
        <v>60</v>
      </c>
      <c r="D241" t="s">
        <v>61</v>
      </c>
      <c r="E241" t="s">
        <v>20</v>
      </c>
      <c r="F241" t="s">
        <v>105</v>
      </c>
      <c r="G241" t="s">
        <v>85</v>
      </c>
      <c r="H241" t="s">
        <v>38</v>
      </c>
      <c r="I241" t="s">
        <v>82</v>
      </c>
      <c r="J241">
        <v>34</v>
      </c>
      <c r="K241">
        <v>8591.7800000000007</v>
      </c>
      <c r="L241">
        <v>292120.52</v>
      </c>
      <c r="M241">
        <v>0</v>
      </c>
      <c r="N241">
        <v>51048.91</v>
      </c>
      <c r="O241">
        <v>241071.61</v>
      </c>
      <c r="P241" t="s">
        <v>31</v>
      </c>
      <c r="Q241" t="s">
        <v>32</v>
      </c>
    </row>
    <row r="242" spans="1:17" x14ac:dyDescent="0.25">
      <c r="A242" t="s">
        <v>359</v>
      </c>
      <c r="B242" s="1">
        <v>46000</v>
      </c>
      <c r="C242" t="s">
        <v>60</v>
      </c>
      <c r="D242" t="s">
        <v>123</v>
      </c>
      <c r="E242" t="s">
        <v>41</v>
      </c>
      <c r="F242" t="s">
        <v>50</v>
      </c>
      <c r="G242" t="s">
        <v>51</v>
      </c>
      <c r="H242" t="s">
        <v>38</v>
      </c>
      <c r="I242" t="s">
        <v>175</v>
      </c>
      <c r="J242">
        <v>23</v>
      </c>
      <c r="K242">
        <v>45523.32</v>
      </c>
      <c r="L242">
        <v>1047036.36</v>
      </c>
      <c r="M242">
        <v>146882.71</v>
      </c>
      <c r="N242">
        <v>246244.71</v>
      </c>
      <c r="O242">
        <v>653908.93999999994</v>
      </c>
      <c r="P242" t="s">
        <v>73</v>
      </c>
      <c r="Q242" t="s">
        <v>32</v>
      </c>
    </row>
    <row r="243" spans="1:17" x14ac:dyDescent="0.25">
      <c r="A243" t="s">
        <v>360</v>
      </c>
      <c r="B243" s="1">
        <v>45979</v>
      </c>
      <c r="C243" t="s">
        <v>54</v>
      </c>
      <c r="D243" t="s">
        <v>55</v>
      </c>
      <c r="E243" t="s">
        <v>35</v>
      </c>
      <c r="F243" t="s">
        <v>137</v>
      </c>
      <c r="G243" t="s">
        <v>22</v>
      </c>
      <c r="H243" t="s">
        <v>67</v>
      </c>
      <c r="I243" t="s">
        <v>154</v>
      </c>
      <c r="J243">
        <v>17</v>
      </c>
      <c r="K243">
        <v>10048.23</v>
      </c>
      <c r="L243">
        <v>170819.91</v>
      </c>
      <c r="M243">
        <v>25879.439999999999</v>
      </c>
      <c r="N243">
        <v>0</v>
      </c>
      <c r="O243">
        <v>144940.47</v>
      </c>
      <c r="P243" t="s">
        <v>32</v>
      </c>
      <c r="Q243" t="s">
        <v>32</v>
      </c>
    </row>
    <row r="244" spans="1:17" x14ac:dyDescent="0.25">
      <c r="A244" t="s">
        <v>361</v>
      </c>
      <c r="B244" s="1">
        <v>45969</v>
      </c>
      <c r="C244" t="s">
        <v>60</v>
      </c>
      <c r="D244" t="s">
        <v>151</v>
      </c>
      <c r="E244" t="s">
        <v>20</v>
      </c>
      <c r="F244" t="s">
        <v>84</v>
      </c>
      <c r="G244" t="s">
        <v>81</v>
      </c>
      <c r="H244" t="s">
        <v>57</v>
      </c>
      <c r="I244" t="s">
        <v>72</v>
      </c>
      <c r="J244">
        <v>37</v>
      </c>
      <c r="K244">
        <v>9965.61</v>
      </c>
      <c r="L244">
        <v>368727.57</v>
      </c>
      <c r="M244">
        <v>0</v>
      </c>
      <c r="N244">
        <v>0</v>
      </c>
      <c r="O244">
        <v>368727.57</v>
      </c>
      <c r="P244" t="s">
        <v>31</v>
      </c>
      <c r="Q244" t="s">
        <v>32</v>
      </c>
    </row>
    <row r="245" spans="1:17" x14ac:dyDescent="0.25">
      <c r="A245" t="s">
        <v>362</v>
      </c>
      <c r="B245" s="1">
        <v>45954</v>
      </c>
      <c r="C245" t="s">
        <v>47</v>
      </c>
      <c r="D245" t="s">
        <v>114</v>
      </c>
      <c r="E245" t="s">
        <v>41</v>
      </c>
      <c r="F245" t="s">
        <v>105</v>
      </c>
      <c r="G245" t="s">
        <v>81</v>
      </c>
      <c r="H245" t="s">
        <v>57</v>
      </c>
      <c r="I245" t="s">
        <v>92</v>
      </c>
      <c r="J245">
        <v>3</v>
      </c>
      <c r="K245">
        <v>30095.49</v>
      </c>
      <c r="L245">
        <v>90286.47</v>
      </c>
      <c r="M245">
        <v>0</v>
      </c>
      <c r="N245">
        <v>19955.98</v>
      </c>
      <c r="O245">
        <v>70330.490000000005</v>
      </c>
      <c r="P245" t="s">
        <v>25</v>
      </c>
      <c r="Q245" t="s">
        <v>26</v>
      </c>
    </row>
    <row r="246" spans="1:17" x14ac:dyDescent="0.25">
      <c r="A246" t="s">
        <v>363</v>
      </c>
      <c r="B246" s="1">
        <v>46034</v>
      </c>
      <c r="C246" t="s">
        <v>60</v>
      </c>
      <c r="D246" t="s">
        <v>61</v>
      </c>
      <c r="E246" t="s">
        <v>41</v>
      </c>
      <c r="F246" t="s">
        <v>84</v>
      </c>
      <c r="G246" t="s">
        <v>81</v>
      </c>
      <c r="H246" t="s">
        <v>23</v>
      </c>
      <c r="I246" t="s">
        <v>110</v>
      </c>
      <c r="J246">
        <v>37</v>
      </c>
      <c r="K246">
        <v>8726.2900000000009</v>
      </c>
      <c r="L246">
        <v>322872.73</v>
      </c>
      <c r="M246">
        <v>0</v>
      </c>
      <c r="N246">
        <v>0</v>
      </c>
      <c r="O246">
        <v>322872.73</v>
      </c>
      <c r="P246" t="s">
        <v>73</v>
      </c>
      <c r="Q246" t="s">
        <v>26</v>
      </c>
    </row>
    <row r="247" spans="1:17" x14ac:dyDescent="0.25">
      <c r="A247" t="s">
        <v>364</v>
      </c>
      <c r="B247" s="1">
        <v>45983</v>
      </c>
      <c r="C247" t="s">
        <v>18</v>
      </c>
      <c r="D247" t="s">
        <v>75</v>
      </c>
      <c r="E247" t="s">
        <v>35</v>
      </c>
      <c r="F247" t="s">
        <v>42</v>
      </c>
      <c r="G247" t="s">
        <v>51</v>
      </c>
      <c r="H247" t="s">
        <v>57</v>
      </c>
      <c r="I247" t="s">
        <v>118</v>
      </c>
      <c r="J247">
        <v>48</v>
      </c>
      <c r="K247">
        <v>19097.64</v>
      </c>
      <c r="L247">
        <v>916686.72</v>
      </c>
      <c r="M247">
        <v>0</v>
      </c>
      <c r="N247">
        <v>0</v>
      </c>
      <c r="O247">
        <v>916686.72</v>
      </c>
      <c r="P247" t="s">
        <v>25</v>
      </c>
      <c r="Q247" t="s">
        <v>26</v>
      </c>
    </row>
    <row r="248" spans="1:17" x14ac:dyDescent="0.25">
      <c r="A248" t="s">
        <v>365</v>
      </c>
      <c r="B248" s="1">
        <v>46031</v>
      </c>
      <c r="C248" t="s">
        <v>79</v>
      </c>
      <c r="D248" t="s">
        <v>107</v>
      </c>
      <c r="E248" t="s">
        <v>49</v>
      </c>
      <c r="F248" t="s">
        <v>112</v>
      </c>
      <c r="G248" t="s">
        <v>138</v>
      </c>
      <c r="H248" t="s">
        <v>67</v>
      </c>
      <c r="I248" t="s">
        <v>68</v>
      </c>
      <c r="J248">
        <v>36</v>
      </c>
      <c r="K248">
        <v>30166.639999999999</v>
      </c>
      <c r="L248">
        <v>1085999.04</v>
      </c>
      <c r="M248">
        <v>7264.18</v>
      </c>
      <c r="N248">
        <v>297986.34999999998</v>
      </c>
      <c r="O248">
        <v>780748.51</v>
      </c>
      <c r="P248" t="s">
        <v>73</v>
      </c>
      <c r="Q248" t="s">
        <v>32</v>
      </c>
    </row>
    <row r="249" spans="1:17" x14ac:dyDescent="0.25">
      <c r="A249" t="s">
        <v>366</v>
      </c>
      <c r="B249" s="1">
        <v>46028</v>
      </c>
      <c r="C249" t="s">
        <v>54</v>
      </c>
      <c r="D249" t="s">
        <v>55</v>
      </c>
      <c r="E249" t="s">
        <v>20</v>
      </c>
      <c r="F249" t="s">
        <v>36</v>
      </c>
      <c r="G249" t="s">
        <v>51</v>
      </c>
      <c r="H249" t="s">
        <v>94</v>
      </c>
      <c r="I249" t="s">
        <v>115</v>
      </c>
      <c r="J249">
        <v>39</v>
      </c>
      <c r="K249">
        <v>47488.98</v>
      </c>
      <c r="L249">
        <v>1852070.22</v>
      </c>
      <c r="M249">
        <v>0</v>
      </c>
      <c r="N249">
        <v>0</v>
      </c>
      <c r="O249">
        <v>1852070.22</v>
      </c>
      <c r="P249" t="s">
        <v>25</v>
      </c>
      <c r="Q249" t="s">
        <v>26</v>
      </c>
    </row>
    <row r="250" spans="1:17" x14ac:dyDescent="0.25">
      <c r="A250" t="s">
        <v>367</v>
      </c>
      <c r="B250" s="1">
        <v>45959</v>
      </c>
      <c r="C250" t="s">
        <v>47</v>
      </c>
      <c r="D250" t="s">
        <v>88</v>
      </c>
      <c r="E250" t="s">
        <v>35</v>
      </c>
      <c r="F250" t="s">
        <v>71</v>
      </c>
      <c r="G250" t="s">
        <v>43</v>
      </c>
      <c r="H250" t="s">
        <v>23</v>
      </c>
      <c r="I250" t="s">
        <v>30</v>
      </c>
      <c r="J250">
        <v>27</v>
      </c>
      <c r="K250">
        <v>13160.62</v>
      </c>
      <c r="L250">
        <v>355336.74</v>
      </c>
      <c r="M250">
        <v>0</v>
      </c>
      <c r="N250">
        <v>96422.35</v>
      </c>
      <c r="O250">
        <v>258914.39</v>
      </c>
      <c r="P250" t="s">
        <v>31</v>
      </c>
      <c r="Q250" t="s">
        <v>32</v>
      </c>
    </row>
    <row r="251" spans="1:17" x14ac:dyDescent="0.25">
      <c r="A251" t="s">
        <v>368</v>
      </c>
      <c r="B251" s="1">
        <v>46045</v>
      </c>
      <c r="C251" t="s">
        <v>18</v>
      </c>
      <c r="D251" t="s">
        <v>75</v>
      </c>
      <c r="E251" t="s">
        <v>20</v>
      </c>
      <c r="F251" t="s">
        <v>137</v>
      </c>
      <c r="G251" t="s">
        <v>43</v>
      </c>
      <c r="H251" t="s">
        <v>44</v>
      </c>
      <c r="I251" t="s">
        <v>45</v>
      </c>
      <c r="J251">
        <v>13</v>
      </c>
      <c r="K251">
        <v>8769.2000000000007</v>
      </c>
      <c r="L251">
        <v>113999.6</v>
      </c>
      <c r="M251">
        <v>0</v>
      </c>
      <c r="N251">
        <v>0</v>
      </c>
      <c r="O251">
        <v>113999.6</v>
      </c>
      <c r="P251" t="s">
        <v>73</v>
      </c>
      <c r="Q251" t="s">
        <v>32</v>
      </c>
    </row>
    <row r="252" spans="1:17" x14ac:dyDescent="0.25">
      <c r="A252" t="s">
        <v>369</v>
      </c>
      <c r="B252" s="1">
        <v>46013</v>
      </c>
      <c r="C252" t="s">
        <v>54</v>
      </c>
      <c r="D252" t="s">
        <v>97</v>
      </c>
      <c r="E252" t="s">
        <v>49</v>
      </c>
      <c r="F252" t="s">
        <v>62</v>
      </c>
      <c r="G252" t="s">
        <v>22</v>
      </c>
      <c r="H252" t="s">
        <v>23</v>
      </c>
      <c r="I252" t="s">
        <v>131</v>
      </c>
      <c r="J252">
        <v>18</v>
      </c>
      <c r="K252">
        <v>33661.17</v>
      </c>
      <c r="L252">
        <v>605901.06000000006</v>
      </c>
      <c r="M252">
        <v>0</v>
      </c>
      <c r="N252">
        <v>0</v>
      </c>
      <c r="O252">
        <v>605901.06000000006</v>
      </c>
      <c r="P252" t="s">
        <v>32</v>
      </c>
      <c r="Q252" t="s">
        <v>26</v>
      </c>
    </row>
    <row r="253" spans="1:17" x14ac:dyDescent="0.25">
      <c r="A253" t="s">
        <v>370</v>
      </c>
      <c r="B253" s="1">
        <v>45986</v>
      </c>
      <c r="C253" t="s">
        <v>60</v>
      </c>
      <c r="D253" t="s">
        <v>61</v>
      </c>
      <c r="E253" t="s">
        <v>41</v>
      </c>
      <c r="F253" t="s">
        <v>21</v>
      </c>
      <c r="G253" t="s">
        <v>89</v>
      </c>
      <c r="H253" t="s">
        <v>67</v>
      </c>
      <c r="I253" t="s">
        <v>103</v>
      </c>
      <c r="J253">
        <v>19</v>
      </c>
      <c r="K253">
        <v>46573.86</v>
      </c>
      <c r="L253">
        <v>884903.34</v>
      </c>
      <c r="M253">
        <v>16654.18</v>
      </c>
      <c r="N253">
        <v>0</v>
      </c>
      <c r="O253">
        <v>868249.16</v>
      </c>
      <c r="P253" t="s">
        <v>31</v>
      </c>
      <c r="Q253" t="s">
        <v>32</v>
      </c>
    </row>
    <row r="254" spans="1:17" x14ac:dyDescent="0.25">
      <c r="A254" t="s">
        <v>371</v>
      </c>
      <c r="B254" s="1">
        <v>46009</v>
      </c>
      <c r="C254" t="s">
        <v>47</v>
      </c>
      <c r="D254" t="s">
        <v>114</v>
      </c>
      <c r="E254" t="s">
        <v>20</v>
      </c>
      <c r="F254" t="s">
        <v>42</v>
      </c>
      <c r="G254" t="s">
        <v>43</v>
      </c>
      <c r="H254" t="s">
        <v>38</v>
      </c>
      <c r="I254" t="s">
        <v>86</v>
      </c>
      <c r="J254">
        <v>25</v>
      </c>
      <c r="K254">
        <v>26619.03</v>
      </c>
      <c r="L254">
        <v>665475.75</v>
      </c>
      <c r="M254">
        <v>82032.12</v>
      </c>
      <c r="N254">
        <v>0</v>
      </c>
      <c r="O254">
        <v>583443.63</v>
      </c>
      <c r="P254" t="s">
        <v>31</v>
      </c>
      <c r="Q254" t="s">
        <v>32</v>
      </c>
    </row>
    <row r="255" spans="1:17" x14ac:dyDescent="0.25">
      <c r="A255" t="s">
        <v>372</v>
      </c>
      <c r="B255" s="1">
        <v>46019</v>
      </c>
      <c r="C255" t="s">
        <v>18</v>
      </c>
      <c r="D255" t="s">
        <v>28</v>
      </c>
      <c r="E255" t="s">
        <v>20</v>
      </c>
      <c r="F255" t="s">
        <v>42</v>
      </c>
      <c r="G255" t="s">
        <v>37</v>
      </c>
      <c r="H255" t="s">
        <v>44</v>
      </c>
      <c r="I255" t="s">
        <v>124</v>
      </c>
      <c r="J255">
        <v>1</v>
      </c>
      <c r="K255">
        <v>48843.360000000001</v>
      </c>
      <c r="L255">
        <v>48843.360000000001</v>
      </c>
      <c r="M255">
        <v>0</v>
      </c>
      <c r="N255">
        <v>0</v>
      </c>
      <c r="O255">
        <v>48843.360000000001</v>
      </c>
      <c r="P255" t="s">
        <v>25</v>
      </c>
      <c r="Q255" t="s">
        <v>26</v>
      </c>
    </row>
    <row r="256" spans="1:17" x14ac:dyDescent="0.25">
      <c r="A256" t="s">
        <v>373</v>
      </c>
      <c r="B256" s="1">
        <v>45960</v>
      </c>
      <c r="C256" t="s">
        <v>47</v>
      </c>
      <c r="D256" t="s">
        <v>127</v>
      </c>
      <c r="E256" t="s">
        <v>35</v>
      </c>
      <c r="F256" t="s">
        <v>21</v>
      </c>
      <c r="G256" t="s">
        <v>29</v>
      </c>
      <c r="H256" t="s">
        <v>38</v>
      </c>
      <c r="I256" t="s">
        <v>120</v>
      </c>
      <c r="J256">
        <v>8</v>
      </c>
      <c r="K256">
        <v>14818.52</v>
      </c>
      <c r="L256">
        <v>118548.16</v>
      </c>
      <c r="M256">
        <v>6732.24</v>
      </c>
      <c r="N256">
        <v>0</v>
      </c>
      <c r="O256">
        <v>111815.92</v>
      </c>
      <c r="P256" t="s">
        <v>32</v>
      </c>
      <c r="Q256" t="s">
        <v>26</v>
      </c>
    </row>
    <row r="257" spans="1:17" x14ac:dyDescent="0.25">
      <c r="A257" t="s">
        <v>374</v>
      </c>
      <c r="B257" s="1">
        <v>45997</v>
      </c>
      <c r="C257" t="s">
        <v>47</v>
      </c>
      <c r="D257" t="s">
        <v>88</v>
      </c>
      <c r="E257" t="s">
        <v>20</v>
      </c>
      <c r="F257" t="s">
        <v>71</v>
      </c>
      <c r="G257" t="s">
        <v>98</v>
      </c>
      <c r="H257" t="s">
        <v>94</v>
      </c>
      <c r="I257" t="s">
        <v>144</v>
      </c>
      <c r="J257">
        <v>20</v>
      </c>
      <c r="K257">
        <v>33683.980000000003</v>
      </c>
      <c r="L257">
        <v>673679.6</v>
      </c>
      <c r="M257">
        <v>52522.13</v>
      </c>
      <c r="N257">
        <v>0</v>
      </c>
      <c r="O257">
        <v>621157.47</v>
      </c>
      <c r="P257" t="s">
        <v>25</v>
      </c>
      <c r="Q257" t="s">
        <v>128</v>
      </c>
    </row>
    <row r="258" spans="1:17" x14ac:dyDescent="0.25">
      <c r="A258" t="s">
        <v>375</v>
      </c>
      <c r="B258" s="1">
        <v>46030</v>
      </c>
      <c r="C258" t="s">
        <v>47</v>
      </c>
      <c r="D258" t="s">
        <v>48</v>
      </c>
      <c r="E258" t="s">
        <v>49</v>
      </c>
      <c r="F258" t="s">
        <v>21</v>
      </c>
      <c r="G258" t="s">
        <v>66</v>
      </c>
      <c r="H258" t="s">
        <v>94</v>
      </c>
      <c r="I258" t="s">
        <v>115</v>
      </c>
      <c r="J258">
        <v>13</v>
      </c>
      <c r="K258">
        <v>5042.43</v>
      </c>
      <c r="L258">
        <v>65551.59</v>
      </c>
      <c r="M258">
        <v>10200.32</v>
      </c>
      <c r="N258">
        <v>0</v>
      </c>
      <c r="O258">
        <v>55351.27</v>
      </c>
      <c r="P258" t="s">
        <v>73</v>
      </c>
      <c r="Q258" t="s">
        <v>32</v>
      </c>
    </row>
    <row r="259" spans="1:17" x14ac:dyDescent="0.25">
      <c r="A259" t="s">
        <v>376</v>
      </c>
      <c r="B259" s="1">
        <v>46023</v>
      </c>
      <c r="C259" t="s">
        <v>60</v>
      </c>
      <c r="D259" t="s">
        <v>65</v>
      </c>
      <c r="E259" t="s">
        <v>20</v>
      </c>
      <c r="F259" t="s">
        <v>137</v>
      </c>
      <c r="G259" t="s">
        <v>98</v>
      </c>
      <c r="H259" t="s">
        <v>94</v>
      </c>
      <c r="I259" t="s">
        <v>144</v>
      </c>
      <c r="J259">
        <v>33</v>
      </c>
      <c r="K259">
        <v>12393.82</v>
      </c>
      <c r="L259">
        <v>408996.06</v>
      </c>
      <c r="M259">
        <v>38565.14</v>
      </c>
      <c r="N259">
        <v>0</v>
      </c>
      <c r="O259">
        <v>370430.92</v>
      </c>
      <c r="P259" t="s">
        <v>73</v>
      </c>
      <c r="Q259" t="s">
        <v>26</v>
      </c>
    </row>
    <row r="260" spans="1:17" x14ac:dyDescent="0.25">
      <c r="A260" t="s">
        <v>377</v>
      </c>
      <c r="B260" s="1">
        <v>45997</v>
      </c>
      <c r="C260" t="s">
        <v>60</v>
      </c>
      <c r="D260" t="s">
        <v>65</v>
      </c>
      <c r="E260" t="s">
        <v>20</v>
      </c>
      <c r="F260" t="s">
        <v>71</v>
      </c>
      <c r="G260" t="s">
        <v>138</v>
      </c>
      <c r="H260" t="s">
        <v>94</v>
      </c>
      <c r="I260" t="s">
        <v>193</v>
      </c>
      <c r="J260">
        <v>7</v>
      </c>
      <c r="K260">
        <v>12467.51</v>
      </c>
      <c r="L260">
        <v>87272.57</v>
      </c>
      <c r="M260">
        <v>11861.73</v>
      </c>
      <c r="N260">
        <v>0</v>
      </c>
      <c r="O260">
        <v>75410.84</v>
      </c>
      <c r="P260" t="s">
        <v>25</v>
      </c>
      <c r="Q260" t="s">
        <v>128</v>
      </c>
    </row>
    <row r="261" spans="1:17" x14ac:dyDescent="0.25">
      <c r="A261" t="s">
        <v>378</v>
      </c>
      <c r="B261" s="1">
        <v>45967</v>
      </c>
      <c r="C261" t="s">
        <v>18</v>
      </c>
      <c r="D261" t="s">
        <v>75</v>
      </c>
      <c r="E261" t="s">
        <v>20</v>
      </c>
      <c r="F261" t="s">
        <v>84</v>
      </c>
      <c r="G261" t="s">
        <v>98</v>
      </c>
      <c r="H261" t="s">
        <v>44</v>
      </c>
      <c r="I261" t="s">
        <v>124</v>
      </c>
      <c r="J261">
        <v>48</v>
      </c>
      <c r="K261">
        <v>13687.2</v>
      </c>
      <c r="L261">
        <v>656985.59999999998</v>
      </c>
      <c r="M261">
        <v>0</v>
      </c>
      <c r="N261">
        <v>0</v>
      </c>
      <c r="O261">
        <v>656985.59999999998</v>
      </c>
      <c r="P261" t="s">
        <v>25</v>
      </c>
      <c r="Q261" t="s">
        <v>26</v>
      </c>
    </row>
    <row r="262" spans="1:17" x14ac:dyDescent="0.25">
      <c r="A262" t="s">
        <v>379</v>
      </c>
      <c r="B262" s="1">
        <v>45997</v>
      </c>
      <c r="C262" t="s">
        <v>79</v>
      </c>
      <c r="D262" t="s">
        <v>101</v>
      </c>
      <c r="E262" t="s">
        <v>41</v>
      </c>
      <c r="F262" t="s">
        <v>112</v>
      </c>
      <c r="G262" t="s">
        <v>138</v>
      </c>
      <c r="H262" t="s">
        <v>57</v>
      </c>
      <c r="I262" t="s">
        <v>72</v>
      </c>
      <c r="J262">
        <v>32</v>
      </c>
      <c r="K262">
        <v>12929.93</v>
      </c>
      <c r="L262">
        <v>413757.76</v>
      </c>
      <c r="M262">
        <v>76401.52</v>
      </c>
      <c r="N262">
        <v>98337.77</v>
      </c>
      <c r="O262">
        <v>239018.47</v>
      </c>
      <c r="P262" t="s">
        <v>31</v>
      </c>
      <c r="Q262" t="s">
        <v>32</v>
      </c>
    </row>
    <row r="263" spans="1:17" x14ac:dyDescent="0.25">
      <c r="A263" t="s">
        <v>380</v>
      </c>
      <c r="B263" s="1">
        <v>45964</v>
      </c>
      <c r="C263" t="s">
        <v>79</v>
      </c>
      <c r="D263" t="s">
        <v>80</v>
      </c>
      <c r="E263" t="s">
        <v>49</v>
      </c>
      <c r="F263" t="s">
        <v>36</v>
      </c>
      <c r="G263" t="s">
        <v>66</v>
      </c>
      <c r="H263" t="s">
        <v>23</v>
      </c>
      <c r="I263" t="s">
        <v>110</v>
      </c>
      <c r="J263">
        <v>20</v>
      </c>
      <c r="K263">
        <v>11205.85</v>
      </c>
      <c r="L263">
        <v>224117</v>
      </c>
      <c r="M263">
        <v>5607.28</v>
      </c>
      <c r="N263">
        <v>0</v>
      </c>
      <c r="O263">
        <v>218509.72</v>
      </c>
      <c r="P263" t="s">
        <v>73</v>
      </c>
      <c r="Q263" t="s">
        <v>32</v>
      </c>
    </row>
    <row r="264" spans="1:17" x14ac:dyDescent="0.25">
      <c r="A264" t="s">
        <v>381</v>
      </c>
      <c r="B264" s="1">
        <v>46017</v>
      </c>
      <c r="C264" t="s">
        <v>47</v>
      </c>
      <c r="D264" t="s">
        <v>88</v>
      </c>
      <c r="E264" t="s">
        <v>41</v>
      </c>
      <c r="F264" t="s">
        <v>84</v>
      </c>
      <c r="G264" t="s">
        <v>89</v>
      </c>
      <c r="H264" t="s">
        <v>23</v>
      </c>
      <c r="I264" t="s">
        <v>99</v>
      </c>
      <c r="J264">
        <v>47</v>
      </c>
      <c r="K264">
        <v>16540.09</v>
      </c>
      <c r="L264">
        <v>777384.23</v>
      </c>
      <c r="M264">
        <v>41195.089999999997</v>
      </c>
      <c r="N264">
        <v>0</v>
      </c>
      <c r="O264">
        <v>736189.14</v>
      </c>
      <c r="P264" t="s">
        <v>32</v>
      </c>
      <c r="Q264" t="s">
        <v>32</v>
      </c>
    </row>
    <row r="265" spans="1:17" x14ac:dyDescent="0.25">
      <c r="A265" t="s">
        <v>382</v>
      </c>
      <c r="B265" s="1">
        <v>45968</v>
      </c>
      <c r="C265" t="s">
        <v>54</v>
      </c>
      <c r="D265" t="s">
        <v>133</v>
      </c>
      <c r="E265" t="s">
        <v>20</v>
      </c>
      <c r="F265" t="s">
        <v>50</v>
      </c>
      <c r="G265" t="s">
        <v>102</v>
      </c>
      <c r="H265" t="s">
        <v>57</v>
      </c>
      <c r="I265" t="s">
        <v>160</v>
      </c>
      <c r="J265">
        <v>45</v>
      </c>
      <c r="K265">
        <v>20576.580000000002</v>
      </c>
      <c r="L265">
        <v>925946.1</v>
      </c>
      <c r="M265">
        <v>41668.559999999998</v>
      </c>
      <c r="N265">
        <v>0</v>
      </c>
      <c r="O265">
        <v>884277.54</v>
      </c>
      <c r="P265" t="s">
        <v>32</v>
      </c>
      <c r="Q265" t="s">
        <v>32</v>
      </c>
    </row>
    <row r="266" spans="1:17" x14ac:dyDescent="0.25">
      <c r="A266" t="s">
        <v>383</v>
      </c>
      <c r="B266" s="1">
        <v>46009</v>
      </c>
      <c r="C266" t="s">
        <v>79</v>
      </c>
      <c r="D266" t="s">
        <v>80</v>
      </c>
      <c r="E266" t="s">
        <v>35</v>
      </c>
      <c r="F266" t="s">
        <v>36</v>
      </c>
      <c r="G266" t="s">
        <v>51</v>
      </c>
      <c r="H266" t="s">
        <v>57</v>
      </c>
      <c r="I266" t="s">
        <v>92</v>
      </c>
      <c r="J266">
        <v>28</v>
      </c>
      <c r="K266">
        <v>40186.39</v>
      </c>
      <c r="L266">
        <v>1125218.92</v>
      </c>
      <c r="M266">
        <v>0</v>
      </c>
      <c r="N266">
        <v>0</v>
      </c>
      <c r="O266">
        <v>1125218.92</v>
      </c>
      <c r="P266" t="s">
        <v>73</v>
      </c>
      <c r="Q266" t="s">
        <v>32</v>
      </c>
    </row>
    <row r="267" spans="1:17" x14ac:dyDescent="0.25">
      <c r="A267" t="s">
        <v>384</v>
      </c>
      <c r="B267" s="1">
        <v>46013</v>
      </c>
      <c r="C267" t="s">
        <v>47</v>
      </c>
      <c r="D267" t="s">
        <v>127</v>
      </c>
      <c r="E267" t="s">
        <v>35</v>
      </c>
      <c r="F267" t="s">
        <v>112</v>
      </c>
      <c r="G267" t="s">
        <v>22</v>
      </c>
      <c r="H267" t="s">
        <v>57</v>
      </c>
      <c r="I267" t="s">
        <v>72</v>
      </c>
      <c r="J267">
        <v>1</v>
      </c>
      <c r="K267">
        <v>48858.13</v>
      </c>
      <c r="L267">
        <v>48858.13</v>
      </c>
      <c r="M267">
        <v>0</v>
      </c>
      <c r="N267">
        <v>0</v>
      </c>
      <c r="O267">
        <v>48858.13</v>
      </c>
      <c r="P267" t="s">
        <v>32</v>
      </c>
      <c r="Q267" t="s">
        <v>32</v>
      </c>
    </row>
    <row r="268" spans="1:17" x14ac:dyDescent="0.25">
      <c r="A268" t="s">
        <v>385</v>
      </c>
      <c r="B268" s="1">
        <v>46028</v>
      </c>
      <c r="C268" t="s">
        <v>18</v>
      </c>
      <c r="D268" t="s">
        <v>19</v>
      </c>
      <c r="E268" t="s">
        <v>35</v>
      </c>
      <c r="F268" t="s">
        <v>21</v>
      </c>
      <c r="G268" t="s">
        <v>51</v>
      </c>
      <c r="H268" t="s">
        <v>57</v>
      </c>
      <c r="I268" t="s">
        <v>92</v>
      </c>
      <c r="J268">
        <v>44</v>
      </c>
      <c r="K268">
        <v>3425.41</v>
      </c>
      <c r="L268">
        <v>150718.04</v>
      </c>
      <c r="M268">
        <v>13338.07</v>
      </c>
      <c r="N268">
        <v>6430.06</v>
      </c>
      <c r="O268">
        <v>130949.91</v>
      </c>
      <c r="P268" t="s">
        <v>31</v>
      </c>
      <c r="Q268" t="s">
        <v>32</v>
      </c>
    </row>
    <row r="269" spans="1:17" x14ac:dyDescent="0.25">
      <c r="A269" t="s">
        <v>386</v>
      </c>
      <c r="B269" s="1">
        <v>45989</v>
      </c>
      <c r="C269" t="s">
        <v>79</v>
      </c>
      <c r="D269" t="s">
        <v>91</v>
      </c>
      <c r="E269" t="s">
        <v>35</v>
      </c>
      <c r="F269" t="s">
        <v>50</v>
      </c>
      <c r="G269" t="s">
        <v>22</v>
      </c>
      <c r="H269" t="s">
        <v>44</v>
      </c>
      <c r="I269" t="s">
        <v>124</v>
      </c>
      <c r="J269">
        <v>21</v>
      </c>
      <c r="K269">
        <v>35974.26</v>
      </c>
      <c r="L269">
        <v>755459.46</v>
      </c>
      <c r="M269">
        <v>2727.16</v>
      </c>
      <c r="N269">
        <v>0</v>
      </c>
      <c r="O269">
        <v>752732.3</v>
      </c>
      <c r="P269" t="s">
        <v>31</v>
      </c>
      <c r="Q269" t="s">
        <v>32</v>
      </c>
    </row>
    <row r="270" spans="1:17" x14ac:dyDescent="0.25">
      <c r="A270" t="s">
        <v>387</v>
      </c>
      <c r="B270" s="1">
        <v>46031</v>
      </c>
      <c r="C270" t="s">
        <v>60</v>
      </c>
      <c r="D270" t="s">
        <v>65</v>
      </c>
      <c r="E270" t="s">
        <v>49</v>
      </c>
      <c r="F270" t="s">
        <v>84</v>
      </c>
      <c r="G270" t="s">
        <v>138</v>
      </c>
      <c r="H270" t="s">
        <v>94</v>
      </c>
      <c r="I270" t="s">
        <v>163</v>
      </c>
      <c r="J270">
        <v>48</v>
      </c>
      <c r="K270">
        <v>32569.599999999999</v>
      </c>
      <c r="L270">
        <v>1563340.8</v>
      </c>
      <c r="M270">
        <v>245991.89</v>
      </c>
      <c r="N270">
        <v>0</v>
      </c>
      <c r="O270">
        <v>1317348.9099999999</v>
      </c>
      <c r="P270" t="s">
        <v>25</v>
      </c>
      <c r="Q270" t="s">
        <v>26</v>
      </c>
    </row>
    <row r="271" spans="1:17" x14ac:dyDescent="0.25">
      <c r="A271" t="s">
        <v>388</v>
      </c>
      <c r="B271" s="1">
        <v>46028</v>
      </c>
      <c r="C271" t="s">
        <v>60</v>
      </c>
      <c r="D271" t="s">
        <v>123</v>
      </c>
      <c r="E271" t="s">
        <v>49</v>
      </c>
      <c r="F271" t="s">
        <v>36</v>
      </c>
      <c r="G271" t="s">
        <v>43</v>
      </c>
      <c r="H271" t="s">
        <v>44</v>
      </c>
      <c r="I271" t="s">
        <v>152</v>
      </c>
      <c r="J271">
        <v>50</v>
      </c>
      <c r="K271">
        <v>17964.25</v>
      </c>
      <c r="L271">
        <v>898212.5</v>
      </c>
      <c r="M271">
        <v>90313.68</v>
      </c>
      <c r="N271">
        <v>94213.29</v>
      </c>
      <c r="O271">
        <v>713685.53</v>
      </c>
      <c r="P271" t="s">
        <v>25</v>
      </c>
      <c r="Q271" t="s">
        <v>26</v>
      </c>
    </row>
    <row r="272" spans="1:17" x14ac:dyDescent="0.25">
      <c r="A272" t="s">
        <v>389</v>
      </c>
      <c r="B272" s="1">
        <v>45993</v>
      </c>
      <c r="C272" t="s">
        <v>79</v>
      </c>
      <c r="D272" t="s">
        <v>101</v>
      </c>
      <c r="E272" t="s">
        <v>49</v>
      </c>
      <c r="F272" t="s">
        <v>84</v>
      </c>
      <c r="G272" t="s">
        <v>138</v>
      </c>
      <c r="H272" t="s">
        <v>94</v>
      </c>
      <c r="I272" t="s">
        <v>177</v>
      </c>
      <c r="J272">
        <v>1</v>
      </c>
      <c r="K272">
        <v>33082.519999999997</v>
      </c>
      <c r="L272">
        <v>33082.519999999997</v>
      </c>
      <c r="M272">
        <v>554.9</v>
      </c>
      <c r="N272">
        <v>0</v>
      </c>
      <c r="O272">
        <v>32527.62</v>
      </c>
      <c r="P272" t="s">
        <v>31</v>
      </c>
      <c r="Q272" t="s">
        <v>32</v>
      </c>
    </row>
    <row r="273" spans="1:17" x14ac:dyDescent="0.25">
      <c r="A273" t="s">
        <v>390</v>
      </c>
      <c r="B273" s="1">
        <v>45957</v>
      </c>
      <c r="C273" t="s">
        <v>54</v>
      </c>
      <c r="D273" t="s">
        <v>133</v>
      </c>
      <c r="E273" t="s">
        <v>20</v>
      </c>
      <c r="F273" t="s">
        <v>137</v>
      </c>
      <c r="G273" t="s">
        <v>98</v>
      </c>
      <c r="H273" t="s">
        <v>57</v>
      </c>
      <c r="I273" t="s">
        <v>148</v>
      </c>
      <c r="J273">
        <v>4</v>
      </c>
      <c r="K273">
        <v>16798.32</v>
      </c>
      <c r="L273">
        <v>67193.279999999999</v>
      </c>
      <c r="M273">
        <v>7718.37</v>
      </c>
      <c r="N273">
        <v>2221.75</v>
      </c>
      <c r="O273">
        <v>57253.16</v>
      </c>
      <c r="P273" t="s">
        <v>73</v>
      </c>
      <c r="Q273" t="s">
        <v>32</v>
      </c>
    </row>
    <row r="274" spans="1:17" x14ac:dyDescent="0.25">
      <c r="A274" t="s">
        <v>391</v>
      </c>
      <c r="B274" s="1">
        <v>45958</v>
      </c>
      <c r="C274" t="s">
        <v>54</v>
      </c>
      <c r="D274" t="s">
        <v>55</v>
      </c>
      <c r="E274" t="s">
        <v>35</v>
      </c>
      <c r="F274" t="s">
        <v>137</v>
      </c>
      <c r="G274" t="s">
        <v>51</v>
      </c>
      <c r="H274" t="s">
        <v>67</v>
      </c>
      <c r="I274" t="s">
        <v>68</v>
      </c>
      <c r="J274">
        <v>48</v>
      </c>
      <c r="K274">
        <v>29092.17</v>
      </c>
      <c r="L274">
        <v>1396424.16</v>
      </c>
      <c r="M274">
        <v>115799.01</v>
      </c>
      <c r="N274">
        <v>56961.91</v>
      </c>
      <c r="O274">
        <v>1223663.24</v>
      </c>
      <c r="P274" t="s">
        <v>31</v>
      </c>
      <c r="Q274" t="s">
        <v>32</v>
      </c>
    </row>
    <row r="275" spans="1:17" x14ac:dyDescent="0.25">
      <c r="A275" t="s">
        <v>392</v>
      </c>
      <c r="B275" s="1">
        <v>46042</v>
      </c>
      <c r="C275" t="s">
        <v>47</v>
      </c>
      <c r="D275" t="s">
        <v>114</v>
      </c>
      <c r="E275" t="s">
        <v>20</v>
      </c>
      <c r="F275" t="s">
        <v>105</v>
      </c>
      <c r="G275" t="s">
        <v>63</v>
      </c>
      <c r="H275" t="s">
        <v>38</v>
      </c>
      <c r="I275" t="s">
        <v>120</v>
      </c>
      <c r="J275">
        <v>5</v>
      </c>
      <c r="K275">
        <v>13823.87</v>
      </c>
      <c r="L275">
        <v>69119.350000000006</v>
      </c>
      <c r="M275">
        <v>0</v>
      </c>
      <c r="N275">
        <v>0</v>
      </c>
      <c r="O275">
        <v>69119.350000000006</v>
      </c>
      <c r="P275" t="s">
        <v>25</v>
      </c>
      <c r="Q275" t="s">
        <v>128</v>
      </c>
    </row>
    <row r="276" spans="1:17" x14ac:dyDescent="0.25">
      <c r="A276" t="s">
        <v>393</v>
      </c>
      <c r="B276" s="1">
        <v>45999</v>
      </c>
      <c r="C276" t="s">
        <v>79</v>
      </c>
      <c r="D276" t="s">
        <v>80</v>
      </c>
      <c r="E276" t="s">
        <v>35</v>
      </c>
      <c r="F276" t="s">
        <v>42</v>
      </c>
      <c r="G276" t="s">
        <v>66</v>
      </c>
      <c r="H276" t="s">
        <v>94</v>
      </c>
      <c r="I276" t="s">
        <v>115</v>
      </c>
      <c r="J276">
        <v>24</v>
      </c>
      <c r="K276">
        <v>21100.04</v>
      </c>
      <c r="L276">
        <v>506400.96</v>
      </c>
      <c r="M276">
        <v>0</v>
      </c>
      <c r="N276">
        <v>0</v>
      </c>
      <c r="O276">
        <v>506400.96</v>
      </c>
      <c r="P276" t="s">
        <v>73</v>
      </c>
      <c r="Q276" t="s">
        <v>32</v>
      </c>
    </row>
    <row r="277" spans="1:17" x14ac:dyDescent="0.25">
      <c r="A277" t="s">
        <v>394</v>
      </c>
      <c r="B277" s="1">
        <v>45970</v>
      </c>
      <c r="C277" t="s">
        <v>60</v>
      </c>
      <c r="D277" t="s">
        <v>65</v>
      </c>
      <c r="E277" t="s">
        <v>41</v>
      </c>
      <c r="F277" t="s">
        <v>71</v>
      </c>
      <c r="G277" t="s">
        <v>51</v>
      </c>
      <c r="H277" t="s">
        <v>67</v>
      </c>
      <c r="I277" t="s">
        <v>201</v>
      </c>
      <c r="J277">
        <v>37</v>
      </c>
      <c r="K277">
        <v>31575.67</v>
      </c>
      <c r="L277">
        <v>1168299.79</v>
      </c>
      <c r="M277">
        <v>0</v>
      </c>
      <c r="N277">
        <v>0</v>
      </c>
      <c r="O277">
        <v>1168299.79</v>
      </c>
      <c r="P277" t="s">
        <v>73</v>
      </c>
      <c r="Q277" t="s">
        <v>32</v>
      </c>
    </row>
    <row r="278" spans="1:17" x14ac:dyDescent="0.25">
      <c r="A278" t="s">
        <v>395</v>
      </c>
      <c r="B278" s="1">
        <v>45959</v>
      </c>
      <c r="C278" t="s">
        <v>47</v>
      </c>
      <c r="D278" t="s">
        <v>48</v>
      </c>
      <c r="E278" t="s">
        <v>49</v>
      </c>
      <c r="F278" t="s">
        <v>62</v>
      </c>
      <c r="G278" t="s">
        <v>37</v>
      </c>
      <c r="H278" t="s">
        <v>67</v>
      </c>
      <c r="I278" t="s">
        <v>201</v>
      </c>
      <c r="J278">
        <v>25</v>
      </c>
      <c r="K278">
        <v>28765.360000000001</v>
      </c>
      <c r="L278">
        <v>719134</v>
      </c>
      <c r="M278">
        <v>0</v>
      </c>
      <c r="N278">
        <v>0</v>
      </c>
      <c r="O278">
        <v>719134</v>
      </c>
      <c r="P278" t="s">
        <v>25</v>
      </c>
      <c r="Q278" t="s">
        <v>26</v>
      </c>
    </row>
    <row r="279" spans="1:17" x14ac:dyDescent="0.25">
      <c r="A279" t="s">
        <v>396</v>
      </c>
      <c r="B279" s="1">
        <v>46029</v>
      </c>
      <c r="C279" t="s">
        <v>79</v>
      </c>
      <c r="D279" t="s">
        <v>101</v>
      </c>
      <c r="E279" t="s">
        <v>49</v>
      </c>
      <c r="F279" t="s">
        <v>137</v>
      </c>
      <c r="G279" t="s">
        <v>85</v>
      </c>
      <c r="H279" t="s">
        <v>57</v>
      </c>
      <c r="I279" t="s">
        <v>148</v>
      </c>
      <c r="J279">
        <v>11</v>
      </c>
      <c r="K279">
        <v>16332.28</v>
      </c>
      <c r="L279">
        <v>179655.08</v>
      </c>
      <c r="M279">
        <v>0</v>
      </c>
      <c r="N279">
        <v>0</v>
      </c>
      <c r="O279">
        <v>179655.08</v>
      </c>
      <c r="P279" t="s">
        <v>31</v>
      </c>
      <c r="Q279" t="s">
        <v>32</v>
      </c>
    </row>
    <row r="280" spans="1:17" x14ac:dyDescent="0.25">
      <c r="A280" t="s">
        <v>397</v>
      </c>
      <c r="B280" s="1">
        <v>45966</v>
      </c>
      <c r="C280" t="s">
        <v>79</v>
      </c>
      <c r="D280" t="s">
        <v>107</v>
      </c>
      <c r="E280" t="s">
        <v>35</v>
      </c>
      <c r="F280" t="s">
        <v>21</v>
      </c>
      <c r="G280" t="s">
        <v>81</v>
      </c>
      <c r="H280" t="s">
        <v>38</v>
      </c>
      <c r="I280" t="s">
        <v>108</v>
      </c>
      <c r="J280">
        <v>17</v>
      </c>
      <c r="K280">
        <v>35728.61</v>
      </c>
      <c r="L280">
        <v>607386.37</v>
      </c>
      <c r="M280">
        <v>0</v>
      </c>
      <c r="N280">
        <v>172021.53</v>
      </c>
      <c r="O280">
        <v>435364.84</v>
      </c>
      <c r="P280" t="s">
        <v>25</v>
      </c>
      <c r="Q280" t="s">
        <v>26</v>
      </c>
    </row>
    <row r="281" spans="1:17" x14ac:dyDescent="0.25">
      <c r="A281" t="s">
        <v>398</v>
      </c>
      <c r="B281" s="1">
        <v>45993</v>
      </c>
      <c r="C281" t="s">
        <v>47</v>
      </c>
      <c r="D281" t="s">
        <v>88</v>
      </c>
      <c r="E281" t="s">
        <v>49</v>
      </c>
      <c r="F281" t="s">
        <v>105</v>
      </c>
      <c r="G281" t="s">
        <v>43</v>
      </c>
      <c r="H281" t="s">
        <v>23</v>
      </c>
      <c r="I281" t="s">
        <v>52</v>
      </c>
      <c r="J281">
        <v>15</v>
      </c>
      <c r="K281">
        <v>27616.720000000001</v>
      </c>
      <c r="L281">
        <v>414250.8</v>
      </c>
      <c r="M281">
        <v>44596.42</v>
      </c>
      <c r="N281">
        <v>0</v>
      </c>
      <c r="O281">
        <v>369654.38</v>
      </c>
      <c r="P281" t="s">
        <v>73</v>
      </c>
      <c r="Q281" t="s">
        <v>32</v>
      </c>
    </row>
    <row r="282" spans="1:17" x14ac:dyDescent="0.25">
      <c r="A282" t="s">
        <v>399</v>
      </c>
      <c r="B282" s="1">
        <v>46007</v>
      </c>
      <c r="C282" t="s">
        <v>54</v>
      </c>
      <c r="D282" t="s">
        <v>70</v>
      </c>
      <c r="E282" t="s">
        <v>35</v>
      </c>
      <c r="F282" t="s">
        <v>137</v>
      </c>
      <c r="G282" t="s">
        <v>43</v>
      </c>
      <c r="H282" t="s">
        <v>38</v>
      </c>
      <c r="I282" t="s">
        <v>86</v>
      </c>
      <c r="J282">
        <v>2</v>
      </c>
      <c r="K282">
        <v>21379.86</v>
      </c>
      <c r="L282">
        <v>42759.72</v>
      </c>
      <c r="M282">
        <v>0</v>
      </c>
      <c r="N282">
        <v>0</v>
      </c>
      <c r="O282">
        <v>42759.72</v>
      </c>
      <c r="P282" t="s">
        <v>32</v>
      </c>
      <c r="Q282" t="s">
        <v>26</v>
      </c>
    </row>
    <row r="283" spans="1:17" x14ac:dyDescent="0.25">
      <c r="A283" t="s">
        <v>400</v>
      </c>
      <c r="B283" s="1">
        <v>46045</v>
      </c>
      <c r="C283" t="s">
        <v>47</v>
      </c>
      <c r="D283" t="s">
        <v>48</v>
      </c>
      <c r="E283" t="s">
        <v>49</v>
      </c>
      <c r="F283" t="s">
        <v>36</v>
      </c>
      <c r="G283" t="s">
        <v>43</v>
      </c>
      <c r="H283" t="s">
        <v>23</v>
      </c>
      <c r="I283" t="s">
        <v>24</v>
      </c>
      <c r="J283">
        <v>30</v>
      </c>
      <c r="K283">
        <v>32760.51</v>
      </c>
      <c r="L283">
        <v>982815.3</v>
      </c>
      <c r="M283">
        <v>0</v>
      </c>
      <c r="N283">
        <v>0</v>
      </c>
      <c r="O283">
        <v>982815.3</v>
      </c>
      <c r="P283" t="s">
        <v>31</v>
      </c>
      <c r="Q283" t="s">
        <v>32</v>
      </c>
    </row>
    <row r="284" spans="1:17" x14ac:dyDescent="0.25">
      <c r="A284" t="s">
        <v>401</v>
      </c>
      <c r="B284" s="1">
        <v>45977</v>
      </c>
      <c r="C284" t="s">
        <v>79</v>
      </c>
      <c r="D284" t="s">
        <v>101</v>
      </c>
      <c r="E284" t="s">
        <v>41</v>
      </c>
      <c r="F284" t="s">
        <v>62</v>
      </c>
      <c r="G284" t="s">
        <v>43</v>
      </c>
      <c r="H284" t="s">
        <v>67</v>
      </c>
      <c r="I284" t="s">
        <v>170</v>
      </c>
      <c r="J284">
        <v>15</v>
      </c>
      <c r="K284">
        <v>44892.37</v>
      </c>
      <c r="L284">
        <v>673385.55</v>
      </c>
      <c r="M284">
        <v>0</v>
      </c>
      <c r="N284">
        <v>0</v>
      </c>
      <c r="O284">
        <v>673385.55</v>
      </c>
      <c r="P284" t="s">
        <v>73</v>
      </c>
      <c r="Q284" t="s">
        <v>32</v>
      </c>
    </row>
    <row r="285" spans="1:17" x14ac:dyDescent="0.25">
      <c r="A285" t="s">
        <v>402</v>
      </c>
      <c r="B285" s="1">
        <v>46003</v>
      </c>
      <c r="C285" t="s">
        <v>47</v>
      </c>
      <c r="D285" t="s">
        <v>48</v>
      </c>
      <c r="E285" t="s">
        <v>20</v>
      </c>
      <c r="F285" t="s">
        <v>36</v>
      </c>
      <c r="G285" t="s">
        <v>51</v>
      </c>
      <c r="H285" t="s">
        <v>23</v>
      </c>
      <c r="I285" t="s">
        <v>99</v>
      </c>
      <c r="J285">
        <v>32</v>
      </c>
      <c r="K285">
        <v>21942.52</v>
      </c>
      <c r="L285">
        <v>702160.64</v>
      </c>
      <c r="M285">
        <v>9592</v>
      </c>
      <c r="N285">
        <v>0</v>
      </c>
      <c r="O285">
        <v>692568.64</v>
      </c>
      <c r="P285" t="s">
        <v>25</v>
      </c>
      <c r="Q285" t="s">
        <v>26</v>
      </c>
    </row>
    <row r="286" spans="1:17" x14ac:dyDescent="0.25">
      <c r="A286" t="s">
        <v>403</v>
      </c>
      <c r="B286" s="1">
        <v>46016</v>
      </c>
      <c r="C286" t="s">
        <v>54</v>
      </c>
      <c r="D286" t="s">
        <v>133</v>
      </c>
      <c r="E286" t="s">
        <v>41</v>
      </c>
      <c r="F286" t="s">
        <v>137</v>
      </c>
      <c r="G286" t="s">
        <v>22</v>
      </c>
      <c r="H286" t="s">
        <v>38</v>
      </c>
      <c r="I286" t="s">
        <v>86</v>
      </c>
      <c r="J286">
        <v>21</v>
      </c>
      <c r="K286">
        <v>3231.29</v>
      </c>
      <c r="L286">
        <v>67857.09</v>
      </c>
      <c r="M286">
        <v>2838.99</v>
      </c>
      <c r="N286">
        <v>0</v>
      </c>
      <c r="O286">
        <v>65018.1</v>
      </c>
      <c r="P286" t="s">
        <v>73</v>
      </c>
      <c r="Q286" t="s">
        <v>26</v>
      </c>
    </row>
    <row r="287" spans="1:17" x14ac:dyDescent="0.25">
      <c r="A287" t="s">
        <v>404</v>
      </c>
      <c r="B287" s="1">
        <v>46010</v>
      </c>
      <c r="C287" t="s">
        <v>54</v>
      </c>
      <c r="D287" t="s">
        <v>70</v>
      </c>
      <c r="E287" t="s">
        <v>20</v>
      </c>
      <c r="F287" t="s">
        <v>50</v>
      </c>
      <c r="G287" t="s">
        <v>43</v>
      </c>
      <c r="H287" t="s">
        <v>44</v>
      </c>
      <c r="I287" t="s">
        <v>141</v>
      </c>
      <c r="J287">
        <v>4</v>
      </c>
      <c r="K287">
        <v>21472.57</v>
      </c>
      <c r="L287">
        <v>85890.28</v>
      </c>
      <c r="M287">
        <v>4107.5200000000004</v>
      </c>
      <c r="N287">
        <v>0</v>
      </c>
      <c r="O287">
        <v>81782.759999999995</v>
      </c>
      <c r="P287" t="s">
        <v>31</v>
      </c>
      <c r="Q287" t="s">
        <v>32</v>
      </c>
    </row>
    <row r="288" spans="1:17" x14ac:dyDescent="0.25">
      <c r="A288" t="s">
        <v>405</v>
      </c>
      <c r="B288" s="1">
        <v>46026</v>
      </c>
      <c r="C288" t="s">
        <v>54</v>
      </c>
      <c r="D288" t="s">
        <v>97</v>
      </c>
      <c r="E288" t="s">
        <v>20</v>
      </c>
      <c r="F288" t="s">
        <v>21</v>
      </c>
      <c r="G288" t="s">
        <v>89</v>
      </c>
      <c r="H288" t="s">
        <v>57</v>
      </c>
      <c r="I288" t="s">
        <v>118</v>
      </c>
      <c r="J288">
        <v>38</v>
      </c>
      <c r="K288">
        <v>19336.09</v>
      </c>
      <c r="L288">
        <v>734771.42</v>
      </c>
      <c r="M288">
        <v>133329.68</v>
      </c>
      <c r="N288">
        <v>0</v>
      </c>
      <c r="O288">
        <v>601441.74</v>
      </c>
      <c r="P288" t="s">
        <v>73</v>
      </c>
      <c r="Q288" t="s">
        <v>26</v>
      </c>
    </row>
    <row r="289" spans="1:17" x14ac:dyDescent="0.25">
      <c r="A289" t="s">
        <v>406</v>
      </c>
      <c r="B289" s="1">
        <v>45975</v>
      </c>
      <c r="C289" t="s">
        <v>79</v>
      </c>
      <c r="D289" t="s">
        <v>107</v>
      </c>
      <c r="E289" t="s">
        <v>41</v>
      </c>
      <c r="F289" t="s">
        <v>36</v>
      </c>
      <c r="G289" t="s">
        <v>140</v>
      </c>
      <c r="H289" t="s">
        <v>38</v>
      </c>
      <c r="I289" t="s">
        <v>120</v>
      </c>
      <c r="J289">
        <v>27</v>
      </c>
      <c r="K289">
        <v>23834.84</v>
      </c>
      <c r="L289">
        <v>643540.68000000005</v>
      </c>
      <c r="M289">
        <v>117626.26</v>
      </c>
      <c r="N289">
        <v>0</v>
      </c>
      <c r="O289">
        <v>525914.42000000004</v>
      </c>
      <c r="P289" t="s">
        <v>32</v>
      </c>
      <c r="Q289" t="s">
        <v>26</v>
      </c>
    </row>
    <row r="290" spans="1:17" x14ac:dyDescent="0.25">
      <c r="A290" t="s">
        <v>407</v>
      </c>
      <c r="B290" s="1">
        <v>46030</v>
      </c>
      <c r="C290" t="s">
        <v>18</v>
      </c>
      <c r="D290" t="s">
        <v>28</v>
      </c>
      <c r="E290" t="s">
        <v>20</v>
      </c>
      <c r="F290" t="s">
        <v>71</v>
      </c>
      <c r="G290" t="s">
        <v>37</v>
      </c>
      <c r="H290" t="s">
        <v>94</v>
      </c>
      <c r="I290" t="s">
        <v>95</v>
      </c>
      <c r="J290">
        <v>48</v>
      </c>
      <c r="K290">
        <v>10298.14</v>
      </c>
      <c r="L290">
        <v>494310.72</v>
      </c>
      <c r="M290">
        <v>0</v>
      </c>
      <c r="N290">
        <v>0</v>
      </c>
      <c r="O290">
        <v>494310.72</v>
      </c>
      <c r="P290" t="s">
        <v>32</v>
      </c>
      <c r="Q290" t="s">
        <v>32</v>
      </c>
    </row>
    <row r="291" spans="1:17" x14ac:dyDescent="0.25">
      <c r="A291" t="s">
        <v>408</v>
      </c>
      <c r="B291" s="1">
        <v>46003</v>
      </c>
      <c r="C291" t="s">
        <v>79</v>
      </c>
      <c r="D291" t="s">
        <v>91</v>
      </c>
      <c r="E291" t="s">
        <v>41</v>
      </c>
      <c r="F291" t="s">
        <v>105</v>
      </c>
      <c r="G291" t="s">
        <v>85</v>
      </c>
      <c r="H291" t="s">
        <v>23</v>
      </c>
      <c r="I291" t="s">
        <v>30</v>
      </c>
      <c r="J291">
        <v>3</v>
      </c>
      <c r="K291">
        <v>37589.910000000003</v>
      </c>
      <c r="L291">
        <v>112769.73</v>
      </c>
      <c r="M291">
        <v>17643.04</v>
      </c>
      <c r="N291">
        <v>0</v>
      </c>
      <c r="O291">
        <v>95126.69</v>
      </c>
      <c r="P291" t="s">
        <v>31</v>
      </c>
      <c r="Q291" t="s">
        <v>32</v>
      </c>
    </row>
    <row r="292" spans="1:17" x14ac:dyDescent="0.25">
      <c r="A292" t="s">
        <v>409</v>
      </c>
      <c r="B292" s="1">
        <v>46023</v>
      </c>
      <c r="C292" t="s">
        <v>18</v>
      </c>
      <c r="D292" t="s">
        <v>19</v>
      </c>
      <c r="E292" t="s">
        <v>49</v>
      </c>
      <c r="F292" t="s">
        <v>71</v>
      </c>
      <c r="G292" t="s">
        <v>22</v>
      </c>
      <c r="H292" t="s">
        <v>67</v>
      </c>
      <c r="I292" t="s">
        <v>201</v>
      </c>
      <c r="J292">
        <v>30</v>
      </c>
      <c r="K292">
        <v>25538.91</v>
      </c>
      <c r="L292">
        <v>766167.3</v>
      </c>
      <c r="M292">
        <v>0</v>
      </c>
      <c r="N292">
        <v>0</v>
      </c>
      <c r="O292">
        <v>766167.3</v>
      </c>
      <c r="P292" t="s">
        <v>73</v>
      </c>
      <c r="Q292" t="s">
        <v>32</v>
      </c>
    </row>
    <row r="293" spans="1:17" x14ac:dyDescent="0.25">
      <c r="A293" t="s">
        <v>410</v>
      </c>
      <c r="B293" s="1">
        <v>46034</v>
      </c>
      <c r="C293" t="s">
        <v>79</v>
      </c>
      <c r="D293" t="s">
        <v>107</v>
      </c>
      <c r="E293" t="s">
        <v>35</v>
      </c>
      <c r="F293" t="s">
        <v>42</v>
      </c>
      <c r="G293" t="s">
        <v>98</v>
      </c>
      <c r="H293" t="s">
        <v>94</v>
      </c>
      <c r="I293" t="s">
        <v>193</v>
      </c>
      <c r="J293">
        <v>21</v>
      </c>
      <c r="K293">
        <v>34126.03</v>
      </c>
      <c r="L293">
        <v>716646.63</v>
      </c>
      <c r="M293">
        <v>0</v>
      </c>
      <c r="N293">
        <v>0</v>
      </c>
      <c r="O293">
        <v>716646.63</v>
      </c>
      <c r="P293" t="s">
        <v>32</v>
      </c>
      <c r="Q293" t="s">
        <v>32</v>
      </c>
    </row>
    <row r="294" spans="1:17" x14ac:dyDescent="0.25">
      <c r="A294" t="s">
        <v>411</v>
      </c>
      <c r="B294" s="1">
        <v>45971</v>
      </c>
      <c r="C294" t="s">
        <v>60</v>
      </c>
      <c r="D294" t="s">
        <v>65</v>
      </c>
      <c r="E294" t="s">
        <v>49</v>
      </c>
      <c r="F294" t="s">
        <v>71</v>
      </c>
      <c r="G294" t="s">
        <v>140</v>
      </c>
      <c r="H294" t="s">
        <v>94</v>
      </c>
      <c r="I294" t="s">
        <v>115</v>
      </c>
      <c r="J294">
        <v>34</v>
      </c>
      <c r="K294">
        <v>36720.660000000003</v>
      </c>
      <c r="L294">
        <v>1248502.44</v>
      </c>
      <c r="M294">
        <v>0</v>
      </c>
      <c r="N294">
        <v>0</v>
      </c>
      <c r="O294">
        <v>1248502.44</v>
      </c>
      <c r="P294" t="s">
        <v>25</v>
      </c>
      <c r="Q294" t="s">
        <v>26</v>
      </c>
    </row>
    <row r="295" spans="1:17" x14ac:dyDescent="0.25">
      <c r="A295" t="s">
        <v>412</v>
      </c>
      <c r="B295" s="1">
        <v>45997</v>
      </c>
      <c r="C295" t="s">
        <v>18</v>
      </c>
      <c r="D295" t="s">
        <v>28</v>
      </c>
      <c r="E295" t="s">
        <v>35</v>
      </c>
      <c r="F295" t="s">
        <v>84</v>
      </c>
      <c r="G295" t="s">
        <v>51</v>
      </c>
      <c r="H295" t="s">
        <v>23</v>
      </c>
      <c r="I295" t="s">
        <v>24</v>
      </c>
      <c r="J295">
        <v>2</v>
      </c>
      <c r="K295">
        <v>34174.69</v>
      </c>
      <c r="L295">
        <v>68349.38</v>
      </c>
      <c r="M295">
        <v>5165.3999999999996</v>
      </c>
      <c r="N295">
        <v>0</v>
      </c>
      <c r="O295">
        <v>63183.98</v>
      </c>
      <c r="P295" t="s">
        <v>73</v>
      </c>
      <c r="Q295" t="s">
        <v>32</v>
      </c>
    </row>
    <row r="296" spans="1:17" x14ac:dyDescent="0.25">
      <c r="A296" t="s">
        <v>413</v>
      </c>
      <c r="B296" s="1">
        <v>45987</v>
      </c>
      <c r="C296" t="s">
        <v>18</v>
      </c>
      <c r="D296" t="s">
        <v>19</v>
      </c>
      <c r="E296" t="s">
        <v>41</v>
      </c>
      <c r="F296" t="s">
        <v>42</v>
      </c>
      <c r="G296" t="s">
        <v>22</v>
      </c>
      <c r="H296" t="s">
        <v>23</v>
      </c>
      <c r="I296" t="s">
        <v>24</v>
      </c>
      <c r="J296">
        <v>33</v>
      </c>
      <c r="K296">
        <v>21121.45</v>
      </c>
      <c r="L296">
        <v>697007.85</v>
      </c>
      <c r="M296">
        <v>0</v>
      </c>
      <c r="N296">
        <v>0</v>
      </c>
      <c r="O296">
        <v>697007.85</v>
      </c>
      <c r="P296" t="s">
        <v>25</v>
      </c>
      <c r="Q296" t="s">
        <v>26</v>
      </c>
    </row>
    <row r="297" spans="1:17" x14ac:dyDescent="0.25">
      <c r="A297" t="s">
        <v>414</v>
      </c>
      <c r="B297" s="1">
        <v>45958</v>
      </c>
      <c r="C297" t="s">
        <v>79</v>
      </c>
      <c r="D297" t="s">
        <v>101</v>
      </c>
      <c r="E297" t="s">
        <v>49</v>
      </c>
      <c r="F297" t="s">
        <v>84</v>
      </c>
      <c r="G297" t="s">
        <v>66</v>
      </c>
      <c r="H297" t="s">
        <v>67</v>
      </c>
      <c r="I297" t="s">
        <v>154</v>
      </c>
      <c r="J297">
        <v>45</v>
      </c>
      <c r="K297">
        <v>34634.75</v>
      </c>
      <c r="L297">
        <v>1558563.75</v>
      </c>
      <c r="M297">
        <v>242501.65</v>
      </c>
      <c r="N297">
        <v>0</v>
      </c>
      <c r="O297">
        <v>1316062.1000000001</v>
      </c>
      <c r="P297" t="s">
        <v>31</v>
      </c>
      <c r="Q297" t="s">
        <v>32</v>
      </c>
    </row>
    <row r="298" spans="1:17" x14ac:dyDescent="0.25">
      <c r="A298" t="s">
        <v>415</v>
      </c>
      <c r="B298" s="1">
        <v>46004</v>
      </c>
      <c r="C298" t="s">
        <v>60</v>
      </c>
      <c r="D298" t="s">
        <v>151</v>
      </c>
      <c r="E298" t="s">
        <v>49</v>
      </c>
      <c r="F298" t="s">
        <v>42</v>
      </c>
      <c r="G298" t="s">
        <v>81</v>
      </c>
      <c r="H298" t="s">
        <v>23</v>
      </c>
      <c r="I298" t="s">
        <v>24</v>
      </c>
      <c r="J298">
        <v>7</v>
      </c>
      <c r="K298">
        <v>40833.56</v>
      </c>
      <c r="L298">
        <v>285834.92</v>
      </c>
      <c r="M298">
        <v>0</v>
      </c>
      <c r="N298">
        <v>0</v>
      </c>
      <c r="O298">
        <v>285834.92</v>
      </c>
      <c r="P298" t="s">
        <v>25</v>
      </c>
      <c r="Q298" t="s">
        <v>26</v>
      </c>
    </row>
    <row r="299" spans="1:17" x14ac:dyDescent="0.25">
      <c r="A299" t="s">
        <v>416</v>
      </c>
      <c r="B299" s="1">
        <v>45967</v>
      </c>
      <c r="C299" t="s">
        <v>60</v>
      </c>
      <c r="D299" t="s">
        <v>123</v>
      </c>
      <c r="E299" t="s">
        <v>35</v>
      </c>
      <c r="F299" t="s">
        <v>112</v>
      </c>
      <c r="G299" t="s">
        <v>102</v>
      </c>
      <c r="H299" t="s">
        <v>23</v>
      </c>
      <c r="I299" t="s">
        <v>131</v>
      </c>
      <c r="J299">
        <v>33</v>
      </c>
      <c r="K299">
        <v>42997.06</v>
      </c>
      <c r="L299">
        <v>1418902.98</v>
      </c>
      <c r="M299">
        <v>0</v>
      </c>
      <c r="N299">
        <v>0</v>
      </c>
      <c r="O299">
        <v>1418902.98</v>
      </c>
      <c r="P299" t="s">
        <v>32</v>
      </c>
      <c r="Q299" t="s">
        <v>26</v>
      </c>
    </row>
    <row r="300" spans="1:17" x14ac:dyDescent="0.25">
      <c r="A300" t="s">
        <v>417</v>
      </c>
      <c r="B300" s="1">
        <v>45982</v>
      </c>
      <c r="C300" t="s">
        <v>18</v>
      </c>
      <c r="D300" t="s">
        <v>34</v>
      </c>
      <c r="E300" t="s">
        <v>49</v>
      </c>
      <c r="F300" t="s">
        <v>21</v>
      </c>
      <c r="G300" t="s">
        <v>138</v>
      </c>
      <c r="H300" t="s">
        <v>94</v>
      </c>
      <c r="I300" t="s">
        <v>163</v>
      </c>
      <c r="J300">
        <v>46</v>
      </c>
      <c r="K300">
        <v>35247.339999999997</v>
      </c>
      <c r="L300">
        <v>1621377.64</v>
      </c>
      <c r="M300">
        <v>232374.8</v>
      </c>
      <c r="N300">
        <v>0</v>
      </c>
      <c r="O300">
        <v>1389002.84</v>
      </c>
      <c r="P300" t="s">
        <v>32</v>
      </c>
      <c r="Q300" t="s">
        <v>32</v>
      </c>
    </row>
    <row r="301" spans="1:17" x14ac:dyDescent="0.25">
      <c r="A301" t="s">
        <v>418</v>
      </c>
      <c r="B301" s="1">
        <v>45982</v>
      </c>
      <c r="C301" t="s">
        <v>79</v>
      </c>
      <c r="D301" t="s">
        <v>91</v>
      </c>
      <c r="E301" t="s">
        <v>41</v>
      </c>
      <c r="F301" t="s">
        <v>21</v>
      </c>
      <c r="G301" t="s">
        <v>140</v>
      </c>
      <c r="H301" t="s">
        <v>94</v>
      </c>
      <c r="I301" t="s">
        <v>163</v>
      </c>
      <c r="J301">
        <v>45</v>
      </c>
      <c r="K301">
        <v>2710.92</v>
      </c>
      <c r="L301">
        <v>121991.4</v>
      </c>
      <c r="M301">
        <v>53.09</v>
      </c>
      <c r="N301">
        <v>0</v>
      </c>
      <c r="O301">
        <v>121938.31</v>
      </c>
      <c r="P301" t="s">
        <v>73</v>
      </c>
      <c r="Q301" t="s">
        <v>32</v>
      </c>
    </row>
    <row r="302" spans="1:17" x14ac:dyDescent="0.25">
      <c r="A302" t="s">
        <v>419</v>
      </c>
      <c r="B302" s="1">
        <v>45959</v>
      </c>
      <c r="C302" t="s">
        <v>60</v>
      </c>
      <c r="D302" t="s">
        <v>151</v>
      </c>
      <c r="E302" t="s">
        <v>35</v>
      </c>
      <c r="F302" t="s">
        <v>105</v>
      </c>
      <c r="G302" t="s">
        <v>22</v>
      </c>
      <c r="H302" t="s">
        <v>23</v>
      </c>
      <c r="I302" t="s">
        <v>99</v>
      </c>
      <c r="J302">
        <v>14</v>
      </c>
      <c r="K302">
        <v>40268.980000000003</v>
      </c>
      <c r="L302">
        <v>563765.72</v>
      </c>
      <c r="M302">
        <v>0</v>
      </c>
      <c r="N302">
        <v>0</v>
      </c>
      <c r="O302">
        <v>563765.72</v>
      </c>
      <c r="P302" t="s">
        <v>31</v>
      </c>
      <c r="Q302" t="s">
        <v>32</v>
      </c>
    </row>
    <row r="303" spans="1:17" x14ac:dyDescent="0.25">
      <c r="A303" t="s">
        <v>420</v>
      </c>
      <c r="B303" s="1">
        <v>45959</v>
      </c>
      <c r="C303" t="s">
        <v>79</v>
      </c>
      <c r="D303" t="s">
        <v>107</v>
      </c>
      <c r="E303" t="s">
        <v>49</v>
      </c>
      <c r="F303" t="s">
        <v>71</v>
      </c>
      <c r="G303" t="s">
        <v>81</v>
      </c>
      <c r="H303" t="s">
        <v>57</v>
      </c>
      <c r="I303" t="s">
        <v>58</v>
      </c>
      <c r="J303">
        <v>44</v>
      </c>
      <c r="K303">
        <v>28296.49</v>
      </c>
      <c r="L303">
        <v>1245045.56</v>
      </c>
      <c r="M303">
        <v>0</v>
      </c>
      <c r="N303">
        <v>161556.13</v>
      </c>
      <c r="O303">
        <v>1083489.43</v>
      </c>
      <c r="P303" t="s">
        <v>25</v>
      </c>
      <c r="Q303" t="s">
        <v>26</v>
      </c>
    </row>
    <row r="304" spans="1:17" x14ac:dyDescent="0.25">
      <c r="A304" t="s">
        <v>421</v>
      </c>
      <c r="B304" s="1">
        <v>46045</v>
      </c>
      <c r="C304" t="s">
        <v>18</v>
      </c>
      <c r="D304" t="s">
        <v>28</v>
      </c>
      <c r="E304" t="s">
        <v>35</v>
      </c>
      <c r="F304" t="s">
        <v>21</v>
      </c>
      <c r="G304" t="s">
        <v>37</v>
      </c>
      <c r="H304" t="s">
        <v>44</v>
      </c>
      <c r="I304" t="s">
        <v>45</v>
      </c>
      <c r="J304">
        <v>5</v>
      </c>
      <c r="K304">
        <v>43277.71</v>
      </c>
      <c r="L304">
        <v>216388.55</v>
      </c>
      <c r="M304">
        <v>5057.32</v>
      </c>
      <c r="N304">
        <v>0</v>
      </c>
      <c r="O304">
        <v>211331.23</v>
      </c>
      <c r="P304" t="s">
        <v>31</v>
      </c>
      <c r="Q304" t="s">
        <v>32</v>
      </c>
    </row>
    <row r="305" spans="1:17" x14ac:dyDescent="0.25">
      <c r="A305" t="s">
        <v>422</v>
      </c>
      <c r="B305" s="1">
        <v>45991</v>
      </c>
      <c r="C305" t="s">
        <v>47</v>
      </c>
      <c r="D305" t="s">
        <v>88</v>
      </c>
      <c r="E305" t="s">
        <v>49</v>
      </c>
      <c r="F305" t="s">
        <v>137</v>
      </c>
      <c r="G305" t="s">
        <v>43</v>
      </c>
      <c r="H305" t="s">
        <v>67</v>
      </c>
      <c r="I305" t="s">
        <v>170</v>
      </c>
      <c r="J305">
        <v>17</v>
      </c>
      <c r="K305">
        <v>16901.669999999998</v>
      </c>
      <c r="L305">
        <v>287328.39</v>
      </c>
      <c r="M305">
        <v>19932.11</v>
      </c>
      <c r="N305">
        <v>0</v>
      </c>
      <c r="O305">
        <v>267396.28000000003</v>
      </c>
      <c r="P305" t="s">
        <v>32</v>
      </c>
      <c r="Q305" t="s">
        <v>32</v>
      </c>
    </row>
    <row r="306" spans="1:17" x14ac:dyDescent="0.25">
      <c r="A306" t="s">
        <v>423</v>
      </c>
      <c r="B306" s="1">
        <v>46002</v>
      </c>
      <c r="C306" t="s">
        <v>60</v>
      </c>
      <c r="D306" t="s">
        <v>151</v>
      </c>
      <c r="E306" t="s">
        <v>35</v>
      </c>
      <c r="F306" t="s">
        <v>21</v>
      </c>
      <c r="G306" t="s">
        <v>140</v>
      </c>
      <c r="H306" t="s">
        <v>94</v>
      </c>
      <c r="I306" t="s">
        <v>193</v>
      </c>
      <c r="J306">
        <v>23</v>
      </c>
      <c r="K306">
        <v>2233.69</v>
      </c>
      <c r="L306">
        <v>51374.87</v>
      </c>
      <c r="M306">
        <v>0</v>
      </c>
      <c r="N306">
        <v>0</v>
      </c>
      <c r="O306">
        <v>51374.87</v>
      </c>
      <c r="P306" t="s">
        <v>31</v>
      </c>
      <c r="Q306" t="s">
        <v>32</v>
      </c>
    </row>
    <row r="307" spans="1:17" x14ac:dyDescent="0.25">
      <c r="A307" t="s">
        <v>424</v>
      </c>
      <c r="B307" s="1">
        <v>46004</v>
      </c>
      <c r="C307" t="s">
        <v>79</v>
      </c>
      <c r="D307" t="s">
        <v>101</v>
      </c>
      <c r="E307" t="s">
        <v>35</v>
      </c>
      <c r="F307" t="s">
        <v>62</v>
      </c>
      <c r="G307" t="s">
        <v>37</v>
      </c>
      <c r="H307" t="s">
        <v>44</v>
      </c>
      <c r="I307" t="s">
        <v>135</v>
      </c>
      <c r="J307">
        <v>49</v>
      </c>
      <c r="K307">
        <v>25973.95</v>
      </c>
      <c r="L307">
        <v>1272723.55</v>
      </c>
      <c r="M307">
        <v>0</v>
      </c>
      <c r="N307">
        <v>0</v>
      </c>
      <c r="O307">
        <v>1272723.55</v>
      </c>
      <c r="P307" t="s">
        <v>73</v>
      </c>
      <c r="Q307" t="s">
        <v>32</v>
      </c>
    </row>
    <row r="308" spans="1:17" x14ac:dyDescent="0.25">
      <c r="A308" t="s">
        <v>425</v>
      </c>
      <c r="B308" s="1">
        <v>45989</v>
      </c>
      <c r="C308" t="s">
        <v>47</v>
      </c>
      <c r="D308" t="s">
        <v>114</v>
      </c>
      <c r="E308" t="s">
        <v>49</v>
      </c>
      <c r="F308" t="s">
        <v>50</v>
      </c>
      <c r="G308" t="s">
        <v>29</v>
      </c>
      <c r="H308" t="s">
        <v>38</v>
      </c>
      <c r="I308" t="s">
        <v>86</v>
      </c>
      <c r="J308">
        <v>48</v>
      </c>
      <c r="K308">
        <v>27322.799999999999</v>
      </c>
      <c r="L308">
        <v>1311494.3999999999</v>
      </c>
      <c r="M308">
        <v>65093.2</v>
      </c>
      <c r="N308">
        <v>0</v>
      </c>
      <c r="O308">
        <v>1246401.2</v>
      </c>
      <c r="P308" t="s">
        <v>32</v>
      </c>
      <c r="Q308" t="s">
        <v>32</v>
      </c>
    </row>
    <row r="309" spans="1:17" x14ac:dyDescent="0.25">
      <c r="A309" t="s">
        <v>426</v>
      </c>
      <c r="B309" s="1">
        <v>46037</v>
      </c>
      <c r="C309" t="s">
        <v>47</v>
      </c>
      <c r="D309" t="s">
        <v>48</v>
      </c>
      <c r="E309" t="s">
        <v>49</v>
      </c>
      <c r="F309" t="s">
        <v>105</v>
      </c>
      <c r="G309" t="s">
        <v>22</v>
      </c>
      <c r="H309" t="s">
        <v>23</v>
      </c>
      <c r="I309" t="s">
        <v>110</v>
      </c>
      <c r="J309">
        <v>29</v>
      </c>
      <c r="K309">
        <v>7933.86</v>
      </c>
      <c r="L309">
        <v>230081.94</v>
      </c>
      <c r="M309">
        <v>0</v>
      </c>
      <c r="N309">
        <v>0</v>
      </c>
      <c r="O309">
        <v>230081.94</v>
      </c>
      <c r="P309" t="s">
        <v>73</v>
      </c>
      <c r="Q309" t="s">
        <v>32</v>
      </c>
    </row>
    <row r="310" spans="1:17" x14ac:dyDescent="0.25">
      <c r="A310" t="s">
        <v>427</v>
      </c>
      <c r="B310" s="1">
        <v>45979</v>
      </c>
      <c r="C310" t="s">
        <v>18</v>
      </c>
      <c r="D310" t="s">
        <v>19</v>
      </c>
      <c r="E310" t="s">
        <v>49</v>
      </c>
      <c r="F310" t="s">
        <v>84</v>
      </c>
      <c r="G310" t="s">
        <v>63</v>
      </c>
      <c r="H310" t="s">
        <v>23</v>
      </c>
      <c r="I310" t="s">
        <v>99</v>
      </c>
      <c r="J310">
        <v>48</v>
      </c>
      <c r="K310">
        <v>44152.94</v>
      </c>
      <c r="L310">
        <v>2119341.12</v>
      </c>
      <c r="M310">
        <v>235848.59</v>
      </c>
      <c r="N310">
        <v>0</v>
      </c>
      <c r="O310">
        <v>1883492.53</v>
      </c>
      <c r="P310" t="s">
        <v>73</v>
      </c>
      <c r="Q310" t="s">
        <v>32</v>
      </c>
    </row>
    <row r="311" spans="1:17" x14ac:dyDescent="0.25">
      <c r="A311" t="s">
        <v>428</v>
      </c>
      <c r="B311" s="1">
        <v>45981</v>
      </c>
      <c r="C311" t="s">
        <v>47</v>
      </c>
      <c r="D311" t="s">
        <v>88</v>
      </c>
      <c r="E311" t="s">
        <v>35</v>
      </c>
      <c r="F311" t="s">
        <v>21</v>
      </c>
      <c r="G311" t="s">
        <v>51</v>
      </c>
      <c r="H311" t="s">
        <v>38</v>
      </c>
      <c r="I311" t="s">
        <v>108</v>
      </c>
      <c r="J311">
        <v>12</v>
      </c>
      <c r="K311">
        <v>25697.68</v>
      </c>
      <c r="L311">
        <v>308372.15999999997</v>
      </c>
      <c r="M311">
        <v>11697.44</v>
      </c>
      <c r="N311">
        <v>0</v>
      </c>
      <c r="O311">
        <v>296674.71999999997</v>
      </c>
      <c r="P311" t="s">
        <v>31</v>
      </c>
      <c r="Q311" t="s">
        <v>32</v>
      </c>
    </row>
    <row r="312" spans="1:17" x14ac:dyDescent="0.25">
      <c r="A312" t="s">
        <v>429</v>
      </c>
      <c r="B312" s="1">
        <v>45986</v>
      </c>
      <c r="C312" t="s">
        <v>18</v>
      </c>
      <c r="D312" t="s">
        <v>19</v>
      </c>
      <c r="E312" t="s">
        <v>35</v>
      </c>
      <c r="F312" t="s">
        <v>112</v>
      </c>
      <c r="G312" t="s">
        <v>37</v>
      </c>
      <c r="H312" t="s">
        <v>67</v>
      </c>
      <c r="I312" t="s">
        <v>154</v>
      </c>
      <c r="J312">
        <v>4</v>
      </c>
      <c r="K312">
        <v>42720.28</v>
      </c>
      <c r="L312">
        <v>170881.12</v>
      </c>
      <c r="M312">
        <v>14819.63</v>
      </c>
      <c r="N312">
        <v>0</v>
      </c>
      <c r="O312">
        <v>156061.49</v>
      </c>
      <c r="P312" t="s">
        <v>31</v>
      </c>
      <c r="Q312" t="s">
        <v>32</v>
      </c>
    </row>
    <row r="313" spans="1:17" x14ac:dyDescent="0.25">
      <c r="A313" t="s">
        <v>430</v>
      </c>
      <c r="B313" s="1">
        <v>45983</v>
      </c>
      <c r="C313" t="s">
        <v>60</v>
      </c>
      <c r="D313" t="s">
        <v>65</v>
      </c>
      <c r="E313" t="s">
        <v>35</v>
      </c>
      <c r="F313" t="s">
        <v>36</v>
      </c>
      <c r="G313" t="s">
        <v>37</v>
      </c>
      <c r="H313" t="s">
        <v>57</v>
      </c>
      <c r="I313" t="s">
        <v>72</v>
      </c>
      <c r="J313">
        <v>28</v>
      </c>
      <c r="K313">
        <v>5610.8</v>
      </c>
      <c r="L313">
        <v>157102.39999999999</v>
      </c>
      <c r="M313">
        <v>20314.29</v>
      </c>
      <c r="N313">
        <v>0</v>
      </c>
      <c r="O313">
        <v>136788.10999999999</v>
      </c>
      <c r="P313" t="s">
        <v>73</v>
      </c>
      <c r="Q313" t="s">
        <v>32</v>
      </c>
    </row>
    <row r="314" spans="1:17" x14ac:dyDescent="0.25">
      <c r="A314" t="s">
        <v>431</v>
      </c>
      <c r="B314" s="1">
        <v>45965</v>
      </c>
      <c r="C314" t="s">
        <v>54</v>
      </c>
      <c r="D314" t="s">
        <v>70</v>
      </c>
      <c r="E314" t="s">
        <v>20</v>
      </c>
      <c r="F314" t="s">
        <v>112</v>
      </c>
      <c r="G314" t="s">
        <v>89</v>
      </c>
      <c r="H314" t="s">
        <v>44</v>
      </c>
      <c r="I314" t="s">
        <v>141</v>
      </c>
      <c r="J314">
        <v>16</v>
      </c>
      <c r="K314">
        <v>44226.41</v>
      </c>
      <c r="L314">
        <v>707622.56</v>
      </c>
      <c r="M314">
        <v>35684.79</v>
      </c>
      <c r="N314">
        <v>0</v>
      </c>
      <c r="O314">
        <v>671937.77</v>
      </c>
      <c r="P314" t="s">
        <v>73</v>
      </c>
      <c r="Q314" t="s">
        <v>32</v>
      </c>
    </row>
    <row r="315" spans="1:17" x14ac:dyDescent="0.25">
      <c r="A315" t="s">
        <v>432</v>
      </c>
      <c r="B315" s="1">
        <v>45975</v>
      </c>
      <c r="C315" t="s">
        <v>54</v>
      </c>
      <c r="D315" t="s">
        <v>70</v>
      </c>
      <c r="E315" t="s">
        <v>49</v>
      </c>
      <c r="F315" t="s">
        <v>112</v>
      </c>
      <c r="G315" t="s">
        <v>66</v>
      </c>
      <c r="H315" t="s">
        <v>44</v>
      </c>
      <c r="I315" t="s">
        <v>45</v>
      </c>
      <c r="J315">
        <v>35</v>
      </c>
      <c r="K315">
        <v>11223.67</v>
      </c>
      <c r="L315">
        <v>392828.45</v>
      </c>
      <c r="M315">
        <v>28509.5</v>
      </c>
      <c r="N315">
        <v>0</v>
      </c>
      <c r="O315">
        <v>364318.95</v>
      </c>
      <c r="P315" t="s">
        <v>73</v>
      </c>
      <c r="Q315" t="s">
        <v>32</v>
      </c>
    </row>
    <row r="316" spans="1:17" x14ac:dyDescent="0.25">
      <c r="A316" t="s">
        <v>433</v>
      </c>
      <c r="B316" s="1">
        <v>45959</v>
      </c>
      <c r="C316" t="s">
        <v>60</v>
      </c>
      <c r="D316" t="s">
        <v>151</v>
      </c>
      <c r="E316" t="s">
        <v>41</v>
      </c>
      <c r="F316" t="s">
        <v>105</v>
      </c>
      <c r="G316" t="s">
        <v>140</v>
      </c>
      <c r="H316" t="s">
        <v>57</v>
      </c>
      <c r="I316" t="s">
        <v>118</v>
      </c>
      <c r="J316">
        <v>18</v>
      </c>
      <c r="K316">
        <v>50055.96</v>
      </c>
      <c r="L316">
        <v>901007.28</v>
      </c>
      <c r="M316">
        <v>0</v>
      </c>
      <c r="N316">
        <v>0</v>
      </c>
      <c r="O316">
        <v>901007.28</v>
      </c>
      <c r="P316" t="s">
        <v>25</v>
      </c>
      <c r="Q316" t="s">
        <v>26</v>
      </c>
    </row>
    <row r="317" spans="1:17" x14ac:dyDescent="0.25">
      <c r="A317" t="s">
        <v>434</v>
      </c>
      <c r="B317" s="1">
        <v>45994</v>
      </c>
      <c r="C317" t="s">
        <v>60</v>
      </c>
      <c r="D317" t="s">
        <v>61</v>
      </c>
      <c r="E317" t="s">
        <v>20</v>
      </c>
      <c r="F317" t="s">
        <v>84</v>
      </c>
      <c r="G317" t="s">
        <v>89</v>
      </c>
      <c r="H317" t="s">
        <v>44</v>
      </c>
      <c r="I317" t="s">
        <v>135</v>
      </c>
      <c r="J317">
        <v>40</v>
      </c>
      <c r="K317">
        <v>42305.96</v>
      </c>
      <c r="L317">
        <v>1692238.4</v>
      </c>
      <c r="M317">
        <v>0</v>
      </c>
      <c r="N317">
        <v>0</v>
      </c>
      <c r="O317">
        <v>1692238.4</v>
      </c>
      <c r="P317" t="s">
        <v>31</v>
      </c>
      <c r="Q317" t="s">
        <v>32</v>
      </c>
    </row>
    <row r="318" spans="1:17" x14ac:dyDescent="0.25">
      <c r="A318" t="s">
        <v>435</v>
      </c>
      <c r="B318" s="1">
        <v>46010</v>
      </c>
      <c r="C318" t="s">
        <v>47</v>
      </c>
      <c r="D318" t="s">
        <v>48</v>
      </c>
      <c r="E318" t="s">
        <v>35</v>
      </c>
      <c r="F318" t="s">
        <v>71</v>
      </c>
      <c r="G318" t="s">
        <v>37</v>
      </c>
      <c r="H318" t="s">
        <v>57</v>
      </c>
      <c r="I318" t="s">
        <v>72</v>
      </c>
      <c r="J318">
        <v>39</v>
      </c>
      <c r="K318">
        <v>29466.3</v>
      </c>
      <c r="L318">
        <v>1149185.7</v>
      </c>
      <c r="M318">
        <v>132390.60999999999</v>
      </c>
      <c r="N318">
        <v>0</v>
      </c>
      <c r="O318">
        <v>1016795.09</v>
      </c>
      <c r="P318" t="s">
        <v>31</v>
      </c>
      <c r="Q318" t="s">
        <v>32</v>
      </c>
    </row>
    <row r="319" spans="1:17" x14ac:dyDescent="0.25">
      <c r="A319" t="s">
        <v>436</v>
      </c>
      <c r="B319" s="1">
        <v>46039</v>
      </c>
      <c r="C319" t="s">
        <v>54</v>
      </c>
      <c r="D319" t="s">
        <v>97</v>
      </c>
      <c r="E319" t="s">
        <v>20</v>
      </c>
      <c r="F319" t="s">
        <v>112</v>
      </c>
      <c r="G319" t="s">
        <v>56</v>
      </c>
      <c r="H319" t="s">
        <v>23</v>
      </c>
      <c r="I319" t="s">
        <v>30</v>
      </c>
      <c r="J319">
        <v>36</v>
      </c>
      <c r="K319">
        <v>49580.46</v>
      </c>
      <c r="L319">
        <v>1784896.56</v>
      </c>
      <c r="M319">
        <v>44178.9</v>
      </c>
      <c r="N319">
        <v>1257.43</v>
      </c>
      <c r="O319">
        <v>1739460.23</v>
      </c>
      <c r="P319" t="s">
        <v>73</v>
      </c>
      <c r="Q319" t="s">
        <v>26</v>
      </c>
    </row>
    <row r="320" spans="1:17" x14ac:dyDescent="0.25">
      <c r="A320" t="s">
        <v>437</v>
      </c>
      <c r="B320" s="1">
        <v>45982</v>
      </c>
      <c r="C320" t="s">
        <v>47</v>
      </c>
      <c r="D320" t="s">
        <v>48</v>
      </c>
      <c r="E320" t="s">
        <v>41</v>
      </c>
      <c r="F320" t="s">
        <v>36</v>
      </c>
      <c r="G320" t="s">
        <v>138</v>
      </c>
      <c r="H320" t="s">
        <v>67</v>
      </c>
      <c r="I320" t="s">
        <v>201</v>
      </c>
      <c r="J320">
        <v>18</v>
      </c>
      <c r="K320">
        <v>33829.519999999997</v>
      </c>
      <c r="L320">
        <v>608931.36</v>
      </c>
      <c r="M320">
        <v>45230.54</v>
      </c>
      <c r="N320">
        <v>0</v>
      </c>
      <c r="O320">
        <v>563700.81999999995</v>
      </c>
      <c r="P320" t="s">
        <v>25</v>
      </c>
      <c r="Q320" t="s">
        <v>26</v>
      </c>
    </row>
    <row r="321" spans="1:17" x14ac:dyDescent="0.25">
      <c r="A321" t="s">
        <v>438</v>
      </c>
      <c r="B321" s="1">
        <v>45955</v>
      </c>
      <c r="C321" t="s">
        <v>54</v>
      </c>
      <c r="D321" t="s">
        <v>70</v>
      </c>
      <c r="E321" t="s">
        <v>49</v>
      </c>
      <c r="F321" t="s">
        <v>71</v>
      </c>
      <c r="G321" t="s">
        <v>22</v>
      </c>
      <c r="H321" t="s">
        <v>44</v>
      </c>
      <c r="I321" t="s">
        <v>281</v>
      </c>
      <c r="J321">
        <v>41</v>
      </c>
      <c r="K321">
        <v>35208.44</v>
      </c>
      <c r="L321">
        <v>1443546.04</v>
      </c>
      <c r="M321">
        <v>0</v>
      </c>
      <c r="N321">
        <v>0</v>
      </c>
      <c r="O321">
        <v>1443546.04</v>
      </c>
      <c r="P321" t="s">
        <v>73</v>
      </c>
      <c r="Q321" t="s">
        <v>32</v>
      </c>
    </row>
    <row r="322" spans="1:17" x14ac:dyDescent="0.25">
      <c r="A322" t="s">
        <v>439</v>
      </c>
      <c r="B322" s="1">
        <v>46036</v>
      </c>
      <c r="C322" t="s">
        <v>54</v>
      </c>
      <c r="D322" t="s">
        <v>70</v>
      </c>
      <c r="E322" t="s">
        <v>41</v>
      </c>
      <c r="F322" t="s">
        <v>112</v>
      </c>
      <c r="G322" t="s">
        <v>102</v>
      </c>
      <c r="H322" t="s">
        <v>94</v>
      </c>
      <c r="I322" t="s">
        <v>115</v>
      </c>
      <c r="J322">
        <v>34</v>
      </c>
      <c r="K322">
        <v>30418.93</v>
      </c>
      <c r="L322">
        <v>1034243.62</v>
      </c>
      <c r="M322">
        <v>181673.58</v>
      </c>
      <c r="N322">
        <v>0</v>
      </c>
      <c r="O322">
        <v>852570.04</v>
      </c>
      <c r="P322" t="s">
        <v>73</v>
      </c>
      <c r="Q322" t="s">
        <v>32</v>
      </c>
    </row>
    <row r="323" spans="1:17" x14ac:dyDescent="0.25">
      <c r="A323" t="s">
        <v>440</v>
      </c>
      <c r="B323" s="1">
        <v>46030</v>
      </c>
      <c r="C323" t="s">
        <v>18</v>
      </c>
      <c r="D323" t="s">
        <v>34</v>
      </c>
      <c r="E323" t="s">
        <v>41</v>
      </c>
      <c r="F323" t="s">
        <v>50</v>
      </c>
      <c r="G323" t="s">
        <v>102</v>
      </c>
      <c r="H323" t="s">
        <v>38</v>
      </c>
      <c r="I323" t="s">
        <v>175</v>
      </c>
      <c r="J323">
        <v>33</v>
      </c>
      <c r="K323">
        <v>17441.48</v>
      </c>
      <c r="L323">
        <v>575568.84</v>
      </c>
      <c r="M323">
        <v>105675.96</v>
      </c>
      <c r="N323">
        <v>0</v>
      </c>
      <c r="O323">
        <v>469892.88</v>
      </c>
      <c r="P323" t="s">
        <v>73</v>
      </c>
      <c r="Q323" t="s">
        <v>26</v>
      </c>
    </row>
    <row r="324" spans="1:17" x14ac:dyDescent="0.25">
      <c r="A324" t="s">
        <v>441</v>
      </c>
      <c r="B324" s="1">
        <v>45995</v>
      </c>
      <c r="C324" t="s">
        <v>60</v>
      </c>
      <c r="D324" t="s">
        <v>61</v>
      </c>
      <c r="E324" t="s">
        <v>41</v>
      </c>
      <c r="F324" t="s">
        <v>21</v>
      </c>
      <c r="G324" t="s">
        <v>66</v>
      </c>
      <c r="H324" t="s">
        <v>23</v>
      </c>
      <c r="I324" t="s">
        <v>110</v>
      </c>
      <c r="J324">
        <v>22</v>
      </c>
      <c r="K324">
        <v>38265.019999999997</v>
      </c>
      <c r="L324">
        <v>841830.44</v>
      </c>
      <c r="M324">
        <v>29123.360000000001</v>
      </c>
      <c r="N324">
        <v>0</v>
      </c>
      <c r="O324">
        <v>812707.08</v>
      </c>
      <c r="P324" t="s">
        <v>73</v>
      </c>
      <c r="Q324" t="s">
        <v>32</v>
      </c>
    </row>
    <row r="325" spans="1:17" x14ac:dyDescent="0.25">
      <c r="A325" t="s">
        <v>442</v>
      </c>
      <c r="B325" s="1">
        <v>45955</v>
      </c>
      <c r="C325" t="s">
        <v>60</v>
      </c>
      <c r="D325" t="s">
        <v>65</v>
      </c>
      <c r="E325" t="s">
        <v>20</v>
      </c>
      <c r="F325" t="s">
        <v>112</v>
      </c>
      <c r="G325" t="s">
        <v>85</v>
      </c>
      <c r="H325" t="s">
        <v>44</v>
      </c>
      <c r="I325" t="s">
        <v>124</v>
      </c>
      <c r="J325">
        <v>42</v>
      </c>
      <c r="K325">
        <v>47789.02</v>
      </c>
      <c r="L325">
        <v>2007138.84</v>
      </c>
      <c r="M325">
        <v>0</v>
      </c>
      <c r="N325">
        <v>0</v>
      </c>
      <c r="O325">
        <v>2007138.84</v>
      </c>
      <c r="P325" t="s">
        <v>32</v>
      </c>
      <c r="Q325" t="s">
        <v>32</v>
      </c>
    </row>
    <row r="326" spans="1:17" x14ac:dyDescent="0.25">
      <c r="A326" t="s">
        <v>443</v>
      </c>
      <c r="B326" s="1">
        <v>45956</v>
      </c>
      <c r="C326" t="s">
        <v>79</v>
      </c>
      <c r="D326" t="s">
        <v>101</v>
      </c>
      <c r="E326" t="s">
        <v>20</v>
      </c>
      <c r="F326" t="s">
        <v>84</v>
      </c>
      <c r="G326" t="s">
        <v>81</v>
      </c>
      <c r="H326" t="s">
        <v>94</v>
      </c>
      <c r="I326" t="s">
        <v>163</v>
      </c>
      <c r="J326">
        <v>36</v>
      </c>
      <c r="K326">
        <v>26436.92</v>
      </c>
      <c r="L326">
        <v>951729.12</v>
      </c>
      <c r="M326">
        <v>98749.6</v>
      </c>
      <c r="N326">
        <v>0</v>
      </c>
      <c r="O326">
        <v>852979.52</v>
      </c>
      <c r="P326" t="s">
        <v>32</v>
      </c>
      <c r="Q326" t="s">
        <v>32</v>
      </c>
    </row>
    <row r="327" spans="1:17" x14ac:dyDescent="0.25">
      <c r="A327" t="s">
        <v>444</v>
      </c>
      <c r="B327" s="1">
        <v>45969</v>
      </c>
      <c r="C327" t="s">
        <v>47</v>
      </c>
      <c r="D327" t="s">
        <v>48</v>
      </c>
      <c r="E327" t="s">
        <v>35</v>
      </c>
      <c r="F327" t="s">
        <v>62</v>
      </c>
      <c r="G327" t="s">
        <v>56</v>
      </c>
      <c r="H327" t="s">
        <v>57</v>
      </c>
      <c r="I327" t="s">
        <v>58</v>
      </c>
      <c r="J327">
        <v>3</v>
      </c>
      <c r="K327">
        <v>48703.33</v>
      </c>
      <c r="L327">
        <v>146109.99</v>
      </c>
      <c r="M327">
        <v>0</v>
      </c>
      <c r="N327">
        <v>0</v>
      </c>
      <c r="O327">
        <v>146109.99</v>
      </c>
      <c r="P327" t="s">
        <v>32</v>
      </c>
      <c r="Q327" t="s">
        <v>32</v>
      </c>
    </row>
    <row r="328" spans="1:17" x14ac:dyDescent="0.25">
      <c r="A328" t="s">
        <v>445</v>
      </c>
      <c r="B328" s="1">
        <v>46042</v>
      </c>
      <c r="C328" t="s">
        <v>79</v>
      </c>
      <c r="D328" t="s">
        <v>107</v>
      </c>
      <c r="E328" t="s">
        <v>20</v>
      </c>
      <c r="F328" t="s">
        <v>84</v>
      </c>
      <c r="G328" t="s">
        <v>98</v>
      </c>
      <c r="H328" t="s">
        <v>23</v>
      </c>
      <c r="I328" t="s">
        <v>30</v>
      </c>
      <c r="J328">
        <v>4</v>
      </c>
      <c r="K328">
        <v>44542.84</v>
      </c>
      <c r="L328">
        <v>178171.36</v>
      </c>
      <c r="M328">
        <v>27168.44</v>
      </c>
      <c r="N328">
        <v>0</v>
      </c>
      <c r="O328">
        <v>151002.92000000001</v>
      </c>
      <c r="P328" t="s">
        <v>25</v>
      </c>
      <c r="Q328" t="s">
        <v>26</v>
      </c>
    </row>
    <row r="329" spans="1:17" x14ac:dyDescent="0.25">
      <c r="A329" t="s">
        <v>446</v>
      </c>
      <c r="B329" s="1">
        <v>45963</v>
      </c>
      <c r="C329" t="s">
        <v>60</v>
      </c>
      <c r="D329" t="s">
        <v>65</v>
      </c>
      <c r="E329" t="s">
        <v>41</v>
      </c>
      <c r="F329" t="s">
        <v>105</v>
      </c>
      <c r="G329" t="s">
        <v>29</v>
      </c>
      <c r="H329" t="s">
        <v>94</v>
      </c>
      <c r="I329" t="s">
        <v>163</v>
      </c>
      <c r="J329">
        <v>7</v>
      </c>
      <c r="K329">
        <v>23735.18</v>
      </c>
      <c r="L329">
        <v>166146.26</v>
      </c>
      <c r="M329">
        <v>0</v>
      </c>
      <c r="N329">
        <v>0</v>
      </c>
      <c r="O329">
        <v>166146.26</v>
      </c>
      <c r="P329" t="s">
        <v>32</v>
      </c>
      <c r="Q329" t="s">
        <v>26</v>
      </c>
    </row>
    <row r="330" spans="1:17" x14ac:dyDescent="0.25">
      <c r="A330" t="s">
        <v>447</v>
      </c>
      <c r="B330" s="1">
        <v>45995</v>
      </c>
      <c r="C330" t="s">
        <v>47</v>
      </c>
      <c r="D330" t="s">
        <v>114</v>
      </c>
      <c r="E330" t="s">
        <v>20</v>
      </c>
      <c r="F330" t="s">
        <v>112</v>
      </c>
      <c r="G330" t="s">
        <v>43</v>
      </c>
      <c r="H330" t="s">
        <v>57</v>
      </c>
      <c r="I330" t="s">
        <v>72</v>
      </c>
      <c r="J330">
        <v>43</v>
      </c>
      <c r="K330">
        <v>19903.330000000002</v>
      </c>
      <c r="L330">
        <v>855843.19</v>
      </c>
      <c r="M330">
        <v>0</v>
      </c>
      <c r="N330">
        <v>0</v>
      </c>
      <c r="O330">
        <v>855843.19</v>
      </c>
      <c r="P330" t="s">
        <v>31</v>
      </c>
      <c r="Q330" t="s">
        <v>32</v>
      </c>
    </row>
    <row r="331" spans="1:17" x14ac:dyDescent="0.25">
      <c r="A331" t="s">
        <v>448</v>
      </c>
      <c r="B331" s="1">
        <v>45975</v>
      </c>
      <c r="C331" t="s">
        <v>47</v>
      </c>
      <c r="D331" t="s">
        <v>88</v>
      </c>
      <c r="E331" t="s">
        <v>49</v>
      </c>
      <c r="F331" t="s">
        <v>137</v>
      </c>
      <c r="G331" t="s">
        <v>140</v>
      </c>
      <c r="H331" t="s">
        <v>44</v>
      </c>
      <c r="I331" t="s">
        <v>124</v>
      </c>
      <c r="J331">
        <v>38</v>
      </c>
      <c r="K331">
        <v>33629.57</v>
      </c>
      <c r="L331">
        <v>1277923.6599999999</v>
      </c>
      <c r="M331">
        <v>255373.15</v>
      </c>
      <c r="N331">
        <v>0</v>
      </c>
      <c r="O331">
        <v>1022550.51</v>
      </c>
      <c r="P331" t="s">
        <v>25</v>
      </c>
      <c r="Q331" t="s">
        <v>26</v>
      </c>
    </row>
    <row r="332" spans="1:17" x14ac:dyDescent="0.25">
      <c r="A332" t="s">
        <v>449</v>
      </c>
      <c r="B332" s="1">
        <v>45991</v>
      </c>
      <c r="C332" t="s">
        <v>18</v>
      </c>
      <c r="D332" t="s">
        <v>75</v>
      </c>
      <c r="E332" t="s">
        <v>35</v>
      </c>
      <c r="F332" t="s">
        <v>21</v>
      </c>
      <c r="G332" t="s">
        <v>98</v>
      </c>
      <c r="H332" t="s">
        <v>23</v>
      </c>
      <c r="I332" t="s">
        <v>30</v>
      </c>
      <c r="J332">
        <v>42</v>
      </c>
      <c r="K332">
        <v>34554.51</v>
      </c>
      <c r="L332">
        <v>1451289.42</v>
      </c>
      <c r="M332">
        <v>115784.9</v>
      </c>
      <c r="N332">
        <v>0</v>
      </c>
      <c r="O332">
        <v>1335504.52</v>
      </c>
      <c r="P332" t="s">
        <v>31</v>
      </c>
      <c r="Q332" t="s">
        <v>32</v>
      </c>
    </row>
    <row r="333" spans="1:17" x14ac:dyDescent="0.25">
      <c r="A333" t="s">
        <v>450</v>
      </c>
      <c r="B333" s="1">
        <v>45996</v>
      </c>
      <c r="C333" t="s">
        <v>79</v>
      </c>
      <c r="D333" t="s">
        <v>101</v>
      </c>
      <c r="E333" t="s">
        <v>20</v>
      </c>
      <c r="F333" t="s">
        <v>105</v>
      </c>
      <c r="G333" t="s">
        <v>85</v>
      </c>
      <c r="H333" t="s">
        <v>44</v>
      </c>
      <c r="I333" t="s">
        <v>124</v>
      </c>
      <c r="J333">
        <v>39</v>
      </c>
      <c r="K333">
        <v>925.92</v>
      </c>
      <c r="L333">
        <v>36110.879999999997</v>
      </c>
      <c r="M333">
        <v>0</v>
      </c>
      <c r="N333">
        <v>0</v>
      </c>
      <c r="O333">
        <v>36110.879999999997</v>
      </c>
      <c r="P333" t="s">
        <v>32</v>
      </c>
      <c r="Q333" t="s">
        <v>32</v>
      </c>
    </row>
    <row r="334" spans="1:17" x14ac:dyDescent="0.25">
      <c r="A334" t="s">
        <v>451</v>
      </c>
      <c r="B334" s="1">
        <v>45972</v>
      </c>
      <c r="C334" t="s">
        <v>18</v>
      </c>
      <c r="D334" t="s">
        <v>28</v>
      </c>
      <c r="E334" t="s">
        <v>41</v>
      </c>
      <c r="F334" t="s">
        <v>62</v>
      </c>
      <c r="G334" t="s">
        <v>63</v>
      </c>
      <c r="H334" t="s">
        <v>44</v>
      </c>
      <c r="I334" t="s">
        <v>45</v>
      </c>
      <c r="J334">
        <v>2</v>
      </c>
      <c r="K334">
        <v>25248.2</v>
      </c>
      <c r="L334">
        <v>50496.4</v>
      </c>
      <c r="M334">
        <v>9145.99</v>
      </c>
      <c r="N334">
        <v>0</v>
      </c>
      <c r="O334">
        <v>41350.410000000003</v>
      </c>
      <c r="P334" t="s">
        <v>25</v>
      </c>
      <c r="Q334" t="s">
        <v>26</v>
      </c>
    </row>
    <row r="335" spans="1:17" x14ac:dyDescent="0.25">
      <c r="A335" t="s">
        <v>452</v>
      </c>
      <c r="B335" s="1">
        <v>46026</v>
      </c>
      <c r="C335" t="s">
        <v>18</v>
      </c>
      <c r="D335" t="s">
        <v>28</v>
      </c>
      <c r="E335" t="s">
        <v>41</v>
      </c>
      <c r="F335" t="s">
        <v>62</v>
      </c>
      <c r="G335" t="s">
        <v>85</v>
      </c>
      <c r="H335" t="s">
        <v>44</v>
      </c>
      <c r="I335" t="s">
        <v>281</v>
      </c>
      <c r="J335">
        <v>15</v>
      </c>
      <c r="K335">
        <v>20976.26</v>
      </c>
      <c r="L335">
        <v>314643.90000000002</v>
      </c>
      <c r="M335">
        <v>42228.97</v>
      </c>
      <c r="N335">
        <v>0</v>
      </c>
      <c r="O335">
        <v>272414.93</v>
      </c>
      <c r="P335" t="s">
        <v>25</v>
      </c>
      <c r="Q335" t="s">
        <v>26</v>
      </c>
    </row>
    <row r="336" spans="1:17" x14ac:dyDescent="0.25">
      <c r="A336" t="s">
        <v>453</v>
      </c>
      <c r="B336" s="1">
        <v>45981</v>
      </c>
      <c r="C336" t="s">
        <v>60</v>
      </c>
      <c r="D336" t="s">
        <v>123</v>
      </c>
      <c r="E336" t="s">
        <v>20</v>
      </c>
      <c r="F336" t="s">
        <v>105</v>
      </c>
      <c r="G336" t="s">
        <v>89</v>
      </c>
      <c r="H336" t="s">
        <v>44</v>
      </c>
      <c r="I336" t="s">
        <v>135</v>
      </c>
      <c r="J336">
        <v>11</v>
      </c>
      <c r="K336">
        <v>39946.19</v>
      </c>
      <c r="L336">
        <v>439408.09</v>
      </c>
      <c r="M336">
        <v>0</v>
      </c>
      <c r="N336">
        <v>0</v>
      </c>
      <c r="O336">
        <v>439408.09</v>
      </c>
      <c r="P336" t="s">
        <v>31</v>
      </c>
      <c r="Q336" t="s">
        <v>32</v>
      </c>
    </row>
    <row r="337" spans="1:17" x14ac:dyDescent="0.25">
      <c r="A337" t="s">
        <v>454</v>
      </c>
      <c r="B337" s="1">
        <v>45991</v>
      </c>
      <c r="C337" t="s">
        <v>79</v>
      </c>
      <c r="D337" t="s">
        <v>101</v>
      </c>
      <c r="E337" t="s">
        <v>20</v>
      </c>
      <c r="F337" t="s">
        <v>84</v>
      </c>
      <c r="G337" t="s">
        <v>98</v>
      </c>
      <c r="H337" t="s">
        <v>38</v>
      </c>
      <c r="I337" t="s">
        <v>108</v>
      </c>
      <c r="J337">
        <v>37</v>
      </c>
      <c r="K337">
        <v>38246.07</v>
      </c>
      <c r="L337">
        <v>1415104.59</v>
      </c>
      <c r="M337">
        <v>92518.95</v>
      </c>
      <c r="N337">
        <v>0</v>
      </c>
      <c r="O337">
        <v>1322585.6399999999</v>
      </c>
      <c r="P337" t="s">
        <v>73</v>
      </c>
      <c r="Q337" t="s">
        <v>32</v>
      </c>
    </row>
    <row r="338" spans="1:17" x14ac:dyDescent="0.25">
      <c r="A338" t="s">
        <v>455</v>
      </c>
      <c r="B338" s="1">
        <v>45987</v>
      </c>
      <c r="C338" t="s">
        <v>47</v>
      </c>
      <c r="D338" t="s">
        <v>114</v>
      </c>
      <c r="E338" t="s">
        <v>20</v>
      </c>
      <c r="F338" t="s">
        <v>112</v>
      </c>
      <c r="G338" t="s">
        <v>51</v>
      </c>
      <c r="H338" t="s">
        <v>38</v>
      </c>
      <c r="I338" t="s">
        <v>120</v>
      </c>
      <c r="J338">
        <v>31</v>
      </c>
      <c r="K338">
        <v>35947.93</v>
      </c>
      <c r="L338">
        <v>1114385.83</v>
      </c>
      <c r="M338">
        <v>0</v>
      </c>
      <c r="N338">
        <v>0</v>
      </c>
      <c r="O338">
        <v>1114385.83</v>
      </c>
      <c r="P338" t="s">
        <v>31</v>
      </c>
      <c r="Q338" t="s">
        <v>32</v>
      </c>
    </row>
    <row r="339" spans="1:17" x14ac:dyDescent="0.25">
      <c r="A339" t="s">
        <v>456</v>
      </c>
      <c r="B339" s="1">
        <v>46021</v>
      </c>
      <c r="C339" t="s">
        <v>18</v>
      </c>
      <c r="D339" t="s">
        <v>19</v>
      </c>
      <c r="E339" t="s">
        <v>20</v>
      </c>
      <c r="F339" t="s">
        <v>105</v>
      </c>
      <c r="G339" t="s">
        <v>37</v>
      </c>
      <c r="H339" t="s">
        <v>38</v>
      </c>
      <c r="I339" t="s">
        <v>175</v>
      </c>
      <c r="J339">
        <v>43</v>
      </c>
      <c r="K339">
        <v>34445.71</v>
      </c>
      <c r="L339">
        <v>1481165.53</v>
      </c>
      <c r="M339">
        <v>0</v>
      </c>
      <c r="N339">
        <v>0</v>
      </c>
      <c r="O339">
        <v>1481165.53</v>
      </c>
      <c r="P339" t="s">
        <v>31</v>
      </c>
      <c r="Q339" t="s">
        <v>32</v>
      </c>
    </row>
    <row r="340" spans="1:17" x14ac:dyDescent="0.25">
      <c r="A340" t="s">
        <v>457</v>
      </c>
      <c r="B340" s="1">
        <v>45989</v>
      </c>
      <c r="C340" t="s">
        <v>47</v>
      </c>
      <c r="D340" t="s">
        <v>88</v>
      </c>
      <c r="E340" t="s">
        <v>41</v>
      </c>
      <c r="F340" t="s">
        <v>50</v>
      </c>
      <c r="G340" t="s">
        <v>89</v>
      </c>
      <c r="H340" t="s">
        <v>38</v>
      </c>
      <c r="I340" t="s">
        <v>108</v>
      </c>
      <c r="J340">
        <v>17</v>
      </c>
      <c r="K340">
        <v>24864.35</v>
      </c>
      <c r="L340">
        <v>422693.95</v>
      </c>
      <c r="M340">
        <v>26149.06</v>
      </c>
      <c r="N340">
        <v>0</v>
      </c>
      <c r="O340">
        <v>396544.89</v>
      </c>
      <c r="P340" t="s">
        <v>73</v>
      </c>
      <c r="Q340" t="s">
        <v>32</v>
      </c>
    </row>
    <row r="341" spans="1:17" x14ac:dyDescent="0.25">
      <c r="A341" t="s">
        <v>458</v>
      </c>
      <c r="B341" s="1">
        <v>46021</v>
      </c>
      <c r="C341" t="s">
        <v>60</v>
      </c>
      <c r="D341" t="s">
        <v>151</v>
      </c>
      <c r="E341" t="s">
        <v>20</v>
      </c>
      <c r="F341" t="s">
        <v>84</v>
      </c>
      <c r="G341" t="s">
        <v>37</v>
      </c>
      <c r="H341" t="s">
        <v>23</v>
      </c>
      <c r="I341" t="s">
        <v>52</v>
      </c>
      <c r="J341">
        <v>15</v>
      </c>
      <c r="K341">
        <v>24870.47</v>
      </c>
      <c r="L341">
        <v>373057.05</v>
      </c>
      <c r="M341">
        <v>22018.31</v>
      </c>
      <c r="N341">
        <v>0</v>
      </c>
      <c r="O341">
        <v>351038.74</v>
      </c>
      <c r="P341" t="s">
        <v>32</v>
      </c>
      <c r="Q341" t="s">
        <v>26</v>
      </c>
    </row>
    <row r="342" spans="1:17" x14ac:dyDescent="0.25">
      <c r="A342" t="s">
        <v>459</v>
      </c>
      <c r="B342" s="1">
        <v>45981</v>
      </c>
      <c r="C342" t="s">
        <v>18</v>
      </c>
      <c r="D342" t="s">
        <v>75</v>
      </c>
      <c r="E342" t="s">
        <v>20</v>
      </c>
      <c r="F342" t="s">
        <v>42</v>
      </c>
      <c r="G342" t="s">
        <v>102</v>
      </c>
      <c r="H342" t="s">
        <v>57</v>
      </c>
      <c r="I342" t="s">
        <v>148</v>
      </c>
      <c r="J342">
        <v>16</v>
      </c>
      <c r="K342">
        <v>15045.78</v>
      </c>
      <c r="L342">
        <v>240732.48</v>
      </c>
      <c r="M342">
        <v>5336.24</v>
      </c>
      <c r="N342">
        <v>0</v>
      </c>
      <c r="O342">
        <v>235396.24</v>
      </c>
      <c r="P342" t="s">
        <v>31</v>
      </c>
      <c r="Q342" t="s">
        <v>32</v>
      </c>
    </row>
    <row r="343" spans="1:17" x14ac:dyDescent="0.25">
      <c r="A343" t="s">
        <v>460</v>
      </c>
      <c r="B343" s="1">
        <v>45963</v>
      </c>
      <c r="C343" t="s">
        <v>47</v>
      </c>
      <c r="D343" t="s">
        <v>88</v>
      </c>
      <c r="E343" t="s">
        <v>20</v>
      </c>
      <c r="F343" t="s">
        <v>42</v>
      </c>
      <c r="G343" t="s">
        <v>138</v>
      </c>
      <c r="H343" t="s">
        <v>67</v>
      </c>
      <c r="I343" t="s">
        <v>103</v>
      </c>
      <c r="J343">
        <v>10</v>
      </c>
      <c r="K343">
        <v>44230.34</v>
      </c>
      <c r="L343">
        <v>442303.4</v>
      </c>
      <c r="M343">
        <v>24701.55</v>
      </c>
      <c r="N343">
        <v>0</v>
      </c>
      <c r="O343">
        <v>417601.85</v>
      </c>
      <c r="P343" t="s">
        <v>31</v>
      </c>
      <c r="Q343" t="s">
        <v>32</v>
      </c>
    </row>
    <row r="344" spans="1:17" x14ac:dyDescent="0.25">
      <c r="A344" t="s">
        <v>461</v>
      </c>
      <c r="B344" s="1">
        <v>46013</v>
      </c>
      <c r="C344" t="s">
        <v>54</v>
      </c>
      <c r="D344" t="s">
        <v>55</v>
      </c>
      <c r="E344" t="s">
        <v>35</v>
      </c>
      <c r="F344" t="s">
        <v>21</v>
      </c>
      <c r="G344" t="s">
        <v>98</v>
      </c>
      <c r="H344" t="s">
        <v>38</v>
      </c>
      <c r="I344" t="s">
        <v>39</v>
      </c>
      <c r="J344">
        <v>48</v>
      </c>
      <c r="K344">
        <v>35757.97</v>
      </c>
      <c r="L344">
        <v>1716382.56</v>
      </c>
      <c r="M344">
        <v>44916.54</v>
      </c>
      <c r="N344">
        <v>0</v>
      </c>
      <c r="O344">
        <v>1671466.02</v>
      </c>
      <c r="P344" t="s">
        <v>32</v>
      </c>
      <c r="Q344" t="s">
        <v>32</v>
      </c>
    </row>
    <row r="345" spans="1:17" x14ac:dyDescent="0.25">
      <c r="A345" t="s">
        <v>462</v>
      </c>
      <c r="B345" s="1">
        <v>46034</v>
      </c>
      <c r="C345" t="s">
        <v>47</v>
      </c>
      <c r="D345" t="s">
        <v>127</v>
      </c>
      <c r="E345" t="s">
        <v>41</v>
      </c>
      <c r="F345" t="s">
        <v>50</v>
      </c>
      <c r="G345" t="s">
        <v>98</v>
      </c>
      <c r="H345" t="s">
        <v>94</v>
      </c>
      <c r="I345" t="s">
        <v>144</v>
      </c>
      <c r="J345">
        <v>18</v>
      </c>
      <c r="K345">
        <v>40460</v>
      </c>
      <c r="L345">
        <v>728280</v>
      </c>
      <c r="M345">
        <v>100139.06</v>
      </c>
      <c r="N345">
        <v>0</v>
      </c>
      <c r="O345">
        <v>628140.93999999994</v>
      </c>
      <c r="P345" t="s">
        <v>31</v>
      </c>
      <c r="Q345" t="s">
        <v>32</v>
      </c>
    </row>
    <row r="346" spans="1:17" x14ac:dyDescent="0.25">
      <c r="A346" t="s">
        <v>463</v>
      </c>
      <c r="B346" s="1">
        <v>46013</v>
      </c>
      <c r="C346" t="s">
        <v>60</v>
      </c>
      <c r="D346" t="s">
        <v>61</v>
      </c>
      <c r="E346" t="s">
        <v>20</v>
      </c>
      <c r="F346" t="s">
        <v>50</v>
      </c>
      <c r="G346" t="s">
        <v>63</v>
      </c>
      <c r="H346" t="s">
        <v>57</v>
      </c>
      <c r="I346" t="s">
        <v>58</v>
      </c>
      <c r="J346">
        <v>2</v>
      </c>
      <c r="K346">
        <v>15025.9</v>
      </c>
      <c r="L346">
        <v>30051.8</v>
      </c>
      <c r="M346">
        <v>321.64999999999998</v>
      </c>
      <c r="N346">
        <v>0</v>
      </c>
      <c r="O346">
        <v>29730.15</v>
      </c>
      <c r="P346" t="s">
        <v>25</v>
      </c>
      <c r="Q346" t="s">
        <v>26</v>
      </c>
    </row>
    <row r="347" spans="1:17" x14ac:dyDescent="0.25">
      <c r="A347" t="s">
        <v>464</v>
      </c>
      <c r="B347" s="1">
        <v>45986</v>
      </c>
      <c r="C347" t="s">
        <v>54</v>
      </c>
      <c r="D347" t="s">
        <v>97</v>
      </c>
      <c r="E347" t="s">
        <v>20</v>
      </c>
      <c r="F347" t="s">
        <v>112</v>
      </c>
      <c r="G347" t="s">
        <v>89</v>
      </c>
      <c r="H347" t="s">
        <v>23</v>
      </c>
      <c r="I347" t="s">
        <v>131</v>
      </c>
      <c r="J347">
        <v>20</v>
      </c>
      <c r="K347">
        <v>1142.3499999999999</v>
      </c>
      <c r="L347">
        <v>22847</v>
      </c>
      <c r="M347">
        <v>0</v>
      </c>
      <c r="N347">
        <v>0</v>
      </c>
      <c r="O347">
        <v>22847</v>
      </c>
      <c r="P347" t="s">
        <v>73</v>
      </c>
      <c r="Q347" t="s">
        <v>26</v>
      </c>
    </row>
    <row r="348" spans="1:17" x14ac:dyDescent="0.25">
      <c r="A348" t="s">
        <v>465</v>
      </c>
      <c r="B348" s="1">
        <v>45956</v>
      </c>
      <c r="C348" t="s">
        <v>54</v>
      </c>
      <c r="D348" t="s">
        <v>133</v>
      </c>
      <c r="E348" t="s">
        <v>35</v>
      </c>
      <c r="F348" t="s">
        <v>42</v>
      </c>
      <c r="G348" t="s">
        <v>89</v>
      </c>
      <c r="H348" t="s">
        <v>44</v>
      </c>
      <c r="I348" t="s">
        <v>152</v>
      </c>
      <c r="J348">
        <v>46</v>
      </c>
      <c r="K348">
        <v>47003.64</v>
      </c>
      <c r="L348">
        <v>2162167.44</v>
      </c>
      <c r="M348">
        <v>354256.02</v>
      </c>
      <c r="N348">
        <v>0</v>
      </c>
      <c r="O348">
        <v>1807911.42</v>
      </c>
      <c r="P348" t="s">
        <v>73</v>
      </c>
      <c r="Q348" t="s">
        <v>32</v>
      </c>
    </row>
    <row r="349" spans="1:17" x14ac:dyDescent="0.25">
      <c r="A349" t="s">
        <v>466</v>
      </c>
      <c r="B349" s="1">
        <v>46009</v>
      </c>
      <c r="C349" t="s">
        <v>54</v>
      </c>
      <c r="D349" t="s">
        <v>97</v>
      </c>
      <c r="E349" t="s">
        <v>41</v>
      </c>
      <c r="F349" t="s">
        <v>50</v>
      </c>
      <c r="G349" t="s">
        <v>63</v>
      </c>
      <c r="H349" t="s">
        <v>44</v>
      </c>
      <c r="I349" t="s">
        <v>45</v>
      </c>
      <c r="J349">
        <v>40</v>
      </c>
      <c r="K349">
        <v>28758.95</v>
      </c>
      <c r="L349">
        <v>1150358</v>
      </c>
      <c r="M349">
        <v>0</v>
      </c>
      <c r="N349">
        <v>0</v>
      </c>
      <c r="O349">
        <v>1150358</v>
      </c>
      <c r="P349" t="s">
        <v>25</v>
      </c>
      <c r="Q349" t="s">
        <v>26</v>
      </c>
    </row>
    <row r="350" spans="1:17" x14ac:dyDescent="0.25">
      <c r="A350" t="s">
        <v>467</v>
      </c>
      <c r="B350" s="1">
        <v>46044</v>
      </c>
      <c r="C350" t="s">
        <v>79</v>
      </c>
      <c r="D350" t="s">
        <v>107</v>
      </c>
      <c r="E350" t="s">
        <v>20</v>
      </c>
      <c r="F350" t="s">
        <v>71</v>
      </c>
      <c r="G350" t="s">
        <v>140</v>
      </c>
      <c r="H350" t="s">
        <v>38</v>
      </c>
      <c r="I350" t="s">
        <v>82</v>
      </c>
      <c r="J350">
        <v>46</v>
      </c>
      <c r="K350">
        <v>30021.31</v>
      </c>
      <c r="L350">
        <v>1380980.26</v>
      </c>
      <c r="M350">
        <v>0</v>
      </c>
      <c r="N350">
        <v>0</v>
      </c>
      <c r="O350">
        <v>1380980.26</v>
      </c>
      <c r="P350" t="s">
        <v>32</v>
      </c>
      <c r="Q350" t="s">
        <v>32</v>
      </c>
    </row>
    <row r="351" spans="1:17" x14ac:dyDescent="0.25">
      <c r="A351" t="s">
        <v>468</v>
      </c>
      <c r="B351" s="1">
        <v>45960</v>
      </c>
      <c r="C351" t="s">
        <v>60</v>
      </c>
      <c r="D351" t="s">
        <v>123</v>
      </c>
      <c r="E351" t="s">
        <v>20</v>
      </c>
      <c r="F351" t="s">
        <v>62</v>
      </c>
      <c r="G351" t="s">
        <v>22</v>
      </c>
      <c r="H351" t="s">
        <v>67</v>
      </c>
      <c r="I351" t="s">
        <v>154</v>
      </c>
      <c r="J351">
        <v>6</v>
      </c>
      <c r="K351">
        <v>42555.47</v>
      </c>
      <c r="L351">
        <v>255332.82</v>
      </c>
      <c r="M351">
        <v>0</v>
      </c>
      <c r="N351">
        <v>0</v>
      </c>
      <c r="O351">
        <v>255332.82</v>
      </c>
      <c r="P351" t="s">
        <v>31</v>
      </c>
      <c r="Q351" t="s">
        <v>32</v>
      </c>
    </row>
    <row r="352" spans="1:17" x14ac:dyDescent="0.25">
      <c r="A352" t="s">
        <v>469</v>
      </c>
      <c r="B352" s="1">
        <v>45961</v>
      </c>
      <c r="C352" t="s">
        <v>54</v>
      </c>
      <c r="D352" t="s">
        <v>97</v>
      </c>
      <c r="E352" t="s">
        <v>35</v>
      </c>
      <c r="F352" t="s">
        <v>84</v>
      </c>
      <c r="G352" t="s">
        <v>29</v>
      </c>
      <c r="H352" t="s">
        <v>67</v>
      </c>
      <c r="I352" t="s">
        <v>201</v>
      </c>
      <c r="J352">
        <v>11</v>
      </c>
      <c r="K352">
        <v>42792.72</v>
      </c>
      <c r="L352">
        <v>470719.92</v>
      </c>
      <c r="M352">
        <v>57528.83</v>
      </c>
      <c r="N352">
        <v>0</v>
      </c>
      <c r="O352">
        <v>413191.09</v>
      </c>
      <c r="P352" t="s">
        <v>31</v>
      </c>
      <c r="Q352" t="s">
        <v>32</v>
      </c>
    </row>
    <row r="353" spans="1:17" x14ac:dyDescent="0.25">
      <c r="A353" t="s">
        <v>470</v>
      </c>
      <c r="B353" s="1">
        <v>46007</v>
      </c>
      <c r="C353" t="s">
        <v>18</v>
      </c>
      <c r="D353" t="s">
        <v>19</v>
      </c>
      <c r="E353" t="s">
        <v>20</v>
      </c>
      <c r="F353" t="s">
        <v>21</v>
      </c>
      <c r="G353" t="s">
        <v>66</v>
      </c>
      <c r="H353" t="s">
        <v>57</v>
      </c>
      <c r="I353" t="s">
        <v>92</v>
      </c>
      <c r="J353">
        <v>24</v>
      </c>
      <c r="K353">
        <v>49453.37</v>
      </c>
      <c r="L353">
        <v>1186880.8799999999</v>
      </c>
      <c r="M353">
        <v>111567.26</v>
      </c>
      <c r="N353">
        <v>0</v>
      </c>
      <c r="O353">
        <v>1075313.6200000001</v>
      </c>
      <c r="P353" t="s">
        <v>25</v>
      </c>
      <c r="Q353" t="s">
        <v>26</v>
      </c>
    </row>
    <row r="354" spans="1:17" x14ac:dyDescent="0.25">
      <c r="A354" t="s">
        <v>471</v>
      </c>
      <c r="B354" s="1">
        <v>46041</v>
      </c>
      <c r="C354" t="s">
        <v>47</v>
      </c>
      <c r="D354" t="s">
        <v>127</v>
      </c>
      <c r="E354" t="s">
        <v>41</v>
      </c>
      <c r="F354" t="s">
        <v>36</v>
      </c>
      <c r="G354" t="s">
        <v>89</v>
      </c>
      <c r="H354" t="s">
        <v>38</v>
      </c>
      <c r="I354" t="s">
        <v>82</v>
      </c>
      <c r="J354">
        <v>37</v>
      </c>
      <c r="K354">
        <v>15917.08</v>
      </c>
      <c r="L354">
        <v>588931.96</v>
      </c>
      <c r="M354">
        <v>0</v>
      </c>
      <c r="N354">
        <v>0</v>
      </c>
      <c r="O354">
        <v>588931.96</v>
      </c>
      <c r="P354" t="s">
        <v>73</v>
      </c>
      <c r="Q354" t="s">
        <v>32</v>
      </c>
    </row>
    <row r="355" spans="1:17" x14ac:dyDescent="0.25">
      <c r="A355" t="s">
        <v>472</v>
      </c>
      <c r="B355" s="1">
        <v>46028</v>
      </c>
      <c r="C355" t="s">
        <v>47</v>
      </c>
      <c r="D355" t="s">
        <v>114</v>
      </c>
      <c r="E355" t="s">
        <v>49</v>
      </c>
      <c r="F355" t="s">
        <v>42</v>
      </c>
      <c r="G355" t="s">
        <v>81</v>
      </c>
      <c r="H355" t="s">
        <v>23</v>
      </c>
      <c r="I355" t="s">
        <v>131</v>
      </c>
      <c r="J355">
        <v>45</v>
      </c>
      <c r="K355">
        <v>16651.439999999999</v>
      </c>
      <c r="L355">
        <v>749314.8</v>
      </c>
      <c r="M355">
        <v>95569.22</v>
      </c>
      <c r="N355">
        <v>0</v>
      </c>
      <c r="O355">
        <v>653745.57999999996</v>
      </c>
      <c r="P355" t="s">
        <v>25</v>
      </c>
      <c r="Q355" t="s">
        <v>26</v>
      </c>
    </row>
    <row r="356" spans="1:17" x14ac:dyDescent="0.25">
      <c r="A356" t="s">
        <v>473</v>
      </c>
      <c r="B356" s="1">
        <v>45988</v>
      </c>
      <c r="C356" t="s">
        <v>18</v>
      </c>
      <c r="D356" t="s">
        <v>34</v>
      </c>
      <c r="E356" t="s">
        <v>41</v>
      </c>
      <c r="F356" t="s">
        <v>42</v>
      </c>
      <c r="G356" t="s">
        <v>98</v>
      </c>
      <c r="H356" t="s">
        <v>44</v>
      </c>
      <c r="I356" t="s">
        <v>281</v>
      </c>
      <c r="J356">
        <v>37</v>
      </c>
      <c r="K356">
        <v>25450.42</v>
      </c>
      <c r="L356">
        <v>941665.54</v>
      </c>
      <c r="M356">
        <v>100113.05</v>
      </c>
      <c r="N356">
        <v>0</v>
      </c>
      <c r="O356">
        <v>841552.49</v>
      </c>
      <c r="P356" t="s">
        <v>32</v>
      </c>
      <c r="Q356" t="s">
        <v>32</v>
      </c>
    </row>
    <row r="357" spans="1:17" x14ac:dyDescent="0.25">
      <c r="A357" t="s">
        <v>474</v>
      </c>
      <c r="B357" s="1">
        <v>45994</v>
      </c>
      <c r="C357" t="s">
        <v>18</v>
      </c>
      <c r="D357" t="s">
        <v>28</v>
      </c>
      <c r="E357" t="s">
        <v>41</v>
      </c>
      <c r="F357" t="s">
        <v>105</v>
      </c>
      <c r="G357" t="s">
        <v>63</v>
      </c>
      <c r="H357" t="s">
        <v>67</v>
      </c>
      <c r="I357" t="s">
        <v>170</v>
      </c>
      <c r="J357">
        <v>30</v>
      </c>
      <c r="K357">
        <v>31850.87</v>
      </c>
      <c r="L357">
        <v>955526.1</v>
      </c>
      <c r="M357">
        <v>160052.63</v>
      </c>
      <c r="N357">
        <v>181966.06</v>
      </c>
      <c r="O357">
        <v>613507.41</v>
      </c>
      <c r="P357" t="s">
        <v>32</v>
      </c>
      <c r="Q357" t="s">
        <v>26</v>
      </c>
    </row>
    <row r="358" spans="1:17" x14ac:dyDescent="0.25">
      <c r="A358" t="s">
        <v>475</v>
      </c>
      <c r="B358" s="1">
        <v>46008</v>
      </c>
      <c r="C358" t="s">
        <v>79</v>
      </c>
      <c r="D358" t="s">
        <v>80</v>
      </c>
      <c r="E358" t="s">
        <v>20</v>
      </c>
      <c r="F358" t="s">
        <v>42</v>
      </c>
      <c r="G358" t="s">
        <v>98</v>
      </c>
      <c r="H358" t="s">
        <v>44</v>
      </c>
      <c r="I358" t="s">
        <v>281</v>
      </c>
      <c r="J358">
        <v>38</v>
      </c>
      <c r="K358">
        <v>44272.59</v>
      </c>
      <c r="L358">
        <v>1682358.42</v>
      </c>
      <c r="M358">
        <v>282725.14</v>
      </c>
      <c r="N358">
        <v>0</v>
      </c>
      <c r="O358">
        <v>1399633.28</v>
      </c>
      <c r="P358" t="s">
        <v>32</v>
      </c>
      <c r="Q358" t="s">
        <v>32</v>
      </c>
    </row>
    <row r="359" spans="1:17" x14ac:dyDescent="0.25">
      <c r="A359" t="s">
        <v>476</v>
      </c>
      <c r="B359" s="1">
        <v>46022</v>
      </c>
      <c r="C359" t="s">
        <v>54</v>
      </c>
      <c r="D359" t="s">
        <v>55</v>
      </c>
      <c r="E359" t="s">
        <v>49</v>
      </c>
      <c r="F359" t="s">
        <v>62</v>
      </c>
      <c r="G359" t="s">
        <v>138</v>
      </c>
      <c r="H359" t="s">
        <v>38</v>
      </c>
      <c r="I359" t="s">
        <v>108</v>
      </c>
      <c r="J359">
        <v>40</v>
      </c>
      <c r="K359">
        <v>565.1</v>
      </c>
      <c r="L359">
        <v>22604</v>
      </c>
      <c r="M359">
        <v>610.44000000000005</v>
      </c>
      <c r="N359">
        <v>3992.19</v>
      </c>
      <c r="O359">
        <v>18001.37</v>
      </c>
      <c r="P359" t="s">
        <v>25</v>
      </c>
      <c r="Q359" t="s">
        <v>128</v>
      </c>
    </row>
    <row r="360" spans="1:17" x14ac:dyDescent="0.25">
      <c r="A360" t="s">
        <v>477</v>
      </c>
      <c r="B360" s="1">
        <v>45997</v>
      </c>
      <c r="C360" t="s">
        <v>60</v>
      </c>
      <c r="D360" t="s">
        <v>65</v>
      </c>
      <c r="E360" t="s">
        <v>35</v>
      </c>
      <c r="F360" t="s">
        <v>36</v>
      </c>
      <c r="G360" t="s">
        <v>102</v>
      </c>
      <c r="H360" t="s">
        <v>94</v>
      </c>
      <c r="I360" t="s">
        <v>115</v>
      </c>
      <c r="J360">
        <v>21</v>
      </c>
      <c r="K360">
        <v>8640.2099999999991</v>
      </c>
      <c r="L360">
        <v>181444.41</v>
      </c>
      <c r="M360">
        <v>12748.02</v>
      </c>
      <c r="N360">
        <v>0</v>
      </c>
      <c r="O360">
        <v>168696.39</v>
      </c>
      <c r="P360" t="s">
        <v>73</v>
      </c>
      <c r="Q360" t="s">
        <v>32</v>
      </c>
    </row>
    <row r="361" spans="1:17" x14ac:dyDescent="0.25">
      <c r="A361" t="s">
        <v>478</v>
      </c>
      <c r="B361" s="1">
        <v>45989</v>
      </c>
      <c r="C361" t="s">
        <v>47</v>
      </c>
      <c r="D361" t="s">
        <v>127</v>
      </c>
      <c r="E361" t="s">
        <v>41</v>
      </c>
      <c r="F361" t="s">
        <v>71</v>
      </c>
      <c r="G361" t="s">
        <v>43</v>
      </c>
      <c r="H361" t="s">
        <v>44</v>
      </c>
      <c r="I361" t="s">
        <v>141</v>
      </c>
      <c r="J361">
        <v>32</v>
      </c>
      <c r="K361">
        <v>18645.07</v>
      </c>
      <c r="L361">
        <v>596642.24</v>
      </c>
      <c r="M361">
        <v>72897.259999999995</v>
      </c>
      <c r="N361">
        <v>0</v>
      </c>
      <c r="O361">
        <v>523744.98</v>
      </c>
      <c r="P361" t="s">
        <v>25</v>
      </c>
      <c r="Q361" t="s">
        <v>32</v>
      </c>
    </row>
    <row r="362" spans="1:17" x14ac:dyDescent="0.25">
      <c r="A362" t="s">
        <v>479</v>
      </c>
      <c r="B362" s="1">
        <v>46041</v>
      </c>
      <c r="C362" t="s">
        <v>79</v>
      </c>
      <c r="D362" t="s">
        <v>80</v>
      </c>
      <c r="E362" t="s">
        <v>20</v>
      </c>
      <c r="F362" t="s">
        <v>84</v>
      </c>
      <c r="G362" t="s">
        <v>29</v>
      </c>
      <c r="H362" t="s">
        <v>67</v>
      </c>
      <c r="I362" t="s">
        <v>201</v>
      </c>
      <c r="J362">
        <v>34</v>
      </c>
      <c r="K362">
        <v>5984.32</v>
      </c>
      <c r="L362">
        <v>203466.88</v>
      </c>
      <c r="M362">
        <v>29383.65</v>
      </c>
      <c r="N362">
        <v>0</v>
      </c>
      <c r="O362">
        <v>174083.23</v>
      </c>
      <c r="P362" t="s">
        <v>73</v>
      </c>
      <c r="Q362" t="s">
        <v>32</v>
      </c>
    </row>
    <row r="363" spans="1:17" x14ac:dyDescent="0.25">
      <c r="A363" t="s">
        <v>480</v>
      </c>
      <c r="B363" s="1">
        <v>46004</v>
      </c>
      <c r="C363" t="s">
        <v>54</v>
      </c>
      <c r="D363" t="s">
        <v>133</v>
      </c>
      <c r="E363" t="s">
        <v>49</v>
      </c>
      <c r="F363" t="s">
        <v>62</v>
      </c>
      <c r="G363" t="s">
        <v>43</v>
      </c>
      <c r="H363" t="s">
        <v>57</v>
      </c>
      <c r="I363" t="s">
        <v>118</v>
      </c>
      <c r="J363">
        <v>42</v>
      </c>
      <c r="K363">
        <v>25736.35</v>
      </c>
      <c r="L363">
        <v>1080926.7</v>
      </c>
      <c r="M363">
        <v>0</v>
      </c>
      <c r="N363">
        <v>0</v>
      </c>
      <c r="O363">
        <v>1080926.7</v>
      </c>
      <c r="P363" t="s">
        <v>31</v>
      </c>
      <c r="Q363" t="s">
        <v>32</v>
      </c>
    </row>
    <row r="364" spans="1:17" x14ac:dyDescent="0.25">
      <c r="A364" t="s">
        <v>481</v>
      </c>
      <c r="B364" s="1">
        <v>46037</v>
      </c>
      <c r="C364" t="s">
        <v>18</v>
      </c>
      <c r="D364" t="s">
        <v>19</v>
      </c>
      <c r="E364" t="s">
        <v>35</v>
      </c>
      <c r="F364" t="s">
        <v>137</v>
      </c>
      <c r="G364" t="s">
        <v>138</v>
      </c>
      <c r="H364" t="s">
        <v>38</v>
      </c>
      <c r="I364" t="s">
        <v>39</v>
      </c>
      <c r="J364">
        <v>1</v>
      </c>
      <c r="K364">
        <v>26479.08</v>
      </c>
      <c r="L364">
        <v>26479.08</v>
      </c>
      <c r="M364">
        <v>3009.09</v>
      </c>
      <c r="N364">
        <v>0</v>
      </c>
      <c r="O364">
        <v>23469.99</v>
      </c>
      <c r="P364" t="s">
        <v>32</v>
      </c>
      <c r="Q364" t="s">
        <v>32</v>
      </c>
    </row>
    <row r="365" spans="1:17" x14ac:dyDescent="0.25">
      <c r="A365" t="s">
        <v>482</v>
      </c>
      <c r="B365" s="1">
        <v>46042</v>
      </c>
      <c r="C365" t="s">
        <v>79</v>
      </c>
      <c r="D365" t="s">
        <v>80</v>
      </c>
      <c r="E365" t="s">
        <v>49</v>
      </c>
      <c r="F365" t="s">
        <v>112</v>
      </c>
      <c r="G365" t="s">
        <v>66</v>
      </c>
      <c r="H365" t="s">
        <v>67</v>
      </c>
      <c r="I365" t="s">
        <v>154</v>
      </c>
      <c r="J365">
        <v>8</v>
      </c>
      <c r="K365">
        <v>12339.06</v>
      </c>
      <c r="L365">
        <v>98712.48</v>
      </c>
      <c r="M365">
        <v>0</v>
      </c>
      <c r="N365">
        <v>0</v>
      </c>
      <c r="O365">
        <v>98712.48</v>
      </c>
      <c r="P365" t="s">
        <v>73</v>
      </c>
      <c r="Q365" t="s">
        <v>32</v>
      </c>
    </row>
    <row r="366" spans="1:17" x14ac:dyDescent="0.25">
      <c r="A366" t="s">
        <v>483</v>
      </c>
      <c r="B366" s="1">
        <v>45969</v>
      </c>
      <c r="C366" t="s">
        <v>47</v>
      </c>
      <c r="D366" t="s">
        <v>48</v>
      </c>
      <c r="E366" t="s">
        <v>41</v>
      </c>
      <c r="F366" t="s">
        <v>50</v>
      </c>
      <c r="G366" t="s">
        <v>51</v>
      </c>
      <c r="H366" t="s">
        <v>67</v>
      </c>
      <c r="I366" t="s">
        <v>68</v>
      </c>
      <c r="J366">
        <v>35</v>
      </c>
      <c r="K366">
        <v>43370.39</v>
      </c>
      <c r="L366">
        <v>1517963.65</v>
      </c>
      <c r="M366">
        <v>222718.73</v>
      </c>
      <c r="N366">
        <v>0</v>
      </c>
      <c r="O366">
        <v>1295244.92</v>
      </c>
      <c r="P366" t="s">
        <v>25</v>
      </c>
      <c r="Q366" t="s">
        <v>26</v>
      </c>
    </row>
    <row r="367" spans="1:17" x14ac:dyDescent="0.25">
      <c r="A367" t="s">
        <v>484</v>
      </c>
      <c r="B367" s="1">
        <v>46000</v>
      </c>
      <c r="C367" t="s">
        <v>18</v>
      </c>
      <c r="D367" t="s">
        <v>34</v>
      </c>
      <c r="E367" t="s">
        <v>49</v>
      </c>
      <c r="F367" t="s">
        <v>84</v>
      </c>
      <c r="G367" t="s">
        <v>56</v>
      </c>
      <c r="H367" t="s">
        <v>38</v>
      </c>
      <c r="I367" t="s">
        <v>120</v>
      </c>
      <c r="J367">
        <v>48</v>
      </c>
      <c r="K367">
        <v>4165.76</v>
      </c>
      <c r="L367">
        <v>199956.48000000001</v>
      </c>
      <c r="M367">
        <v>9127.0400000000009</v>
      </c>
      <c r="N367">
        <v>0</v>
      </c>
      <c r="O367">
        <v>190829.44</v>
      </c>
      <c r="P367" t="s">
        <v>32</v>
      </c>
      <c r="Q367" t="s">
        <v>26</v>
      </c>
    </row>
    <row r="368" spans="1:17" x14ac:dyDescent="0.25">
      <c r="A368" t="s">
        <v>485</v>
      </c>
      <c r="B368" s="1">
        <v>46026</v>
      </c>
      <c r="C368" t="s">
        <v>47</v>
      </c>
      <c r="D368" t="s">
        <v>88</v>
      </c>
      <c r="E368" t="s">
        <v>35</v>
      </c>
      <c r="F368" t="s">
        <v>42</v>
      </c>
      <c r="G368" t="s">
        <v>89</v>
      </c>
      <c r="H368" t="s">
        <v>57</v>
      </c>
      <c r="I368" t="s">
        <v>58</v>
      </c>
      <c r="J368">
        <v>6</v>
      </c>
      <c r="K368">
        <v>13140.24</v>
      </c>
      <c r="L368">
        <v>78841.440000000002</v>
      </c>
      <c r="M368">
        <v>0</v>
      </c>
      <c r="N368">
        <v>0</v>
      </c>
      <c r="O368">
        <v>78841.440000000002</v>
      </c>
      <c r="P368" t="s">
        <v>31</v>
      </c>
      <c r="Q368" t="s">
        <v>32</v>
      </c>
    </row>
    <row r="369" spans="1:17" x14ac:dyDescent="0.25">
      <c r="A369" t="s">
        <v>486</v>
      </c>
      <c r="B369" s="1">
        <v>45995</v>
      </c>
      <c r="C369" t="s">
        <v>79</v>
      </c>
      <c r="D369" t="s">
        <v>107</v>
      </c>
      <c r="E369" t="s">
        <v>41</v>
      </c>
      <c r="F369" t="s">
        <v>84</v>
      </c>
      <c r="G369" t="s">
        <v>138</v>
      </c>
      <c r="H369" t="s">
        <v>57</v>
      </c>
      <c r="I369" t="s">
        <v>160</v>
      </c>
      <c r="J369">
        <v>31</v>
      </c>
      <c r="K369">
        <v>13107.47</v>
      </c>
      <c r="L369">
        <v>406331.57</v>
      </c>
      <c r="M369">
        <v>12646</v>
      </c>
      <c r="N369">
        <v>0</v>
      </c>
      <c r="O369">
        <v>393685.57</v>
      </c>
      <c r="P369" t="s">
        <v>31</v>
      </c>
      <c r="Q369" t="s">
        <v>32</v>
      </c>
    </row>
    <row r="370" spans="1:17" x14ac:dyDescent="0.25">
      <c r="A370" t="s">
        <v>487</v>
      </c>
      <c r="B370" s="1">
        <v>46024</v>
      </c>
      <c r="C370" t="s">
        <v>47</v>
      </c>
      <c r="D370" t="s">
        <v>88</v>
      </c>
      <c r="E370" t="s">
        <v>49</v>
      </c>
      <c r="F370" t="s">
        <v>50</v>
      </c>
      <c r="G370" t="s">
        <v>29</v>
      </c>
      <c r="H370" t="s">
        <v>38</v>
      </c>
      <c r="I370" t="s">
        <v>82</v>
      </c>
      <c r="J370">
        <v>22</v>
      </c>
      <c r="K370">
        <v>40832.019999999997</v>
      </c>
      <c r="L370">
        <v>898304.44</v>
      </c>
      <c r="M370">
        <v>88209.79</v>
      </c>
      <c r="N370">
        <v>59275.94</v>
      </c>
      <c r="O370">
        <v>750818.71</v>
      </c>
      <c r="P370" t="s">
        <v>31</v>
      </c>
      <c r="Q370" t="s">
        <v>32</v>
      </c>
    </row>
    <row r="371" spans="1:17" x14ac:dyDescent="0.25">
      <c r="A371" t="s">
        <v>488</v>
      </c>
      <c r="B371" s="1">
        <v>45996</v>
      </c>
      <c r="C371" t="s">
        <v>79</v>
      </c>
      <c r="D371" t="s">
        <v>101</v>
      </c>
      <c r="E371" t="s">
        <v>20</v>
      </c>
      <c r="F371" t="s">
        <v>50</v>
      </c>
      <c r="G371" t="s">
        <v>22</v>
      </c>
      <c r="H371" t="s">
        <v>67</v>
      </c>
      <c r="I371" t="s">
        <v>201</v>
      </c>
      <c r="J371">
        <v>45</v>
      </c>
      <c r="K371">
        <v>5084.07</v>
      </c>
      <c r="L371">
        <v>228783.15</v>
      </c>
      <c r="M371">
        <v>39258.81</v>
      </c>
      <c r="N371">
        <v>0</v>
      </c>
      <c r="O371">
        <v>189524.34</v>
      </c>
      <c r="P371" t="s">
        <v>73</v>
      </c>
      <c r="Q371" t="s">
        <v>32</v>
      </c>
    </row>
    <row r="372" spans="1:17" x14ac:dyDescent="0.25">
      <c r="A372" t="s">
        <v>489</v>
      </c>
      <c r="B372" s="1">
        <v>45969</v>
      </c>
      <c r="C372" t="s">
        <v>60</v>
      </c>
      <c r="D372" t="s">
        <v>151</v>
      </c>
      <c r="E372" t="s">
        <v>49</v>
      </c>
      <c r="F372" t="s">
        <v>50</v>
      </c>
      <c r="G372" t="s">
        <v>98</v>
      </c>
      <c r="H372" t="s">
        <v>23</v>
      </c>
      <c r="I372" t="s">
        <v>110</v>
      </c>
      <c r="J372">
        <v>38</v>
      </c>
      <c r="K372">
        <v>4795.4799999999996</v>
      </c>
      <c r="L372">
        <v>182228.24</v>
      </c>
      <c r="M372">
        <v>0</v>
      </c>
      <c r="N372">
        <v>0</v>
      </c>
      <c r="O372">
        <v>182228.24</v>
      </c>
      <c r="P372" t="s">
        <v>73</v>
      </c>
      <c r="Q372" t="s">
        <v>26</v>
      </c>
    </row>
    <row r="373" spans="1:17" x14ac:dyDescent="0.25">
      <c r="A373" t="s">
        <v>490</v>
      </c>
      <c r="B373" s="1">
        <v>45995</v>
      </c>
      <c r="C373" t="s">
        <v>60</v>
      </c>
      <c r="D373" t="s">
        <v>151</v>
      </c>
      <c r="E373" t="s">
        <v>49</v>
      </c>
      <c r="F373" t="s">
        <v>71</v>
      </c>
      <c r="G373" t="s">
        <v>22</v>
      </c>
      <c r="H373" t="s">
        <v>38</v>
      </c>
      <c r="I373" t="s">
        <v>175</v>
      </c>
      <c r="J373">
        <v>4</v>
      </c>
      <c r="K373">
        <v>50469.02</v>
      </c>
      <c r="L373">
        <v>201876.08</v>
      </c>
      <c r="M373">
        <v>0</v>
      </c>
      <c r="N373">
        <v>0</v>
      </c>
      <c r="O373">
        <v>201876.08</v>
      </c>
      <c r="P373" t="s">
        <v>32</v>
      </c>
      <c r="Q373" t="s">
        <v>26</v>
      </c>
    </row>
    <row r="374" spans="1:17" x14ac:dyDescent="0.25">
      <c r="A374" t="s">
        <v>491</v>
      </c>
      <c r="B374" s="1">
        <v>46039</v>
      </c>
      <c r="C374" t="s">
        <v>79</v>
      </c>
      <c r="D374" t="s">
        <v>91</v>
      </c>
      <c r="E374" t="s">
        <v>20</v>
      </c>
      <c r="F374" t="s">
        <v>42</v>
      </c>
      <c r="G374" t="s">
        <v>81</v>
      </c>
      <c r="H374" t="s">
        <v>23</v>
      </c>
      <c r="I374" t="s">
        <v>24</v>
      </c>
      <c r="J374">
        <v>39</v>
      </c>
      <c r="K374">
        <v>37929.360000000001</v>
      </c>
      <c r="L374">
        <v>1479245.04</v>
      </c>
      <c r="M374">
        <v>206067.26</v>
      </c>
      <c r="N374">
        <v>0</v>
      </c>
      <c r="O374">
        <v>1273177.78</v>
      </c>
      <c r="P374" t="s">
        <v>73</v>
      </c>
      <c r="Q374" t="s">
        <v>32</v>
      </c>
    </row>
    <row r="375" spans="1:17" x14ac:dyDescent="0.25">
      <c r="A375" t="s">
        <v>492</v>
      </c>
      <c r="B375" s="1">
        <v>46021</v>
      </c>
      <c r="C375" t="s">
        <v>47</v>
      </c>
      <c r="D375" t="s">
        <v>127</v>
      </c>
      <c r="E375" t="s">
        <v>35</v>
      </c>
      <c r="F375" t="s">
        <v>50</v>
      </c>
      <c r="G375" t="s">
        <v>43</v>
      </c>
      <c r="H375" t="s">
        <v>38</v>
      </c>
      <c r="I375" t="s">
        <v>86</v>
      </c>
      <c r="J375">
        <v>40</v>
      </c>
      <c r="K375">
        <v>26497.95</v>
      </c>
      <c r="L375">
        <v>1059918</v>
      </c>
      <c r="M375">
        <v>145055.85</v>
      </c>
      <c r="N375">
        <v>0</v>
      </c>
      <c r="O375">
        <v>914862.15</v>
      </c>
      <c r="P375" t="s">
        <v>25</v>
      </c>
      <c r="Q375" t="s">
        <v>26</v>
      </c>
    </row>
    <row r="376" spans="1:17" x14ac:dyDescent="0.25">
      <c r="A376" t="s">
        <v>493</v>
      </c>
      <c r="B376" s="1">
        <v>45984</v>
      </c>
      <c r="C376" t="s">
        <v>79</v>
      </c>
      <c r="D376" t="s">
        <v>101</v>
      </c>
      <c r="E376" t="s">
        <v>49</v>
      </c>
      <c r="F376" t="s">
        <v>71</v>
      </c>
      <c r="G376" t="s">
        <v>140</v>
      </c>
      <c r="H376" t="s">
        <v>57</v>
      </c>
      <c r="I376" t="s">
        <v>148</v>
      </c>
      <c r="J376">
        <v>2</v>
      </c>
      <c r="K376">
        <v>25244.06</v>
      </c>
      <c r="L376">
        <v>50488.12</v>
      </c>
      <c r="M376">
        <v>3551.37</v>
      </c>
      <c r="N376">
        <v>0</v>
      </c>
      <c r="O376">
        <v>46936.75</v>
      </c>
      <c r="P376" t="s">
        <v>31</v>
      </c>
      <c r="Q376" t="s">
        <v>32</v>
      </c>
    </row>
    <row r="377" spans="1:17" x14ac:dyDescent="0.25">
      <c r="A377" t="s">
        <v>494</v>
      </c>
      <c r="B377" s="1">
        <v>45988</v>
      </c>
      <c r="C377" t="s">
        <v>60</v>
      </c>
      <c r="D377" t="s">
        <v>61</v>
      </c>
      <c r="E377" t="s">
        <v>41</v>
      </c>
      <c r="F377" t="s">
        <v>71</v>
      </c>
      <c r="G377" t="s">
        <v>29</v>
      </c>
      <c r="H377" t="s">
        <v>67</v>
      </c>
      <c r="I377" t="s">
        <v>154</v>
      </c>
      <c r="J377">
        <v>47</v>
      </c>
      <c r="K377">
        <v>1464.86</v>
      </c>
      <c r="L377">
        <v>68848.42</v>
      </c>
      <c r="M377">
        <v>0</v>
      </c>
      <c r="N377">
        <v>0</v>
      </c>
      <c r="O377">
        <v>68848.42</v>
      </c>
      <c r="P377" t="s">
        <v>73</v>
      </c>
      <c r="Q377" t="s">
        <v>26</v>
      </c>
    </row>
    <row r="378" spans="1:17" x14ac:dyDescent="0.25">
      <c r="A378" t="s">
        <v>495</v>
      </c>
      <c r="B378" s="1">
        <v>45957</v>
      </c>
      <c r="C378" t="s">
        <v>60</v>
      </c>
      <c r="D378" t="s">
        <v>151</v>
      </c>
      <c r="E378" t="s">
        <v>20</v>
      </c>
      <c r="F378" t="s">
        <v>62</v>
      </c>
      <c r="G378" t="s">
        <v>51</v>
      </c>
      <c r="H378" t="s">
        <v>57</v>
      </c>
      <c r="I378" t="s">
        <v>72</v>
      </c>
      <c r="J378">
        <v>40</v>
      </c>
      <c r="K378">
        <v>39318.93</v>
      </c>
      <c r="L378">
        <v>1572757.2</v>
      </c>
      <c r="M378">
        <v>197605.23</v>
      </c>
      <c r="N378">
        <v>0</v>
      </c>
      <c r="O378">
        <v>1375151.97</v>
      </c>
      <c r="P378" t="s">
        <v>25</v>
      </c>
      <c r="Q378" t="s">
        <v>26</v>
      </c>
    </row>
    <row r="379" spans="1:17" x14ac:dyDescent="0.25">
      <c r="A379" t="s">
        <v>496</v>
      </c>
      <c r="B379" s="1">
        <v>45965</v>
      </c>
      <c r="C379" t="s">
        <v>54</v>
      </c>
      <c r="D379" t="s">
        <v>55</v>
      </c>
      <c r="E379" t="s">
        <v>20</v>
      </c>
      <c r="F379" t="s">
        <v>105</v>
      </c>
      <c r="G379" t="s">
        <v>22</v>
      </c>
      <c r="H379" t="s">
        <v>67</v>
      </c>
      <c r="I379" t="s">
        <v>154</v>
      </c>
      <c r="J379">
        <v>16</v>
      </c>
      <c r="K379">
        <v>31266.67</v>
      </c>
      <c r="L379">
        <v>500266.72</v>
      </c>
      <c r="M379">
        <v>84135.19</v>
      </c>
      <c r="N379">
        <v>0</v>
      </c>
      <c r="O379">
        <v>416131.53</v>
      </c>
      <c r="P379" t="s">
        <v>31</v>
      </c>
      <c r="Q379" t="s">
        <v>32</v>
      </c>
    </row>
    <row r="380" spans="1:17" x14ac:dyDescent="0.25">
      <c r="A380" t="s">
        <v>497</v>
      </c>
      <c r="B380" s="1">
        <v>45965</v>
      </c>
      <c r="C380" t="s">
        <v>54</v>
      </c>
      <c r="D380" t="s">
        <v>133</v>
      </c>
      <c r="E380" t="s">
        <v>20</v>
      </c>
      <c r="F380" t="s">
        <v>71</v>
      </c>
      <c r="G380" t="s">
        <v>81</v>
      </c>
      <c r="H380" t="s">
        <v>94</v>
      </c>
      <c r="I380" t="s">
        <v>193</v>
      </c>
      <c r="J380">
        <v>35</v>
      </c>
      <c r="K380">
        <v>35681.4</v>
      </c>
      <c r="L380">
        <v>1248849</v>
      </c>
      <c r="M380">
        <v>0</v>
      </c>
      <c r="N380">
        <v>255364.31</v>
      </c>
      <c r="O380">
        <v>993484.69</v>
      </c>
      <c r="P380" t="s">
        <v>32</v>
      </c>
      <c r="Q380" t="s">
        <v>26</v>
      </c>
    </row>
    <row r="381" spans="1:17" x14ac:dyDescent="0.25">
      <c r="A381" t="s">
        <v>498</v>
      </c>
      <c r="B381" s="1">
        <v>45997</v>
      </c>
      <c r="C381" t="s">
        <v>47</v>
      </c>
      <c r="D381" t="s">
        <v>127</v>
      </c>
      <c r="E381" t="s">
        <v>20</v>
      </c>
      <c r="F381" t="s">
        <v>112</v>
      </c>
      <c r="G381" t="s">
        <v>102</v>
      </c>
      <c r="H381" t="s">
        <v>67</v>
      </c>
      <c r="I381" t="s">
        <v>201</v>
      </c>
      <c r="J381">
        <v>35</v>
      </c>
      <c r="K381">
        <v>15660.88</v>
      </c>
      <c r="L381">
        <v>548130.80000000005</v>
      </c>
      <c r="M381">
        <v>0</v>
      </c>
      <c r="N381">
        <v>0</v>
      </c>
      <c r="O381">
        <v>548130.80000000005</v>
      </c>
      <c r="P381" t="s">
        <v>32</v>
      </c>
      <c r="Q381" t="s">
        <v>26</v>
      </c>
    </row>
    <row r="382" spans="1:17" x14ac:dyDescent="0.25">
      <c r="A382" t="s">
        <v>499</v>
      </c>
      <c r="B382" s="1">
        <v>45976</v>
      </c>
      <c r="C382" t="s">
        <v>79</v>
      </c>
      <c r="D382" t="s">
        <v>80</v>
      </c>
      <c r="E382" t="s">
        <v>41</v>
      </c>
      <c r="F382" t="s">
        <v>50</v>
      </c>
      <c r="G382" t="s">
        <v>98</v>
      </c>
      <c r="H382" t="s">
        <v>67</v>
      </c>
      <c r="I382" t="s">
        <v>103</v>
      </c>
      <c r="J382">
        <v>24</v>
      </c>
      <c r="K382">
        <v>30402.91</v>
      </c>
      <c r="L382">
        <v>729669.84</v>
      </c>
      <c r="M382">
        <v>59432.959999999999</v>
      </c>
      <c r="N382">
        <v>0</v>
      </c>
      <c r="O382">
        <v>670236.88</v>
      </c>
      <c r="P382" t="s">
        <v>73</v>
      </c>
      <c r="Q382" t="s">
        <v>32</v>
      </c>
    </row>
    <row r="383" spans="1:17" x14ac:dyDescent="0.25">
      <c r="A383" t="s">
        <v>500</v>
      </c>
      <c r="B383" s="1">
        <v>46019</v>
      </c>
      <c r="C383" t="s">
        <v>18</v>
      </c>
      <c r="D383" t="s">
        <v>19</v>
      </c>
      <c r="E383" t="s">
        <v>49</v>
      </c>
      <c r="F383" t="s">
        <v>137</v>
      </c>
      <c r="G383" t="s">
        <v>102</v>
      </c>
      <c r="H383" t="s">
        <v>44</v>
      </c>
      <c r="I383" t="s">
        <v>281</v>
      </c>
      <c r="J383">
        <v>11</v>
      </c>
      <c r="K383">
        <v>34826.47</v>
      </c>
      <c r="L383">
        <v>383091.17</v>
      </c>
      <c r="M383">
        <v>62803.67</v>
      </c>
      <c r="N383">
        <v>0</v>
      </c>
      <c r="O383">
        <v>320287.5</v>
      </c>
      <c r="P383" t="s">
        <v>31</v>
      </c>
      <c r="Q383" t="s">
        <v>32</v>
      </c>
    </row>
    <row r="384" spans="1:17" x14ac:dyDescent="0.25">
      <c r="A384" t="s">
        <v>501</v>
      </c>
      <c r="B384" s="1">
        <v>46033</v>
      </c>
      <c r="C384" t="s">
        <v>60</v>
      </c>
      <c r="D384" t="s">
        <v>151</v>
      </c>
      <c r="E384" t="s">
        <v>49</v>
      </c>
      <c r="F384" t="s">
        <v>50</v>
      </c>
      <c r="G384" t="s">
        <v>63</v>
      </c>
      <c r="H384" t="s">
        <v>44</v>
      </c>
      <c r="I384" t="s">
        <v>141</v>
      </c>
      <c r="J384">
        <v>41</v>
      </c>
      <c r="K384">
        <v>6291.09</v>
      </c>
      <c r="L384">
        <v>257934.69</v>
      </c>
      <c r="M384">
        <v>0</v>
      </c>
      <c r="N384">
        <v>0</v>
      </c>
      <c r="O384">
        <v>257934.69</v>
      </c>
      <c r="P384" t="s">
        <v>73</v>
      </c>
      <c r="Q384" t="s">
        <v>32</v>
      </c>
    </row>
    <row r="385" spans="1:17" x14ac:dyDescent="0.25">
      <c r="A385" t="s">
        <v>502</v>
      </c>
      <c r="B385" s="1">
        <v>45988</v>
      </c>
      <c r="C385" t="s">
        <v>79</v>
      </c>
      <c r="D385" t="s">
        <v>101</v>
      </c>
      <c r="E385" t="s">
        <v>20</v>
      </c>
      <c r="F385" t="s">
        <v>84</v>
      </c>
      <c r="G385" t="s">
        <v>85</v>
      </c>
      <c r="H385" t="s">
        <v>44</v>
      </c>
      <c r="I385" t="s">
        <v>135</v>
      </c>
      <c r="J385">
        <v>9</v>
      </c>
      <c r="K385">
        <v>45903.46</v>
      </c>
      <c r="L385">
        <v>413131.14</v>
      </c>
      <c r="M385">
        <v>61503.97</v>
      </c>
      <c r="N385">
        <v>0</v>
      </c>
      <c r="O385">
        <v>351627.17</v>
      </c>
      <c r="P385" t="s">
        <v>32</v>
      </c>
      <c r="Q385" t="s">
        <v>32</v>
      </c>
    </row>
    <row r="386" spans="1:17" x14ac:dyDescent="0.25">
      <c r="A386" t="s">
        <v>503</v>
      </c>
      <c r="B386" s="1">
        <v>46032</v>
      </c>
      <c r="C386" t="s">
        <v>54</v>
      </c>
      <c r="D386" t="s">
        <v>97</v>
      </c>
      <c r="E386" t="s">
        <v>49</v>
      </c>
      <c r="F386" t="s">
        <v>105</v>
      </c>
      <c r="G386" t="s">
        <v>22</v>
      </c>
      <c r="H386" t="s">
        <v>44</v>
      </c>
      <c r="I386" t="s">
        <v>124</v>
      </c>
      <c r="J386">
        <v>10</v>
      </c>
      <c r="K386">
        <v>3712.8</v>
      </c>
      <c r="L386">
        <v>37128</v>
      </c>
      <c r="M386">
        <v>6280.14</v>
      </c>
      <c r="N386">
        <v>0</v>
      </c>
      <c r="O386">
        <v>30847.86</v>
      </c>
      <c r="P386" t="s">
        <v>73</v>
      </c>
      <c r="Q386" t="s">
        <v>32</v>
      </c>
    </row>
    <row r="387" spans="1:17" x14ac:dyDescent="0.25">
      <c r="A387" t="s">
        <v>504</v>
      </c>
      <c r="B387" s="1">
        <v>46026</v>
      </c>
      <c r="C387" t="s">
        <v>54</v>
      </c>
      <c r="D387" t="s">
        <v>70</v>
      </c>
      <c r="E387" t="s">
        <v>49</v>
      </c>
      <c r="F387" t="s">
        <v>112</v>
      </c>
      <c r="G387" t="s">
        <v>102</v>
      </c>
      <c r="H387" t="s">
        <v>44</v>
      </c>
      <c r="I387" t="s">
        <v>124</v>
      </c>
      <c r="J387">
        <v>35</v>
      </c>
      <c r="K387">
        <v>13610.38</v>
      </c>
      <c r="L387">
        <v>476363.3</v>
      </c>
      <c r="M387">
        <v>0</v>
      </c>
      <c r="N387">
        <v>0</v>
      </c>
      <c r="O387">
        <v>476363.3</v>
      </c>
      <c r="P387" t="s">
        <v>32</v>
      </c>
      <c r="Q387" t="s">
        <v>32</v>
      </c>
    </row>
    <row r="388" spans="1:17" x14ac:dyDescent="0.25">
      <c r="A388" t="s">
        <v>505</v>
      </c>
      <c r="B388" s="1">
        <v>46024</v>
      </c>
      <c r="C388" t="s">
        <v>54</v>
      </c>
      <c r="D388" t="s">
        <v>97</v>
      </c>
      <c r="E388" t="s">
        <v>35</v>
      </c>
      <c r="F388" t="s">
        <v>105</v>
      </c>
      <c r="G388" t="s">
        <v>140</v>
      </c>
      <c r="H388" t="s">
        <v>23</v>
      </c>
      <c r="I388" t="s">
        <v>131</v>
      </c>
      <c r="J388">
        <v>30</v>
      </c>
      <c r="K388">
        <v>40389.370000000003</v>
      </c>
      <c r="L388">
        <v>1211681.1000000001</v>
      </c>
      <c r="M388">
        <v>232489.57</v>
      </c>
      <c r="N388">
        <v>0</v>
      </c>
      <c r="O388">
        <v>979191.53</v>
      </c>
      <c r="P388" t="s">
        <v>73</v>
      </c>
      <c r="Q388" t="s">
        <v>32</v>
      </c>
    </row>
    <row r="389" spans="1:17" x14ac:dyDescent="0.25">
      <c r="A389" t="s">
        <v>506</v>
      </c>
      <c r="B389" s="1">
        <v>46035</v>
      </c>
      <c r="C389" t="s">
        <v>54</v>
      </c>
      <c r="D389" t="s">
        <v>70</v>
      </c>
      <c r="E389" t="s">
        <v>35</v>
      </c>
      <c r="F389" t="s">
        <v>84</v>
      </c>
      <c r="G389" t="s">
        <v>66</v>
      </c>
      <c r="H389" t="s">
        <v>38</v>
      </c>
      <c r="I389" t="s">
        <v>39</v>
      </c>
      <c r="J389">
        <v>42</v>
      </c>
      <c r="K389">
        <v>37476.449999999997</v>
      </c>
      <c r="L389">
        <v>1574010.9</v>
      </c>
      <c r="M389">
        <v>0</v>
      </c>
      <c r="N389">
        <v>0</v>
      </c>
      <c r="O389">
        <v>1574010.9</v>
      </c>
      <c r="P389" t="s">
        <v>73</v>
      </c>
      <c r="Q389" t="s">
        <v>32</v>
      </c>
    </row>
    <row r="390" spans="1:17" x14ac:dyDescent="0.25">
      <c r="A390" t="s">
        <v>507</v>
      </c>
      <c r="B390" s="1">
        <v>45967</v>
      </c>
      <c r="C390" t="s">
        <v>60</v>
      </c>
      <c r="D390" t="s">
        <v>123</v>
      </c>
      <c r="E390" t="s">
        <v>49</v>
      </c>
      <c r="F390" t="s">
        <v>137</v>
      </c>
      <c r="G390" t="s">
        <v>140</v>
      </c>
      <c r="H390" t="s">
        <v>44</v>
      </c>
      <c r="I390" t="s">
        <v>281</v>
      </c>
      <c r="J390">
        <v>5</v>
      </c>
      <c r="K390">
        <v>25821.65</v>
      </c>
      <c r="L390">
        <v>129108.25</v>
      </c>
      <c r="M390">
        <v>0</v>
      </c>
      <c r="N390">
        <v>12680.15</v>
      </c>
      <c r="O390">
        <v>116428.1</v>
      </c>
      <c r="P390" t="s">
        <v>25</v>
      </c>
      <c r="Q390" t="s">
        <v>26</v>
      </c>
    </row>
    <row r="391" spans="1:17" x14ac:dyDescent="0.25">
      <c r="A391" t="s">
        <v>508</v>
      </c>
      <c r="B391" s="1">
        <v>45959</v>
      </c>
      <c r="C391" t="s">
        <v>54</v>
      </c>
      <c r="D391" t="s">
        <v>55</v>
      </c>
      <c r="E391" t="s">
        <v>49</v>
      </c>
      <c r="F391" t="s">
        <v>105</v>
      </c>
      <c r="G391" t="s">
        <v>85</v>
      </c>
      <c r="H391" t="s">
        <v>38</v>
      </c>
      <c r="I391" t="s">
        <v>39</v>
      </c>
      <c r="J391">
        <v>20</v>
      </c>
      <c r="K391">
        <v>15331.65</v>
      </c>
      <c r="L391">
        <v>306633</v>
      </c>
      <c r="M391">
        <v>17235.21</v>
      </c>
      <c r="N391">
        <v>0</v>
      </c>
      <c r="O391">
        <v>289397.78999999998</v>
      </c>
      <c r="P391" t="s">
        <v>25</v>
      </c>
      <c r="Q391" t="s">
        <v>32</v>
      </c>
    </row>
    <row r="392" spans="1:17" x14ac:dyDescent="0.25">
      <c r="A392" t="s">
        <v>509</v>
      </c>
      <c r="B392" s="1">
        <v>45979</v>
      </c>
      <c r="C392" t="s">
        <v>79</v>
      </c>
      <c r="D392" t="s">
        <v>80</v>
      </c>
      <c r="E392" t="s">
        <v>20</v>
      </c>
      <c r="F392" t="s">
        <v>84</v>
      </c>
      <c r="G392" t="s">
        <v>140</v>
      </c>
      <c r="H392" t="s">
        <v>23</v>
      </c>
      <c r="I392" t="s">
        <v>99</v>
      </c>
      <c r="J392">
        <v>26</v>
      </c>
      <c r="K392">
        <v>39653.949999999997</v>
      </c>
      <c r="L392">
        <v>1031002.7</v>
      </c>
      <c r="M392">
        <v>26868.98</v>
      </c>
      <c r="N392">
        <v>0</v>
      </c>
      <c r="O392">
        <v>1004133.72</v>
      </c>
      <c r="P392" t="s">
        <v>32</v>
      </c>
      <c r="Q392" t="s">
        <v>32</v>
      </c>
    </row>
    <row r="393" spans="1:17" x14ac:dyDescent="0.25">
      <c r="A393" t="s">
        <v>510</v>
      </c>
      <c r="B393" s="1">
        <v>45980</v>
      </c>
      <c r="C393" t="s">
        <v>79</v>
      </c>
      <c r="D393" t="s">
        <v>101</v>
      </c>
      <c r="E393" t="s">
        <v>41</v>
      </c>
      <c r="F393" t="s">
        <v>62</v>
      </c>
      <c r="G393" t="s">
        <v>56</v>
      </c>
      <c r="H393" t="s">
        <v>38</v>
      </c>
      <c r="I393" t="s">
        <v>39</v>
      </c>
      <c r="J393">
        <v>33</v>
      </c>
      <c r="K393">
        <v>13450.87</v>
      </c>
      <c r="L393">
        <v>443878.71</v>
      </c>
      <c r="M393">
        <v>0</v>
      </c>
      <c r="N393">
        <v>0</v>
      </c>
      <c r="O393">
        <v>443878.71</v>
      </c>
      <c r="P393" t="s">
        <v>25</v>
      </c>
      <c r="Q393" t="s">
        <v>26</v>
      </c>
    </row>
    <row r="394" spans="1:17" x14ac:dyDescent="0.25">
      <c r="A394" t="s">
        <v>511</v>
      </c>
      <c r="B394" s="1">
        <v>46021</v>
      </c>
      <c r="C394" t="s">
        <v>54</v>
      </c>
      <c r="D394" t="s">
        <v>133</v>
      </c>
      <c r="E394" t="s">
        <v>49</v>
      </c>
      <c r="F394" t="s">
        <v>71</v>
      </c>
      <c r="G394" t="s">
        <v>29</v>
      </c>
      <c r="H394" t="s">
        <v>94</v>
      </c>
      <c r="I394" t="s">
        <v>193</v>
      </c>
      <c r="J394">
        <v>8</v>
      </c>
      <c r="K394">
        <v>45426.16</v>
      </c>
      <c r="L394">
        <v>363409.28</v>
      </c>
      <c r="M394">
        <v>3464.34</v>
      </c>
      <c r="N394">
        <v>0</v>
      </c>
      <c r="O394">
        <v>359944.94</v>
      </c>
      <c r="P394" t="s">
        <v>73</v>
      </c>
      <c r="Q394" t="s">
        <v>26</v>
      </c>
    </row>
    <row r="395" spans="1:17" x14ac:dyDescent="0.25">
      <c r="A395" t="s">
        <v>512</v>
      </c>
      <c r="B395" s="1">
        <v>46032</v>
      </c>
      <c r="C395" t="s">
        <v>60</v>
      </c>
      <c r="D395" t="s">
        <v>151</v>
      </c>
      <c r="E395" t="s">
        <v>35</v>
      </c>
      <c r="F395" t="s">
        <v>112</v>
      </c>
      <c r="G395" t="s">
        <v>140</v>
      </c>
      <c r="H395" t="s">
        <v>44</v>
      </c>
      <c r="I395" t="s">
        <v>152</v>
      </c>
      <c r="J395">
        <v>32</v>
      </c>
      <c r="K395">
        <v>21816.19</v>
      </c>
      <c r="L395">
        <v>698118.08</v>
      </c>
      <c r="M395">
        <v>47119.03</v>
      </c>
      <c r="N395">
        <v>0</v>
      </c>
      <c r="O395">
        <v>650999.05000000005</v>
      </c>
      <c r="P395" t="s">
        <v>32</v>
      </c>
      <c r="Q395" t="s">
        <v>32</v>
      </c>
    </row>
    <row r="396" spans="1:17" x14ac:dyDescent="0.25">
      <c r="A396" t="s">
        <v>513</v>
      </c>
      <c r="B396" s="1">
        <v>46013</v>
      </c>
      <c r="C396" t="s">
        <v>54</v>
      </c>
      <c r="D396" t="s">
        <v>133</v>
      </c>
      <c r="E396" t="s">
        <v>20</v>
      </c>
      <c r="F396" t="s">
        <v>71</v>
      </c>
      <c r="G396" t="s">
        <v>22</v>
      </c>
      <c r="H396" t="s">
        <v>57</v>
      </c>
      <c r="I396" t="s">
        <v>72</v>
      </c>
      <c r="J396">
        <v>18</v>
      </c>
      <c r="K396">
        <v>7091.14</v>
      </c>
      <c r="L396">
        <v>127640.52</v>
      </c>
      <c r="M396">
        <v>4103.2700000000004</v>
      </c>
      <c r="N396">
        <v>0</v>
      </c>
      <c r="O396">
        <v>123537.25</v>
      </c>
      <c r="P396" t="s">
        <v>31</v>
      </c>
      <c r="Q396" t="s">
        <v>32</v>
      </c>
    </row>
    <row r="397" spans="1:17" x14ac:dyDescent="0.25">
      <c r="A397" t="s">
        <v>514</v>
      </c>
      <c r="B397" s="1">
        <v>46038</v>
      </c>
      <c r="C397" t="s">
        <v>60</v>
      </c>
      <c r="D397" t="s">
        <v>151</v>
      </c>
      <c r="E397" t="s">
        <v>20</v>
      </c>
      <c r="F397" t="s">
        <v>62</v>
      </c>
      <c r="G397" t="s">
        <v>63</v>
      </c>
      <c r="H397" t="s">
        <v>44</v>
      </c>
      <c r="I397" t="s">
        <v>152</v>
      </c>
      <c r="J397">
        <v>10</v>
      </c>
      <c r="K397">
        <v>26752.66</v>
      </c>
      <c r="L397">
        <v>267526.59999999998</v>
      </c>
      <c r="M397">
        <v>0</v>
      </c>
      <c r="N397">
        <v>0</v>
      </c>
      <c r="O397">
        <v>267526.59999999998</v>
      </c>
      <c r="P397" t="s">
        <v>31</v>
      </c>
      <c r="Q397" t="s">
        <v>32</v>
      </c>
    </row>
    <row r="398" spans="1:17" x14ac:dyDescent="0.25">
      <c r="A398" t="s">
        <v>515</v>
      </c>
      <c r="B398" s="1">
        <v>46030</v>
      </c>
      <c r="C398" t="s">
        <v>54</v>
      </c>
      <c r="D398" t="s">
        <v>133</v>
      </c>
      <c r="E398" t="s">
        <v>49</v>
      </c>
      <c r="F398" t="s">
        <v>105</v>
      </c>
      <c r="G398" t="s">
        <v>29</v>
      </c>
      <c r="H398" t="s">
        <v>23</v>
      </c>
      <c r="I398" t="s">
        <v>131</v>
      </c>
      <c r="J398">
        <v>48</v>
      </c>
      <c r="K398">
        <v>47952.13</v>
      </c>
      <c r="L398">
        <v>2301702.2400000002</v>
      </c>
      <c r="M398">
        <v>51007.87</v>
      </c>
      <c r="N398">
        <v>0</v>
      </c>
      <c r="O398">
        <v>2250694.37</v>
      </c>
      <c r="P398" t="s">
        <v>73</v>
      </c>
      <c r="Q398" t="s">
        <v>32</v>
      </c>
    </row>
    <row r="399" spans="1:17" x14ac:dyDescent="0.25">
      <c r="A399" t="s">
        <v>516</v>
      </c>
      <c r="B399" s="1">
        <v>46011</v>
      </c>
      <c r="C399" t="s">
        <v>54</v>
      </c>
      <c r="D399" t="s">
        <v>70</v>
      </c>
      <c r="E399" t="s">
        <v>41</v>
      </c>
      <c r="F399" t="s">
        <v>62</v>
      </c>
      <c r="G399" t="s">
        <v>43</v>
      </c>
      <c r="H399" t="s">
        <v>94</v>
      </c>
      <c r="I399" t="s">
        <v>144</v>
      </c>
      <c r="J399">
        <v>50</v>
      </c>
      <c r="K399">
        <v>12147.55</v>
      </c>
      <c r="L399">
        <v>607377.5</v>
      </c>
      <c r="M399">
        <v>0</v>
      </c>
      <c r="N399">
        <v>0</v>
      </c>
      <c r="O399">
        <v>607377.5</v>
      </c>
      <c r="P399" t="s">
        <v>31</v>
      </c>
      <c r="Q399" t="s">
        <v>32</v>
      </c>
    </row>
    <row r="400" spans="1:17" x14ac:dyDescent="0.25">
      <c r="A400" t="s">
        <v>517</v>
      </c>
      <c r="B400" s="1">
        <v>45992</v>
      </c>
      <c r="C400" t="s">
        <v>47</v>
      </c>
      <c r="D400" t="s">
        <v>48</v>
      </c>
      <c r="E400" t="s">
        <v>49</v>
      </c>
      <c r="F400" t="s">
        <v>21</v>
      </c>
      <c r="G400" t="s">
        <v>66</v>
      </c>
      <c r="H400" t="s">
        <v>44</v>
      </c>
      <c r="I400" t="s">
        <v>141</v>
      </c>
      <c r="J400">
        <v>41</v>
      </c>
      <c r="K400">
        <v>44677.22</v>
      </c>
      <c r="L400">
        <v>1831766.02</v>
      </c>
      <c r="M400">
        <v>229764.87</v>
      </c>
      <c r="N400">
        <v>0</v>
      </c>
      <c r="O400">
        <v>1602001.15</v>
      </c>
      <c r="P400" t="s">
        <v>25</v>
      </c>
      <c r="Q400" t="s">
        <v>26</v>
      </c>
    </row>
    <row r="401" spans="1:17" x14ac:dyDescent="0.25">
      <c r="A401" t="s">
        <v>518</v>
      </c>
      <c r="B401" s="1">
        <v>45987</v>
      </c>
      <c r="C401" t="s">
        <v>47</v>
      </c>
      <c r="D401" t="s">
        <v>88</v>
      </c>
      <c r="E401" t="s">
        <v>49</v>
      </c>
      <c r="F401" t="s">
        <v>71</v>
      </c>
      <c r="G401" t="s">
        <v>89</v>
      </c>
      <c r="H401" t="s">
        <v>44</v>
      </c>
      <c r="I401" t="s">
        <v>141</v>
      </c>
      <c r="J401">
        <v>41</v>
      </c>
      <c r="K401">
        <v>47456.88</v>
      </c>
      <c r="L401">
        <v>1945732.08</v>
      </c>
      <c r="M401">
        <v>0</v>
      </c>
      <c r="N401">
        <v>0</v>
      </c>
      <c r="O401">
        <v>1945732.08</v>
      </c>
      <c r="P401" t="s">
        <v>73</v>
      </c>
      <c r="Q401" t="s">
        <v>26</v>
      </c>
    </row>
    <row r="402" spans="1:17" x14ac:dyDescent="0.25">
      <c r="A402" t="s">
        <v>519</v>
      </c>
      <c r="B402" s="1">
        <v>45987</v>
      </c>
      <c r="C402" t="s">
        <v>18</v>
      </c>
      <c r="D402" t="s">
        <v>28</v>
      </c>
      <c r="E402" t="s">
        <v>49</v>
      </c>
      <c r="F402" t="s">
        <v>71</v>
      </c>
      <c r="G402" t="s">
        <v>37</v>
      </c>
      <c r="H402" t="s">
        <v>57</v>
      </c>
      <c r="I402" t="s">
        <v>160</v>
      </c>
      <c r="J402">
        <v>2</v>
      </c>
      <c r="K402">
        <v>46826.85</v>
      </c>
      <c r="L402">
        <v>93653.7</v>
      </c>
      <c r="M402">
        <v>5195.67</v>
      </c>
      <c r="N402">
        <v>0</v>
      </c>
      <c r="O402">
        <v>88458.03</v>
      </c>
      <c r="P402" t="s">
        <v>73</v>
      </c>
      <c r="Q402" t="s">
        <v>32</v>
      </c>
    </row>
    <row r="403" spans="1:17" x14ac:dyDescent="0.25">
      <c r="A403" t="s">
        <v>520</v>
      </c>
      <c r="B403" s="1">
        <v>45983</v>
      </c>
      <c r="C403" t="s">
        <v>79</v>
      </c>
      <c r="D403" t="s">
        <v>80</v>
      </c>
      <c r="E403" t="s">
        <v>49</v>
      </c>
      <c r="F403" t="s">
        <v>42</v>
      </c>
      <c r="G403" t="s">
        <v>98</v>
      </c>
      <c r="H403" t="s">
        <v>57</v>
      </c>
      <c r="I403" t="s">
        <v>58</v>
      </c>
      <c r="J403">
        <v>25</v>
      </c>
      <c r="K403">
        <v>23557.59</v>
      </c>
      <c r="L403">
        <v>588939.75</v>
      </c>
      <c r="M403">
        <v>107182.79</v>
      </c>
      <c r="N403">
        <v>0</v>
      </c>
      <c r="O403">
        <v>481756.96</v>
      </c>
      <c r="P403" t="s">
        <v>73</v>
      </c>
      <c r="Q403" t="s">
        <v>32</v>
      </c>
    </row>
    <row r="404" spans="1:17" x14ac:dyDescent="0.25">
      <c r="A404" t="s">
        <v>521</v>
      </c>
      <c r="B404" s="1">
        <v>46028</v>
      </c>
      <c r="C404" t="s">
        <v>47</v>
      </c>
      <c r="D404" t="s">
        <v>114</v>
      </c>
      <c r="E404" t="s">
        <v>41</v>
      </c>
      <c r="F404" t="s">
        <v>112</v>
      </c>
      <c r="G404" t="s">
        <v>63</v>
      </c>
      <c r="H404" t="s">
        <v>38</v>
      </c>
      <c r="I404" t="s">
        <v>175</v>
      </c>
      <c r="J404">
        <v>29</v>
      </c>
      <c r="K404">
        <v>46485.23</v>
      </c>
      <c r="L404">
        <v>1348071.67</v>
      </c>
      <c r="M404">
        <v>0</v>
      </c>
      <c r="N404">
        <v>0</v>
      </c>
      <c r="O404">
        <v>1348071.67</v>
      </c>
      <c r="P404" t="s">
        <v>73</v>
      </c>
      <c r="Q404" t="s">
        <v>32</v>
      </c>
    </row>
    <row r="405" spans="1:17" x14ac:dyDescent="0.25">
      <c r="A405" t="s">
        <v>522</v>
      </c>
      <c r="B405" s="1">
        <v>45984</v>
      </c>
      <c r="C405" t="s">
        <v>79</v>
      </c>
      <c r="D405" t="s">
        <v>107</v>
      </c>
      <c r="E405" t="s">
        <v>41</v>
      </c>
      <c r="F405" t="s">
        <v>21</v>
      </c>
      <c r="G405" t="s">
        <v>98</v>
      </c>
      <c r="H405" t="s">
        <v>44</v>
      </c>
      <c r="I405" t="s">
        <v>281</v>
      </c>
      <c r="J405">
        <v>37</v>
      </c>
      <c r="K405">
        <v>23088.79</v>
      </c>
      <c r="L405">
        <v>854285.23</v>
      </c>
      <c r="M405">
        <v>33766.47</v>
      </c>
      <c r="N405">
        <v>84535.16</v>
      </c>
      <c r="O405">
        <v>735983.6</v>
      </c>
      <c r="P405" t="s">
        <v>31</v>
      </c>
      <c r="Q405" t="s">
        <v>32</v>
      </c>
    </row>
    <row r="406" spans="1:17" x14ac:dyDescent="0.25">
      <c r="A406" t="s">
        <v>523</v>
      </c>
      <c r="B406" s="1">
        <v>46028</v>
      </c>
      <c r="C406" t="s">
        <v>47</v>
      </c>
      <c r="D406" t="s">
        <v>48</v>
      </c>
      <c r="E406" t="s">
        <v>49</v>
      </c>
      <c r="F406" t="s">
        <v>21</v>
      </c>
      <c r="G406" t="s">
        <v>43</v>
      </c>
      <c r="H406" t="s">
        <v>57</v>
      </c>
      <c r="I406" t="s">
        <v>92</v>
      </c>
      <c r="J406">
        <v>26</v>
      </c>
      <c r="K406">
        <v>40234.769999999997</v>
      </c>
      <c r="L406">
        <v>1046104.02</v>
      </c>
      <c r="M406">
        <v>169147.56</v>
      </c>
      <c r="N406">
        <v>0</v>
      </c>
      <c r="O406">
        <v>876956.46</v>
      </c>
      <c r="P406" t="s">
        <v>31</v>
      </c>
      <c r="Q406" t="s">
        <v>32</v>
      </c>
    </row>
    <row r="407" spans="1:17" x14ac:dyDescent="0.25">
      <c r="A407" t="s">
        <v>524</v>
      </c>
      <c r="B407" s="1">
        <v>45979</v>
      </c>
      <c r="C407" t="s">
        <v>18</v>
      </c>
      <c r="D407" t="s">
        <v>28</v>
      </c>
      <c r="E407" t="s">
        <v>20</v>
      </c>
      <c r="F407" t="s">
        <v>105</v>
      </c>
      <c r="G407" t="s">
        <v>98</v>
      </c>
      <c r="H407" t="s">
        <v>57</v>
      </c>
      <c r="I407" t="s">
        <v>148</v>
      </c>
      <c r="J407">
        <v>29</v>
      </c>
      <c r="K407">
        <v>23530.41</v>
      </c>
      <c r="L407">
        <v>682381.89</v>
      </c>
      <c r="M407">
        <v>7084.25</v>
      </c>
      <c r="N407">
        <v>95674.38</v>
      </c>
      <c r="O407">
        <v>579623.26</v>
      </c>
      <c r="P407" t="s">
        <v>73</v>
      </c>
      <c r="Q407" t="s">
        <v>32</v>
      </c>
    </row>
    <row r="408" spans="1:17" x14ac:dyDescent="0.25">
      <c r="A408" t="s">
        <v>525</v>
      </c>
      <c r="B408" s="1">
        <v>45969</v>
      </c>
      <c r="C408" t="s">
        <v>47</v>
      </c>
      <c r="D408" t="s">
        <v>127</v>
      </c>
      <c r="E408" t="s">
        <v>20</v>
      </c>
      <c r="F408" t="s">
        <v>105</v>
      </c>
      <c r="G408" t="s">
        <v>22</v>
      </c>
      <c r="H408" t="s">
        <v>57</v>
      </c>
      <c r="I408" t="s">
        <v>72</v>
      </c>
      <c r="J408">
        <v>14</v>
      </c>
      <c r="K408">
        <v>19211.82</v>
      </c>
      <c r="L408">
        <v>268965.48</v>
      </c>
      <c r="M408">
        <v>0</v>
      </c>
      <c r="N408">
        <v>47978.01</v>
      </c>
      <c r="O408">
        <v>220987.47</v>
      </c>
      <c r="P408" t="s">
        <v>31</v>
      </c>
      <c r="Q408" t="s">
        <v>32</v>
      </c>
    </row>
    <row r="409" spans="1:17" x14ac:dyDescent="0.25">
      <c r="A409" t="s">
        <v>526</v>
      </c>
      <c r="B409" s="1">
        <v>46027</v>
      </c>
      <c r="C409" t="s">
        <v>60</v>
      </c>
      <c r="D409" t="s">
        <v>123</v>
      </c>
      <c r="E409" t="s">
        <v>49</v>
      </c>
      <c r="F409" t="s">
        <v>36</v>
      </c>
      <c r="G409" t="s">
        <v>43</v>
      </c>
      <c r="H409" t="s">
        <v>94</v>
      </c>
      <c r="I409" t="s">
        <v>193</v>
      </c>
      <c r="J409">
        <v>25</v>
      </c>
      <c r="K409">
        <v>48594.54</v>
      </c>
      <c r="L409">
        <v>1214863.5</v>
      </c>
      <c r="M409">
        <v>0</v>
      </c>
      <c r="N409">
        <v>0</v>
      </c>
      <c r="O409">
        <v>1214863.5</v>
      </c>
      <c r="P409" t="s">
        <v>31</v>
      </c>
      <c r="Q409" t="s">
        <v>32</v>
      </c>
    </row>
    <row r="410" spans="1:17" x14ac:dyDescent="0.25">
      <c r="A410" t="s">
        <v>527</v>
      </c>
      <c r="B410" s="1">
        <v>46030</v>
      </c>
      <c r="C410" t="s">
        <v>47</v>
      </c>
      <c r="D410" t="s">
        <v>127</v>
      </c>
      <c r="E410" t="s">
        <v>41</v>
      </c>
      <c r="F410" t="s">
        <v>84</v>
      </c>
      <c r="G410" t="s">
        <v>85</v>
      </c>
      <c r="H410" t="s">
        <v>57</v>
      </c>
      <c r="I410" t="s">
        <v>58</v>
      </c>
      <c r="J410">
        <v>29</v>
      </c>
      <c r="K410">
        <v>36749.18</v>
      </c>
      <c r="L410">
        <v>1065726.22</v>
      </c>
      <c r="M410">
        <v>124807.26</v>
      </c>
      <c r="N410">
        <v>0</v>
      </c>
      <c r="O410">
        <v>940918.96</v>
      </c>
      <c r="P410" t="s">
        <v>32</v>
      </c>
      <c r="Q410" t="s">
        <v>26</v>
      </c>
    </row>
    <row r="411" spans="1:17" x14ac:dyDescent="0.25">
      <c r="A411" t="s">
        <v>528</v>
      </c>
      <c r="B411" s="1">
        <v>45996</v>
      </c>
      <c r="C411" t="s">
        <v>18</v>
      </c>
      <c r="D411" t="s">
        <v>28</v>
      </c>
      <c r="E411" t="s">
        <v>49</v>
      </c>
      <c r="F411" t="s">
        <v>50</v>
      </c>
      <c r="G411" t="s">
        <v>22</v>
      </c>
      <c r="H411" t="s">
        <v>57</v>
      </c>
      <c r="I411" t="s">
        <v>118</v>
      </c>
      <c r="J411">
        <v>48</v>
      </c>
      <c r="K411">
        <v>14416.17</v>
      </c>
      <c r="L411">
        <v>691976.16</v>
      </c>
      <c r="M411">
        <v>26772.68</v>
      </c>
      <c r="N411">
        <v>0</v>
      </c>
      <c r="O411">
        <v>665203.48</v>
      </c>
      <c r="P411" t="s">
        <v>31</v>
      </c>
      <c r="Q411" t="s">
        <v>32</v>
      </c>
    </row>
    <row r="412" spans="1:17" x14ac:dyDescent="0.25">
      <c r="A412" t="s">
        <v>529</v>
      </c>
      <c r="B412" s="1">
        <v>46017</v>
      </c>
      <c r="C412" t="s">
        <v>47</v>
      </c>
      <c r="D412" t="s">
        <v>88</v>
      </c>
      <c r="E412" t="s">
        <v>20</v>
      </c>
      <c r="F412" t="s">
        <v>36</v>
      </c>
      <c r="G412" t="s">
        <v>138</v>
      </c>
      <c r="H412" t="s">
        <v>44</v>
      </c>
      <c r="I412" t="s">
        <v>141</v>
      </c>
      <c r="J412">
        <v>43</v>
      </c>
      <c r="K412">
        <v>23923.33</v>
      </c>
      <c r="L412">
        <v>1028703.19</v>
      </c>
      <c r="M412">
        <v>68255.850000000006</v>
      </c>
      <c r="N412">
        <v>0</v>
      </c>
      <c r="O412">
        <v>960447.34</v>
      </c>
      <c r="P412" t="s">
        <v>73</v>
      </c>
      <c r="Q412" t="s">
        <v>32</v>
      </c>
    </row>
    <row r="413" spans="1:17" x14ac:dyDescent="0.25">
      <c r="A413" t="s">
        <v>530</v>
      </c>
      <c r="B413" s="1">
        <v>45998</v>
      </c>
      <c r="C413" t="s">
        <v>54</v>
      </c>
      <c r="D413" t="s">
        <v>133</v>
      </c>
      <c r="E413" t="s">
        <v>49</v>
      </c>
      <c r="F413" t="s">
        <v>50</v>
      </c>
      <c r="G413" t="s">
        <v>140</v>
      </c>
      <c r="H413" t="s">
        <v>38</v>
      </c>
      <c r="I413" t="s">
        <v>108</v>
      </c>
      <c r="J413">
        <v>36</v>
      </c>
      <c r="K413">
        <v>45380.85</v>
      </c>
      <c r="L413">
        <v>1633710.6</v>
      </c>
      <c r="M413">
        <v>0</v>
      </c>
      <c r="N413">
        <v>0</v>
      </c>
      <c r="O413">
        <v>1633710.6</v>
      </c>
      <c r="P413" t="s">
        <v>25</v>
      </c>
      <c r="Q413" t="s">
        <v>26</v>
      </c>
    </row>
    <row r="414" spans="1:17" x14ac:dyDescent="0.25">
      <c r="A414" t="s">
        <v>531</v>
      </c>
      <c r="B414" s="1">
        <v>46021</v>
      </c>
      <c r="C414" t="s">
        <v>18</v>
      </c>
      <c r="D414" t="s">
        <v>28</v>
      </c>
      <c r="E414" t="s">
        <v>41</v>
      </c>
      <c r="F414" t="s">
        <v>21</v>
      </c>
      <c r="G414" t="s">
        <v>56</v>
      </c>
      <c r="H414" t="s">
        <v>67</v>
      </c>
      <c r="I414" t="s">
        <v>77</v>
      </c>
      <c r="J414">
        <v>5</v>
      </c>
      <c r="K414">
        <v>43853.21</v>
      </c>
      <c r="L414">
        <v>219266.05</v>
      </c>
      <c r="M414">
        <v>6986.26</v>
      </c>
      <c r="N414">
        <v>0</v>
      </c>
      <c r="O414">
        <v>212279.79</v>
      </c>
      <c r="P414" t="s">
        <v>32</v>
      </c>
      <c r="Q414" t="s">
        <v>32</v>
      </c>
    </row>
    <row r="415" spans="1:17" x14ac:dyDescent="0.25">
      <c r="A415" t="s">
        <v>532</v>
      </c>
      <c r="B415" s="1">
        <v>46034</v>
      </c>
      <c r="C415" t="s">
        <v>79</v>
      </c>
      <c r="D415" t="s">
        <v>80</v>
      </c>
      <c r="E415" t="s">
        <v>35</v>
      </c>
      <c r="F415" t="s">
        <v>84</v>
      </c>
      <c r="G415" t="s">
        <v>37</v>
      </c>
      <c r="H415" t="s">
        <v>94</v>
      </c>
      <c r="I415" t="s">
        <v>115</v>
      </c>
      <c r="J415">
        <v>26</v>
      </c>
      <c r="K415">
        <v>30654.45</v>
      </c>
      <c r="L415">
        <v>797015.7</v>
      </c>
      <c r="M415">
        <v>96813.67</v>
      </c>
      <c r="N415">
        <v>0</v>
      </c>
      <c r="O415">
        <v>700202.03</v>
      </c>
      <c r="P415" t="s">
        <v>31</v>
      </c>
      <c r="Q415" t="s">
        <v>32</v>
      </c>
    </row>
    <row r="416" spans="1:17" x14ac:dyDescent="0.25">
      <c r="A416" t="s">
        <v>533</v>
      </c>
      <c r="B416" s="1">
        <v>45955</v>
      </c>
      <c r="C416" t="s">
        <v>54</v>
      </c>
      <c r="D416" t="s">
        <v>55</v>
      </c>
      <c r="E416" t="s">
        <v>49</v>
      </c>
      <c r="F416" t="s">
        <v>105</v>
      </c>
      <c r="G416" t="s">
        <v>66</v>
      </c>
      <c r="H416" t="s">
        <v>94</v>
      </c>
      <c r="I416" t="s">
        <v>193</v>
      </c>
      <c r="J416">
        <v>38</v>
      </c>
      <c r="K416">
        <v>27945.13</v>
      </c>
      <c r="L416">
        <v>1061914.94</v>
      </c>
      <c r="M416">
        <v>51283.03</v>
      </c>
      <c r="N416">
        <v>0</v>
      </c>
      <c r="O416">
        <v>1010631.91</v>
      </c>
      <c r="P416" t="s">
        <v>25</v>
      </c>
      <c r="Q416" t="s">
        <v>26</v>
      </c>
    </row>
    <row r="417" spans="1:17" x14ac:dyDescent="0.25">
      <c r="A417" t="s">
        <v>534</v>
      </c>
      <c r="B417" s="1">
        <v>45983</v>
      </c>
      <c r="C417" t="s">
        <v>79</v>
      </c>
      <c r="D417" t="s">
        <v>107</v>
      </c>
      <c r="E417" t="s">
        <v>20</v>
      </c>
      <c r="F417" t="s">
        <v>71</v>
      </c>
      <c r="G417" t="s">
        <v>22</v>
      </c>
      <c r="H417" t="s">
        <v>67</v>
      </c>
      <c r="I417" t="s">
        <v>154</v>
      </c>
      <c r="J417">
        <v>30</v>
      </c>
      <c r="K417">
        <v>19245.259999999998</v>
      </c>
      <c r="L417">
        <v>577357.80000000005</v>
      </c>
      <c r="M417">
        <v>16543.34</v>
      </c>
      <c r="N417">
        <v>0</v>
      </c>
      <c r="O417">
        <v>560814.46</v>
      </c>
      <c r="P417" t="s">
        <v>73</v>
      </c>
      <c r="Q417" t="s">
        <v>26</v>
      </c>
    </row>
    <row r="418" spans="1:17" x14ac:dyDescent="0.25">
      <c r="A418" t="s">
        <v>535</v>
      </c>
      <c r="B418" s="1">
        <v>46037</v>
      </c>
      <c r="C418" t="s">
        <v>60</v>
      </c>
      <c r="D418" t="s">
        <v>61</v>
      </c>
      <c r="E418" t="s">
        <v>20</v>
      </c>
      <c r="F418" t="s">
        <v>42</v>
      </c>
      <c r="G418" t="s">
        <v>29</v>
      </c>
      <c r="H418" t="s">
        <v>67</v>
      </c>
      <c r="I418" t="s">
        <v>77</v>
      </c>
      <c r="J418">
        <v>13</v>
      </c>
      <c r="K418">
        <v>41883.11</v>
      </c>
      <c r="L418">
        <v>544480.43000000005</v>
      </c>
      <c r="M418">
        <v>81190.06</v>
      </c>
      <c r="N418">
        <v>61895.29</v>
      </c>
      <c r="O418">
        <v>401395.08</v>
      </c>
      <c r="P418" t="s">
        <v>25</v>
      </c>
      <c r="Q418" t="s">
        <v>26</v>
      </c>
    </row>
    <row r="419" spans="1:17" x14ac:dyDescent="0.25">
      <c r="A419" t="s">
        <v>536</v>
      </c>
      <c r="B419" s="1">
        <v>45998</v>
      </c>
      <c r="C419" t="s">
        <v>60</v>
      </c>
      <c r="D419" t="s">
        <v>123</v>
      </c>
      <c r="E419" t="s">
        <v>20</v>
      </c>
      <c r="F419" t="s">
        <v>71</v>
      </c>
      <c r="G419" t="s">
        <v>81</v>
      </c>
      <c r="H419" t="s">
        <v>94</v>
      </c>
      <c r="I419" t="s">
        <v>163</v>
      </c>
      <c r="J419">
        <v>2</v>
      </c>
      <c r="K419">
        <v>28905.58</v>
      </c>
      <c r="L419">
        <v>57811.16</v>
      </c>
      <c r="M419">
        <v>0</v>
      </c>
      <c r="N419">
        <v>0</v>
      </c>
      <c r="O419">
        <v>57811.16</v>
      </c>
      <c r="P419" t="s">
        <v>32</v>
      </c>
      <c r="Q419" t="s">
        <v>32</v>
      </c>
    </row>
    <row r="420" spans="1:17" x14ac:dyDescent="0.25">
      <c r="A420" t="s">
        <v>537</v>
      </c>
      <c r="B420" s="1">
        <v>45981</v>
      </c>
      <c r="C420" t="s">
        <v>79</v>
      </c>
      <c r="D420" t="s">
        <v>80</v>
      </c>
      <c r="E420" t="s">
        <v>41</v>
      </c>
      <c r="F420" t="s">
        <v>21</v>
      </c>
      <c r="G420" t="s">
        <v>37</v>
      </c>
      <c r="H420" t="s">
        <v>44</v>
      </c>
      <c r="I420" t="s">
        <v>124</v>
      </c>
      <c r="J420">
        <v>23</v>
      </c>
      <c r="K420">
        <v>41095.78</v>
      </c>
      <c r="L420">
        <v>945202.94</v>
      </c>
      <c r="M420">
        <v>151946.10999999999</v>
      </c>
      <c r="N420">
        <v>0</v>
      </c>
      <c r="O420">
        <v>793256.83</v>
      </c>
      <c r="P420" t="s">
        <v>25</v>
      </c>
      <c r="Q420" t="s">
        <v>128</v>
      </c>
    </row>
    <row r="421" spans="1:17" x14ac:dyDescent="0.25">
      <c r="A421" t="s">
        <v>538</v>
      </c>
      <c r="B421" s="1">
        <v>46027</v>
      </c>
      <c r="C421" t="s">
        <v>79</v>
      </c>
      <c r="D421" t="s">
        <v>80</v>
      </c>
      <c r="E421" t="s">
        <v>49</v>
      </c>
      <c r="F421" t="s">
        <v>71</v>
      </c>
      <c r="G421" t="s">
        <v>56</v>
      </c>
      <c r="H421" t="s">
        <v>94</v>
      </c>
      <c r="I421" t="s">
        <v>144</v>
      </c>
      <c r="J421">
        <v>43</v>
      </c>
      <c r="K421">
        <v>30710.05</v>
      </c>
      <c r="L421">
        <v>1320532.1499999999</v>
      </c>
      <c r="M421">
        <v>0</v>
      </c>
      <c r="N421">
        <v>0</v>
      </c>
      <c r="O421">
        <v>1320532.1499999999</v>
      </c>
      <c r="P421" t="s">
        <v>32</v>
      </c>
      <c r="Q421" t="s">
        <v>26</v>
      </c>
    </row>
    <row r="422" spans="1:17" x14ac:dyDescent="0.25">
      <c r="A422" t="s">
        <v>539</v>
      </c>
      <c r="B422" s="1">
        <v>46004</v>
      </c>
      <c r="C422" t="s">
        <v>60</v>
      </c>
      <c r="D422" t="s">
        <v>123</v>
      </c>
      <c r="E422" t="s">
        <v>41</v>
      </c>
      <c r="F422" t="s">
        <v>137</v>
      </c>
      <c r="G422" t="s">
        <v>66</v>
      </c>
      <c r="H422" t="s">
        <v>94</v>
      </c>
      <c r="I422" t="s">
        <v>95</v>
      </c>
      <c r="J422">
        <v>5</v>
      </c>
      <c r="K422">
        <v>15441.41</v>
      </c>
      <c r="L422">
        <v>77207.05</v>
      </c>
      <c r="M422">
        <v>0</v>
      </c>
      <c r="N422">
        <v>0</v>
      </c>
      <c r="O422">
        <v>77207.05</v>
      </c>
      <c r="P422" t="s">
        <v>73</v>
      </c>
      <c r="Q422" t="s">
        <v>32</v>
      </c>
    </row>
    <row r="423" spans="1:17" x14ac:dyDescent="0.25">
      <c r="A423" t="s">
        <v>540</v>
      </c>
      <c r="B423" s="1">
        <v>45963</v>
      </c>
      <c r="C423" t="s">
        <v>54</v>
      </c>
      <c r="D423" t="s">
        <v>55</v>
      </c>
      <c r="E423" t="s">
        <v>41</v>
      </c>
      <c r="F423" t="s">
        <v>50</v>
      </c>
      <c r="G423" t="s">
        <v>89</v>
      </c>
      <c r="H423" t="s">
        <v>38</v>
      </c>
      <c r="I423" t="s">
        <v>108</v>
      </c>
      <c r="J423">
        <v>28</v>
      </c>
      <c r="K423">
        <v>1837.74</v>
      </c>
      <c r="L423">
        <v>51456.72</v>
      </c>
      <c r="M423">
        <v>43.41</v>
      </c>
      <c r="N423">
        <v>0</v>
      </c>
      <c r="O423">
        <v>51413.31</v>
      </c>
      <c r="P423" t="s">
        <v>32</v>
      </c>
      <c r="Q423" t="s">
        <v>32</v>
      </c>
    </row>
    <row r="424" spans="1:17" x14ac:dyDescent="0.25">
      <c r="A424" t="s">
        <v>541</v>
      </c>
      <c r="B424" s="1">
        <v>45955</v>
      </c>
      <c r="C424" t="s">
        <v>60</v>
      </c>
      <c r="D424" t="s">
        <v>123</v>
      </c>
      <c r="E424" t="s">
        <v>41</v>
      </c>
      <c r="F424" t="s">
        <v>71</v>
      </c>
      <c r="G424" t="s">
        <v>43</v>
      </c>
      <c r="H424" t="s">
        <v>57</v>
      </c>
      <c r="I424" t="s">
        <v>72</v>
      </c>
      <c r="J424">
        <v>16</v>
      </c>
      <c r="K424">
        <v>33953.629999999997</v>
      </c>
      <c r="L424">
        <v>543258.07999999996</v>
      </c>
      <c r="M424">
        <v>0</v>
      </c>
      <c r="N424">
        <v>0</v>
      </c>
      <c r="O424">
        <v>543258.07999999996</v>
      </c>
      <c r="P424" t="s">
        <v>31</v>
      </c>
      <c r="Q424" t="s">
        <v>32</v>
      </c>
    </row>
    <row r="425" spans="1:17" x14ac:dyDescent="0.25">
      <c r="A425" t="s">
        <v>542</v>
      </c>
      <c r="B425" s="1">
        <v>46042</v>
      </c>
      <c r="C425" t="s">
        <v>79</v>
      </c>
      <c r="D425" t="s">
        <v>107</v>
      </c>
      <c r="E425" t="s">
        <v>35</v>
      </c>
      <c r="F425" t="s">
        <v>62</v>
      </c>
      <c r="G425" t="s">
        <v>140</v>
      </c>
      <c r="H425" t="s">
        <v>38</v>
      </c>
      <c r="I425" t="s">
        <v>39</v>
      </c>
      <c r="J425">
        <v>18</v>
      </c>
      <c r="K425">
        <v>35762.89</v>
      </c>
      <c r="L425">
        <v>643732.02</v>
      </c>
      <c r="M425">
        <v>121579.94</v>
      </c>
      <c r="N425">
        <v>0</v>
      </c>
      <c r="O425">
        <v>522152.08</v>
      </c>
      <c r="P425" t="s">
        <v>25</v>
      </c>
      <c r="Q425" t="s">
        <v>26</v>
      </c>
    </row>
    <row r="426" spans="1:17" x14ac:dyDescent="0.25">
      <c r="A426" t="s">
        <v>543</v>
      </c>
      <c r="B426" s="1">
        <v>45975</v>
      </c>
      <c r="C426" t="s">
        <v>79</v>
      </c>
      <c r="D426" t="s">
        <v>91</v>
      </c>
      <c r="E426" t="s">
        <v>20</v>
      </c>
      <c r="F426" t="s">
        <v>112</v>
      </c>
      <c r="G426" t="s">
        <v>29</v>
      </c>
      <c r="H426" t="s">
        <v>44</v>
      </c>
      <c r="I426" t="s">
        <v>281</v>
      </c>
      <c r="J426">
        <v>4</v>
      </c>
      <c r="K426">
        <v>10383.36</v>
      </c>
      <c r="L426">
        <v>41533.440000000002</v>
      </c>
      <c r="M426">
        <v>4933.0600000000004</v>
      </c>
      <c r="N426">
        <v>0</v>
      </c>
      <c r="O426">
        <v>36600.379999999997</v>
      </c>
      <c r="P426" t="s">
        <v>31</v>
      </c>
      <c r="Q426" t="s">
        <v>32</v>
      </c>
    </row>
    <row r="427" spans="1:17" x14ac:dyDescent="0.25">
      <c r="A427" t="s">
        <v>544</v>
      </c>
      <c r="B427" s="1">
        <v>45999</v>
      </c>
      <c r="C427" t="s">
        <v>60</v>
      </c>
      <c r="D427" t="s">
        <v>151</v>
      </c>
      <c r="E427" t="s">
        <v>41</v>
      </c>
      <c r="F427" t="s">
        <v>62</v>
      </c>
      <c r="G427" t="s">
        <v>29</v>
      </c>
      <c r="H427" t="s">
        <v>38</v>
      </c>
      <c r="I427" t="s">
        <v>175</v>
      </c>
      <c r="J427">
        <v>48</v>
      </c>
      <c r="K427">
        <v>45950.98</v>
      </c>
      <c r="L427">
        <v>2205647.04</v>
      </c>
      <c r="M427">
        <v>0</v>
      </c>
      <c r="N427">
        <v>0</v>
      </c>
      <c r="O427">
        <v>2205647.04</v>
      </c>
      <c r="P427" t="s">
        <v>73</v>
      </c>
      <c r="Q427" t="s">
        <v>26</v>
      </c>
    </row>
    <row r="428" spans="1:17" x14ac:dyDescent="0.25">
      <c r="A428" t="s">
        <v>545</v>
      </c>
      <c r="B428" s="1">
        <v>46010</v>
      </c>
      <c r="C428" t="s">
        <v>79</v>
      </c>
      <c r="D428" t="s">
        <v>80</v>
      </c>
      <c r="E428" t="s">
        <v>49</v>
      </c>
      <c r="F428" t="s">
        <v>50</v>
      </c>
      <c r="G428" t="s">
        <v>22</v>
      </c>
      <c r="H428" t="s">
        <v>23</v>
      </c>
      <c r="I428" t="s">
        <v>24</v>
      </c>
      <c r="J428">
        <v>24</v>
      </c>
      <c r="K428">
        <v>5064.8100000000004</v>
      </c>
      <c r="L428">
        <v>121555.44</v>
      </c>
      <c r="M428">
        <v>9325.81</v>
      </c>
      <c r="N428">
        <v>0</v>
      </c>
      <c r="O428">
        <v>112229.63</v>
      </c>
      <c r="P428" t="s">
        <v>73</v>
      </c>
      <c r="Q428" t="s">
        <v>32</v>
      </c>
    </row>
    <row r="429" spans="1:17" x14ac:dyDescent="0.25">
      <c r="A429" t="s">
        <v>546</v>
      </c>
      <c r="B429" s="1">
        <v>46011</v>
      </c>
      <c r="C429" t="s">
        <v>79</v>
      </c>
      <c r="D429" t="s">
        <v>107</v>
      </c>
      <c r="E429" t="s">
        <v>20</v>
      </c>
      <c r="F429" t="s">
        <v>36</v>
      </c>
      <c r="G429" t="s">
        <v>81</v>
      </c>
      <c r="H429" t="s">
        <v>38</v>
      </c>
      <c r="I429" t="s">
        <v>82</v>
      </c>
      <c r="J429">
        <v>37</v>
      </c>
      <c r="K429">
        <v>45323.35</v>
      </c>
      <c r="L429">
        <v>1676963.95</v>
      </c>
      <c r="M429">
        <v>0</v>
      </c>
      <c r="N429">
        <v>368731.19</v>
      </c>
      <c r="O429">
        <v>1308232.76</v>
      </c>
      <c r="P429" t="s">
        <v>73</v>
      </c>
      <c r="Q429" t="s">
        <v>32</v>
      </c>
    </row>
    <row r="430" spans="1:17" x14ac:dyDescent="0.25">
      <c r="A430" t="s">
        <v>547</v>
      </c>
      <c r="B430" s="1">
        <v>45955</v>
      </c>
      <c r="C430" t="s">
        <v>47</v>
      </c>
      <c r="D430" t="s">
        <v>48</v>
      </c>
      <c r="E430" t="s">
        <v>41</v>
      </c>
      <c r="F430" t="s">
        <v>50</v>
      </c>
      <c r="G430" t="s">
        <v>29</v>
      </c>
      <c r="H430" t="s">
        <v>38</v>
      </c>
      <c r="I430" t="s">
        <v>120</v>
      </c>
      <c r="J430">
        <v>26</v>
      </c>
      <c r="K430">
        <v>19344.05</v>
      </c>
      <c r="L430">
        <v>502945.3</v>
      </c>
      <c r="M430">
        <v>0</v>
      </c>
      <c r="N430">
        <v>0</v>
      </c>
      <c r="O430">
        <v>502945.3</v>
      </c>
      <c r="P430" t="s">
        <v>32</v>
      </c>
      <c r="Q430" t="s">
        <v>32</v>
      </c>
    </row>
    <row r="431" spans="1:17" x14ac:dyDescent="0.25">
      <c r="A431" t="s">
        <v>548</v>
      </c>
      <c r="B431" s="1">
        <v>46032</v>
      </c>
      <c r="C431" t="s">
        <v>54</v>
      </c>
      <c r="D431" t="s">
        <v>133</v>
      </c>
      <c r="E431" t="s">
        <v>41</v>
      </c>
      <c r="F431" t="s">
        <v>36</v>
      </c>
      <c r="G431" t="s">
        <v>56</v>
      </c>
      <c r="H431" t="s">
        <v>44</v>
      </c>
      <c r="I431" t="s">
        <v>281</v>
      </c>
      <c r="J431">
        <v>44</v>
      </c>
      <c r="K431">
        <v>35928.92</v>
      </c>
      <c r="L431">
        <v>1580872.48</v>
      </c>
      <c r="M431">
        <v>0</v>
      </c>
      <c r="N431">
        <v>0</v>
      </c>
      <c r="O431">
        <v>1580872.48</v>
      </c>
      <c r="P431" t="s">
        <v>31</v>
      </c>
      <c r="Q431" t="s">
        <v>32</v>
      </c>
    </row>
    <row r="432" spans="1:17" x14ac:dyDescent="0.25">
      <c r="A432" t="s">
        <v>549</v>
      </c>
      <c r="B432" s="1">
        <v>46043</v>
      </c>
      <c r="C432" t="s">
        <v>18</v>
      </c>
      <c r="D432" t="s">
        <v>19</v>
      </c>
      <c r="E432" t="s">
        <v>35</v>
      </c>
      <c r="F432" t="s">
        <v>137</v>
      </c>
      <c r="G432" t="s">
        <v>81</v>
      </c>
      <c r="H432" t="s">
        <v>67</v>
      </c>
      <c r="I432" t="s">
        <v>170</v>
      </c>
      <c r="J432">
        <v>45</v>
      </c>
      <c r="K432">
        <v>10967.32</v>
      </c>
      <c r="L432">
        <v>493529.4</v>
      </c>
      <c r="M432">
        <v>0</v>
      </c>
      <c r="N432">
        <v>0</v>
      </c>
      <c r="O432">
        <v>493529.4</v>
      </c>
      <c r="P432" t="s">
        <v>31</v>
      </c>
      <c r="Q432" t="s">
        <v>32</v>
      </c>
    </row>
    <row r="433" spans="1:17" x14ac:dyDescent="0.25">
      <c r="A433" t="s">
        <v>550</v>
      </c>
      <c r="B433" s="1">
        <v>46018</v>
      </c>
      <c r="C433" t="s">
        <v>54</v>
      </c>
      <c r="D433" t="s">
        <v>97</v>
      </c>
      <c r="E433" t="s">
        <v>20</v>
      </c>
      <c r="F433" t="s">
        <v>62</v>
      </c>
      <c r="G433" t="s">
        <v>56</v>
      </c>
      <c r="H433" t="s">
        <v>44</v>
      </c>
      <c r="I433" t="s">
        <v>152</v>
      </c>
      <c r="J433">
        <v>42</v>
      </c>
      <c r="K433">
        <v>49454.34</v>
      </c>
      <c r="L433">
        <v>2077082.28</v>
      </c>
      <c r="M433">
        <v>386348.53</v>
      </c>
      <c r="N433">
        <v>0</v>
      </c>
      <c r="O433">
        <v>1690733.75</v>
      </c>
      <c r="P433" t="s">
        <v>73</v>
      </c>
      <c r="Q433" t="s">
        <v>32</v>
      </c>
    </row>
    <row r="434" spans="1:17" x14ac:dyDescent="0.25">
      <c r="A434" t="s">
        <v>551</v>
      </c>
      <c r="B434" s="1">
        <v>46020</v>
      </c>
      <c r="C434" t="s">
        <v>47</v>
      </c>
      <c r="D434" t="s">
        <v>114</v>
      </c>
      <c r="E434" t="s">
        <v>49</v>
      </c>
      <c r="F434" t="s">
        <v>36</v>
      </c>
      <c r="G434" t="s">
        <v>22</v>
      </c>
      <c r="H434" t="s">
        <v>44</v>
      </c>
      <c r="I434" t="s">
        <v>124</v>
      </c>
      <c r="J434">
        <v>4</v>
      </c>
      <c r="K434">
        <v>40462.870000000003</v>
      </c>
      <c r="L434">
        <v>161851.48000000001</v>
      </c>
      <c r="M434">
        <v>0</v>
      </c>
      <c r="N434">
        <v>0</v>
      </c>
      <c r="O434">
        <v>161851.48000000001</v>
      </c>
      <c r="P434" t="s">
        <v>31</v>
      </c>
      <c r="Q434" t="s">
        <v>32</v>
      </c>
    </row>
    <row r="435" spans="1:17" x14ac:dyDescent="0.25">
      <c r="A435" t="s">
        <v>552</v>
      </c>
      <c r="B435" s="1">
        <v>46025</v>
      </c>
      <c r="C435" t="s">
        <v>79</v>
      </c>
      <c r="D435" t="s">
        <v>91</v>
      </c>
      <c r="E435" t="s">
        <v>35</v>
      </c>
      <c r="F435" t="s">
        <v>84</v>
      </c>
      <c r="G435" t="s">
        <v>102</v>
      </c>
      <c r="H435" t="s">
        <v>23</v>
      </c>
      <c r="I435" t="s">
        <v>24</v>
      </c>
      <c r="J435">
        <v>15</v>
      </c>
      <c r="K435">
        <v>10916.27</v>
      </c>
      <c r="L435">
        <v>163744.04999999999</v>
      </c>
      <c r="M435">
        <v>5977.08</v>
      </c>
      <c r="N435">
        <v>0</v>
      </c>
      <c r="O435">
        <v>157766.97</v>
      </c>
      <c r="P435" t="s">
        <v>25</v>
      </c>
      <c r="Q435" t="s">
        <v>26</v>
      </c>
    </row>
    <row r="436" spans="1:17" x14ac:dyDescent="0.25">
      <c r="A436" t="s">
        <v>553</v>
      </c>
      <c r="B436" s="1">
        <v>45964</v>
      </c>
      <c r="C436" t="s">
        <v>54</v>
      </c>
      <c r="D436" t="s">
        <v>55</v>
      </c>
      <c r="E436" t="s">
        <v>35</v>
      </c>
      <c r="F436" t="s">
        <v>71</v>
      </c>
      <c r="G436" t="s">
        <v>37</v>
      </c>
      <c r="H436" t="s">
        <v>38</v>
      </c>
      <c r="I436" t="s">
        <v>39</v>
      </c>
      <c r="J436">
        <v>18</v>
      </c>
      <c r="K436">
        <v>49783.9</v>
      </c>
      <c r="L436">
        <v>896110.2</v>
      </c>
      <c r="M436">
        <v>0</v>
      </c>
      <c r="N436">
        <v>0</v>
      </c>
      <c r="O436">
        <v>896110.2</v>
      </c>
      <c r="P436" t="s">
        <v>73</v>
      </c>
      <c r="Q436" t="s">
        <v>32</v>
      </c>
    </row>
    <row r="437" spans="1:17" x14ac:dyDescent="0.25">
      <c r="A437" t="s">
        <v>554</v>
      </c>
      <c r="B437" s="1">
        <v>46033</v>
      </c>
      <c r="C437" t="s">
        <v>47</v>
      </c>
      <c r="D437" t="s">
        <v>114</v>
      </c>
      <c r="E437" t="s">
        <v>41</v>
      </c>
      <c r="F437" t="s">
        <v>42</v>
      </c>
      <c r="G437" t="s">
        <v>138</v>
      </c>
      <c r="H437" t="s">
        <v>38</v>
      </c>
      <c r="I437" t="s">
        <v>108</v>
      </c>
      <c r="J437">
        <v>27</v>
      </c>
      <c r="K437">
        <v>37028.839999999997</v>
      </c>
      <c r="L437">
        <v>999778.68</v>
      </c>
      <c r="M437">
        <v>55117.99</v>
      </c>
      <c r="N437">
        <v>57024.46</v>
      </c>
      <c r="O437">
        <v>887636.23</v>
      </c>
      <c r="P437" t="s">
        <v>32</v>
      </c>
      <c r="Q437" t="s">
        <v>26</v>
      </c>
    </row>
    <row r="438" spans="1:17" x14ac:dyDescent="0.25">
      <c r="A438" t="s">
        <v>555</v>
      </c>
      <c r="B438" s="1">
        <v>46039</v>
      </c>
      <c r="C438" t="s">
        <v>79</v>
      </c>
      <c r="D438" t="s">
        <v>80</v>
      </c>
      <c r="E438" t="s">
        <v>35</v>
      </c>
      <c r="F438" t="s">
        <v>36</v>
      </c>
      <c r="G438" t="s">
        <v>56</v>
      </c>
      <c r="H438" t="s">
        <v>94</v>
      </c>
      <c r="I438" t="s">
        <v>193</v>
      </c>
      <c r="J438">
        <v>32</v>
      </c>
      <c r="K438">
        <v>5350.46</v>
      </c>
      <c r="L438">
        <v>171214.72</v>
      </c>
      <c r="M438">
        <v>0</v>
      </c>
      <c r="N438">
        <v>0</v>
      </c>
      <c r="O438">
        <v>171214.72</v>
      </c>
      <c r="P438" t="s">
        <v>73</v>
      </c>
      <c r="Q438" t="s">
        <v>32</v>
      </c>
    </row>
    <row r="439" spans="1:17" x14ac:dyDescent="0.25">
      <c r="A439" t="s">
        <v>556</v>
      </c>
      <c r="B439" s="1">
        <v>45979</v>
      </c>
      <c r="C439" t="s">
        <v>18</v>
      </c>
      <c r="D439" t="s">
        <v>75</v>
      </c>
      <c r="E439" t="s">
        <v>49</v>
      </c>
      <c r="F439" t="s">
        <v>42</v>
      </c>
      <c r="G439" t="s">
        <v>56</v>
      </c>
      <c r="H439" t="s">
        <v>67</v>
      </c>
      <c r="I439" t="s">
        <v>68</v>
      </c>
      <c r="J439">
        <v>50</v>
      </c>
      <c r="K439">
        <v>18196.61</v>
      </c>
      <c r="L439">
        <v>909830.5</v>
      </c>
      <c r="M439">
        <v>83662.47</v>
      </c>
      <c r="N439">
        <v>0</v>
      </c>
      <c r="O439">
        <v>826168.03</v>
      </c>
      <c r="P439" t="s">
        <v>25</v>
      </c>
      <c r="Q439" t="s">
        <v>26</v>
      </c>
    </row>
    <row r="440" spans="1:17" x14ac:dyDescent="0.25">
      <c r="A440" t="s">
        <v>557</v>
      </c>
      <c r="B440" s="1">
        <v>45956</v>
      </c>
      <c r="C440" t="s">
        <v>79</v>
      </c>
      <c r="D440" t="s">
        <v>107</v>
      </c>
      <c r="E440" t="s">
        <v>49</v>
      </c>
      <c r="F440" t="s">
        <v>84</v>
      </c>
      <c r="G440" t="s">
        <v>56</v>
      </c>
      <c r="H440" t="s">
        <v>94</v>
      </c>
      <c r="I440" t="s">
        <v>163</v>
      </c>
      <c r="J440">
        <v>14</v>
      </c>
      <c r="K440">
        <v>10530.61</v>
      </c>
      <c r="L440">
        <v>147428.54</v>
      </c>
      <c r="M440">
        <v>0</v>
      </c>
      <c r="N440">
        <v>0</v>
      </c>
      <c r="O440">
        <v>147428.54</v>
      </c>
      <c r="P440" t="s">
        <v>31</v>
      </c>
      <c r="Q440" t="s">
        <v>32</v>
      </c>
    </row>
    <row r="441" spans="1:17" x14ac:dyDescent="0.25">
      <c r="A441" t="s">
        <v>558</v>
      </c>
      <c r="B441" s="1">
        <v>46002</v>
      </c>
      <c r="C441" t="s">
        <v>79</v>
      </c>
      <c r="D441" t="s">
        <v>80</v>
      </c>
      <c r="E441" t="s">
        <v>41</v>
      </c>
      <c r="F441" t="s">
        <v>42</v>
      </c>
      <c r="G441" t="s">
        <v>98</v>
      </c>
      <c r="H441" t="s">
        <v>23</v>
      </c>
      <c r="I441" t="s">
        <v>30</v>
      </c>
      <c r="J441">
        <v>41</v>
      </c>
      <c r="K441">
        <v>3026.54</v>
      </c>
      <c r="L441">
        <v>124088.14</v>
      </c>
      <c r="M441">
        <v>21386.97</v>
      </c>
      <c r="N441">
        <v>3738.5</v>
      </c>
      <c r="O441">
        <v>98962.67</v>
      </c>
      <c r="P441" t="s">
        <v>73</v>
      </c>
      <c r="Q441" t="s">
        <v>32</v>
      </c>
    </row>
    <row r="442" spans="1:17" x14ac:dyDescent="0.25">
      <c r="A442" t="s">
        <v>559</v>
      </c>
      <c r="B442" s="1">
        <v>46035</v>
      </c>
      <c r="C442" t="s">
        <v>18</v>
      </c>
      <c r="D442" t="s">
        <v>28</v>
      </c>
      <c r="E442" t="s">
        <v>35</v>
      </c>
      <c r="F442" t="s">
        <v>137</v>
      </c>
      <c r="G442" t="s">
        <v>43</v>
      </c>
      <c r="H442" t="s">
        <v>23</v>
      </c>
      <c r="I442" t="s">
        <v>52</v>
      </c>
      <c r="J442">
        <v>14</v>
      </c>
      <c r="K442">
        <v>18947.22</v>
      </c>
      <c r="L442">
        <v>265261.08</v>
      </c>
      <c r="M442">
        <v>43680.34</v>
      </c>
      <c r="N442">
        <v>0</v>
      </c>
      <c r="O442">
        <v>221580.74</v>
      </c>
      <c r="P442" t="s">
        <v>31</v>
      </c>
      <c r="Q442" t="s">
        <v>32</v>
      </c>
    </row>
    <row r="443" spans="1:17" x14ac:dyDescent="0.25">
      <c r="A443" t="s">
        <v>560</v>
      </c>
      <c r="B443" s="1">
        <v>46008</v>
      </c>
      <c r="C443" t="s">
        <v>47</v>
      </c>
      <c r="D443" t="s">
        <v>114</v>
      </c>
      <c r="E443" t="s">
        <v>35</v>
      </c>
      <c r="F443" t="s">
        <v>36</v>
      </c>
      <c r="G443" t="s">
        <v>85</v>
      </c>
      <c r="H443" t="s">
        <v>44</v>
      </c>
      <c r="I443" t="s">
        <v>45</v>
      </c>
      <c r="J443">
        <v>29</v>
      </c>
      <c r="K443">
        <v>25817.86</v>
      </c>
      <c r="L443">
        <v>748717.94</v>
      </c>
      <c r="M443">
        <v>0</v>
      </c>
      <c r="N443">
        <v>0</v>
      </c>
      <c r="O443">
        <v>748717.94</v>
      </c>
      <c r="P443" t="s">
        <v>25</v>
      </c>
      <c r="Q443" t="s">
        <v>26</v>
      </c>
    </row>
    <row r="444" spans="1:17" x14ac:dyDescent="0.25">
      <c r="A444" t="s">
        <v>561</v>
      </c>
      <c r="B444" s="1">
        <v>46017</v>
      </c>
      <c r="C444" t="s">
        <v>47</v>
      </c>
      <c r="D444" t="s">
        <v>114</v>
      </c>
      <c r="E444" t="s">
        <v>49</v>
      </c>
      <c r="F444" t="s">
        <v>50</v>
      </c>
      <c r="G444" t="s">
        <v>66</v>
      </c>
      <c r="H444" t="s">
        <v>23</v>
      </c>
      <c r="I444" t="s">
        <v>110</v>
      </c>
      <c r="J444">
        <v>35</v>
      </c>
      <c r="K444">
        <v>34286.019999999997</v>
      </c>
      <c r="L444">
        <v>1200010.7</v>
      </c>
      <c r="M444">
        <v>224255.54</v>
      </c>
      <c r="N444">
        <v>0</v>
      </c>
      <c r="O444">
        <v>975755.16</v>
      </c>
      <c r="P444" t="s">
        <v>73</v>
      </c>
      <c r="Q444" t="s">
        <v>32</v>
      </c>
    </row>
    <row r="445" spans="1:17" x14ac:dyDescent="0.25">
      <c r="A445" t="s">
        <v>562</v>
      </c>
      <c r="B445" s="1">
        <v>45977</v>
      </c>
      <c r="C445" t="s">
        <v>18</v>
      </c>
      <c r="D445" t="s">
        <v>75</v>
      </c>
      <c r="E445" t="s">
        <v>35</v>
      </c>
      <c r="F445" t="s">
        <v>71</v>
      </c>
      <c r="G445" t="s">
        <v>51</v>
      </c>
      <c r="H445" t="s">
        <v>38</v>
      </c>
      <c r="I445" t="s">
        <v>82</v>
      </c>
      <c r="J445">
        <v>32</v>
      </c>
      <c r="K445">
        <v>21193.42</v>
      </c>
      <c r="L445">
        <v>678189.44</v>
      </c>
      <c r="M445">
        <v>135104.04</v>
      </c>
      <c r="N445">
        <v>0</v>
      </c>
      <c r="O445">
        <v>543085.4</v>
      </c>
      <c r="P445" t="s">
        <v>25</v>
      </c>
      <c r="Q445" t="s">
        <v>26</v>
      </c>
    </row>
    <row r="446" spans="1:17" x14ac:dyDescent="0.25">
      <c r="A446" t="s">
        <v>563</v>
      </c>
      <c r="B446" s="1">
        <v>45963</v>
      </c>
      <c r="C446" t="s">
        <v>79</v>
      </c>
      <c r="D446" t="s">
        <v>80</v>
      </c>
      <c r="E446" t="s">
        <v>49</v>
      </c>
      <c r="F446" t="s">
        <v>50</v>
      </c>
      <c r="G446" t="s">
        <v>89</v>
      </c>
      <c r="H446" t="s">
        <v>23</v>
      </c>
      <c r="I446" t="s">
        <v>30</v>
      </c>
      <c r="J446">
        <v>43</v>
      </c>
      <c r="K446">
        <v>48758.55</v>
      </c>
      <c r="L446">
        <v>2096617.65</v>
      </c>
      <c r="M446">
        <v>347431.24</v>
      </c>
      <c r="N446">
        <v>0</v>
      </c>
      <c r="O446">
        <v>1749186.41</v>
      </c>
      <c r="P446" t="s">
        <v>25</v>
      </c>
      <c r="Q446" t="s">
        <v>26</v>
      </c>
    </row>
    <row r="447" spans="1:17" x14ac:dyDescent="0.25">
      <c r="A447" t="s">
        <v>564</v>
      </c>
      <c r="B447" s="1">
        <v>45978</v>
      </c>
      <c r="C447" t="s">
        <v>54</v>
      </c>
      <c r="D447" t="s">
        <v>133</v>
      </c>
      <c r="E447" t="s">
        <v>35</v>
      </c>
      <c r="F447" t="s">
        <v>62</v>
      </c>
      <c r="G447" t="s">
        <v>37</v>
      </c>
      <c r="H447" t="s">
        <v>38</v>
      </c>
      <c r="I447" t="s">
        <v>120</v>
      </c>
      <c r="J447">
        <v>27</v>
      </c>
      <c r="K447">
        <v>47365.78</v>
      </c>
      <c r="L447">
        <v>1278876.06</v>
      </c>
      <c r="M447">
        <v>110017.67</v>
      </c>
      <c r="N447">
        <v>0</v>
      </c>
      <c r="O447">
        <v>1168858.3899999999</v>
      </c>
      <c r="P447" t="s">
        <v>31</v>
      </c>
      <c r="Q447" t="s">
        <v>32</v>
      </c>
    </row>
    <row r="448" spans="1:17" x14ac:dyDescent="0.25">
      <c r="A448" t="s">
        <v>565</v>
      </c>
      <c r="B448" s="1">
        <v>45973</v>
      </c>
      <c r="C448" t="s">
        <v>79</v>
      </c>
      <c r="D448" t="s">
        <v>91</v>
      </c>
      <c r="E448" t="s">
        <v>49</v>
      </c>
      <c r="F448" t="s">
        <v>84</v>
      </c>
      <c r="G448" t="s">
        <v>138</v>
      </c>
      <c r="H448" t="s">
        <v>67</v>
      </c>
      <c r="I448" t="s">
        <v>154</v>
      </c>
      <c r="J448">
        <v>26</v>
      </c>
      <c r="K448">
        <v>27518.46</v>
      </c>
      <c r="L448">
        <v>715479.96</v>
      </c>
      <c r="M448">
        <v>29170.7</v>
      </c>
      <c r="N448">
        <v>1636.53</v>
      </c>
      <c r="O448">
        <v>684672.73</v>
      </c>
      <c r="P448" t="s">
        <v>73</v>
      </c>
      <c r="Q448" t="s">
        <v>26</v>
      </c>
    </row>
    <row r="449" spans="1:17" x14ac:dyDescent="0.25">
      <c r="A449" t="s">
        <v>566</v>
      </c>
      <c r="B449" s="1">
        <v>45989</v>
      </c>
      <c r="C449" t="s">
        <v>18</v>
      </c>
      <c r="D449" t="s">
        <v>75</v>
      </c>
      <c r="E449" t="s">
        <v>20</v>
      </c>
      <c r="F449" t="s">
        <v>71</v>
      </c>
      <c r="G449" t="s">
        <v>89</v>
      </c>
      <c r="H449" t="s">
        <v>38</v>
      </c>
      <c r="I449" t="s">
        <v>39</v>
      </c>
      <c r="J449">
        <v>11</v>
      </c>
      <c r="K449">
        <v>4365.62</v>
      </c>
      <c r="L449">
        <v>48021.82</v>
      </c>
      <c r="M449">
        <v>2126.11</v>
      </c>
      <c r="N449">
        <v>0</v>
      </c>
      <c r="O449">
        <v>45895.71</v>
      </c>
      <c r="P449" t="s">
        <v>73</v>
      </c>
      <c r="Q449" t="s">
        <v>26</v>
      </c>
    </row>
    <row r="450" spans="1:17" x14ac:dyDescent="0.25">
      <c r="A450" t="s">
        <v>567</v>
      </c>
      <c r="B450" s="1">
        <v>46024</v>
      </c>
      <c r="C450" t="s">
        <v>79</v>
      </c>
      <c r="D450" t="s">
        <v>80</v>
      </c>
      <c r="E450" t="s">
        <v>49</v>
      </c>
      <c r="F450" t="s">
        <v>137</v>
      </c>
      <c r="G450" t="s">
        <v>29</v>
      </c>
      <c r="H450" t="s">
        <v>23</v>
      </c>
      <c r="I450" t="s">
        <v>99</v>
      </c>
      <c r="J450">
        <v>47</v>
      </c>
      <c r="K450">
        <v>17687.25</v>
      </c>
      <c r="L450">
        <v>831300.75</v>
      </c>
      <c r="M450">
        <v>83352.92</v>
      </c>
      <c r="N450">
        <v>0</v>
      </c>
      <c r="O450">
        <v>747947.83</v>
      </c>
      <c r="P450" t="s">
        <v>25</v>
      </c>
      <c r="Q450" t="s">
        <v>26</v>
      </c>
    </row>
    <row r="451" spans="1:17" x14ac:dyDescent="0.25">
      <c r="A451" t="s">
        <v>568</v>
      </c>
      <c r="B451" s="1">
        <v>46012</v>
      </c>
      <c r="C451" t="s">
        <v>60</v>
      </c>
      <c r="D451" t="s">
        <v>65</v>
      </c>
      <c r="E451" t="s">
        <v>20</v>
      </c>
      <c r="F451" t="s">
        <v>21</v>
      </c>
      <c r="G451" t="s">
        <v>140</v>
      </c>
      <c r="H451" t="s">
        <v>57</v>
      </c>
      <c r="I451" t="s">
        <v>92</v>
      </c>
      <c r="J451">
        <v>43</v>
      </c>
      <c r="K451">
        <v>34465.01</v>
      </c>
      <c r="L451">
        <v>1481995.43</v>
      </c>
      <c r="M451">
        <v>226936.14</v>
      </c>
      <c r="N451">
        <v>0</v>
      </c>
      <c r="O451">
        <v>1255059.29</v>
      </c>
      <c r="P451" t="s">
        <v>73</v>
      </c>
      <c r="Q451" t="s">
        <v>32</v>
      </c>
    </row>
    <row r="452" spans="1:17" x14ac:dyDescent="0.25">
      <c r="A452" t="s">
        <v>569</v>
      </c>
      <c r="B452" s="1">
        <v>45976</v>
      </c>
      <c r="C452" t="s">
        <v>18</v>
      </c>
      <c r="D452" t="s">
        <v>34</v>
      </c>
      <c r="E452" t="s">
        <v>41</v>
      </c>
      <c r="F452" t="s">
        <v>42</v>
      </c>
      <c r="G452" t="s">
        <v>56</v>
      </c>
      <c r="H452" t="s">
        <v>44</v>
      </c>
      <c r="I452" t="s">
        <v>45</v>
      </c>
      <c r="J452">
        <v>11</v>
      </c>
      <c r="K452">
        <v>47155.93</v>
      </c>
      <c r="L452">
        <v>518715.23</v>
      </c>
      <c r="M452">
        <v>75363.149999999994</v>
      </c>
      <c r="N452">
        <v>0</v>
      </c>
      <c r="O452">
        <v>443352.08</v>
      </c>
      <c r="P452" t="s">
        <v>73</v>
      </c>
      <c r="Q452" t="s">
        <v>32</v>
      </c>
    </row>
    <row r="453" spans="1:17" x14ac:dyDescent="0.25">
      <c r="A453" t="s">
        <v>570</v>
      </c>
      <c r="B453" s="1">
        <v>46041</v>
      </c>
      <c r="C453" t="s">
        <v>54</v>
      </c>
      <c r="D453" t="s">
        <v>133</v>
      </c>
      <c r="E453" t="s">
        <v>49</v>
      </c>
      <c r="F453" t="s">
        <v>36</v>
      </c>
      <c r="G453" t="s">
        <v>51</v>
      </c>
      <c r="H453" t="s">
        <v>94</v>
      </c>
      <c r="I453" t="s">
        <v>177</v>
      </c>
      <c r="J453">
        <v>19</v>
      </c>
      <c r="K453">
        <v>20745.75</v>
      </c>
      <c r="L453">
        <v>394169.25</v>
      </c>
      <c r="M453">
        <v>9149.73</v>
      </c>
      <c r="N453">
        <v>90492.37</v>
      </c>
      <c r="O453">
        <v>294527.15000000002</v>
      </c>
      <c r="P453" t="s">
        <v>31</v>
      </c>
      <c r="Q453" t="s">
        <v>32</v>
      </c>
    </row>
    <row r="454" spans="1:17" x14ac:dyDescent="0.25">
      <c r="A454" t="s">
        <v>571</v>
      </c>
      <c r="B454" s="1">
        <v>45981</v>
      </c>
      <c r="C454" t="s">
        <v>54</v>
      </c>
      <c r="D454" t="s">
        <v>133</v>
      </c>
      <c r="E454" t="s">
        <v>41</v>
      </c>
      <c r="F454" t="s">
        <v>84</v>
      </c>
      <c r="G454" t="s">
        <v>85</v>
      </c>
      <c r="H454" t="s">
        <v>57</v>
      </c>
      <c r="I454" t="s">
        <v>118</v>
      </c>
      <c r="J454">
        <v>38</v>
      </c>
      <c r="K454">
        <v>33972.07</v>
      </c>
      <c r="L454">
        <v>1290938.6599999999</v>
      </c>
      <c r="M454">
        <v>0</v>
      </c>
      <c r="N454">
        <v>0</v>
      </c>
      <c r="O454">
        <v>1290938.6599999999</v>
      </c>
      <c r="P454" t="s">
        <v>25</v>
      </c>
      <c r="Q454" t="s">
        <v>128</v>
      </c>
    </row>
    <row r="455" spans="1:17" x14ac:dyDescent="0.25">
      <c r="A455" t="s">
        <v>572</v>
      </c>
      <c r="B455" s="1">
        <v>46045</v>
      </c>
      <c r="C455" t="s">
        <v>18</v>
      </c>
      <c r="D455" t="s">
        <v>28</v>
      </c>
      <c r="E455" t="s">
        <v>41</v>
      </c>
      <c r="F455" t="s">
        <v>112</v>
      </c>
      <c r="G455" t="s">
        <v>56</v>
      </c>
      <c r="H455" t="s">
        <v>23</v>
      </c>
      <c r="I455" t="s">
        <v>131</v>
      </c>
      <c r="J455">
        <v>28</v>
      </c>
      <c r="K455">
        <v>15186.35</v>
      </c>
      <c r="L455">
        <v>425217.8</v>
      </c>
      <c r="M455">
        <v>76988.350000000006</v>
      </c>
      <c r="N455">
        <v>0</v>
      </c>
      <c r="O455">
        <v>348229.45</v>
      </c>
      <c r="P455" t="s">
        <v>32</v>
      </c>
      <c r="Q455" t="s">
        <v>32</v>
      </c>
    </row>
    <row r="456" spans="1:17" x14ac:dyDescent="0.25">
      <c r="A456" t="s">
        <v>573</v>
      </c>
      <c r="B456" s="1">
        <v>45991</v>
      </c>
      <c r="C456" t="s">
        <v>54</v>
      </c>
      <c r="D456" t="s">
        <v>55</v>
      </c>
      <c r="E456" t="s">
        <v>49</v>
      </c>
      <c r="F456" t="s">
        <v>21</v>
      </c>
      <c r="G456" t="s">
        <v>138</v>
      </c>
      <c r="H456" t="s">
        <v>57</v>
      </c>
      <c r="I456" t="s">
        <v>72</v>
      </c>
      <c r="J456">
        <v>41</v>
      </c>
      <c r="K456">
        <v>45884.17</v>
      </c>
      <c r="L456">
        <v>1881250.97</v>
      </c>
      <c r="M456">
        <v>0</v>
      </c>
      <c r="N456">
        <v>306278.95</v>
      </c>
      <c r="O456">
        <v>1574972.02</v>
      </c>
      <c r="P456" t="s">
        <v>25</v>
      </c>
      <c r="Q456" t="s">
        <v>26</v>
      </c>
    </row>
    <row r="457" spans="1:17" x14ac:dyDescent="0.25">
      <c r="A457" t="s">
        <v>574</v>
      </c>
      <c r="B457" s="1">
        <v>46045</v>
      </c>
      <c r="C457" t="s">
        <v>54</v>
      </c>
      <c r="D457" t="s">
        <v>55</v>
      </c>
      <c r="E457" t="s">
        <v>20</v>
      </c>
      <c r="F457" t="s">
        <v>36</v>
      </c>
      <c r="G457" t="s">
        <v>29</v>
      </c>
      <c r="H457" t="s">
        <v>67</v>
      </c>
      <c r="I457" t="s">
        <v>154</v>
      </c>
      <c r="J457">
        <v>37</v>
      </c>
      <c r="K457">
        <v>3101.61</v>
      </c>
      <c r="L457">
        <v>114759.57</v>
      </c>
      <c r="M457">
        <v>0</v>
      </c>
      <c r="N457">
        <v>0</v>
      </c>
      <c r="O457">
        <v>114759.57</v>
      </c>
      <c r="P457" t="s">
        <v>31</v>
      </c>
      <c r="Q457" t="s">
        <v>32</v>
      </c>
    </row>
    <row r="458" spans="1:17" x14ac:dyDescent="0.25">
      <c r="A458" t="s">
        <v>575</v>
      </c>
      <c r="B458" s="1">
        <v>45954</v>
      </c>
      <c r="C458" t="s">
        <v>47</v>
      </c>
      <c r="D458" t="s">
        <v>88</v>
      </c>
      <c r="E458" t="s">
        <v>49</v>
      </c>
      <c r="F458" t="s">
        <v>84</v>
      </c>
      <c r="G458" t="s">
        <v>102</v>
      </c>
      <c r="H458" t="s">
        <v>57</v>
      </c>
      <c r="I458" t="s">
        <v>58</v>
      </c>
      <c r="J458">
        <v>14</v>
      </c>
      <c r="K458">
        <v>16382.28</v>
      </c>
      <c r="L458">
        <v>229351.92</v>
      </c>
      <c r="M458">
        <v>0</v>
      </c>
      <c r="N458">
        <v>0</v>
      </c>
      <c r="O458">
        <v>229351.92</v>
      </c>
      <c r="P458" t="s">
        <v>31</v>
      </c>
      <c r="Q458" t="s">
        <v>32</v>
      </c>
    </row>
    <row r="459" spans="1:17" x14ac:dyDescent="0.25">
      <c r="A459" t="s">
        <v>576</v>
      </c>
      <c r="B459" s="1">
        <v>46039</v>
      </c>
      <c r="C459" t="s">
        <v>54</v>
      </c>
      <c r="D459" t="s">
        <v>70</v>
      </c>
      <c r="E459" t="s">
        <v>41</v>
      </c>
      <c r="F459" t="s">
        <v>50</v>
      </c>
      <c r="G459" t="s">
        <v>81</v>
      </c>
      <c r="H459" t="s">
        <v>38</v>
      </c>
      <c r="I459" t="s">
        <v>108</v>
      </c>
      <c r="J459">
        <v>17</v>
      </c>
      <c r="K459">
        <v>19692.25</v>
      </c>
      <c r="L459">
        <v>334768.25</v>
      </c>
      <c r="M459">
        <v>41539.47</v>
      </c>
      <c r="N459">
        <v>0</v>
      </c>
      <c r="O459">
        <v>293228.78000000003</v>
      </c>
      <c r="P459" t="s">
        <v>73</v>
      </c>
      <c r="Q459" t="s">
        <v>32</v>
      </c>
    </row>
    <row r="460" spans="1:17" x14ac:dyDescent="0.25">
      <c r="A460" t="s">
        <v>577</v>
      </c>
      <c r="B460" s="1">
        <v>46017</v>
      </c>
      <c r="C460" t="s">
        <v>18</v>
      </c>
      <c r="D460" t="s">
        <v>19</v>
      </c>
      <c r="E460" t="s">
        <v>20</v>
      </c>
      <c r="F460" t="s">
        <v>42</v>
      </c>
      <c r="G460" t="s">
        <v>102</v>
      </c>
      <c r="H460" t="s">
        <v>67</v>
      </c>
      <c r="I460" t="s">
        <v>201</v>
      </c>
      <c r="J460">
        <v>44</v>
      </c>
      <c r="K460">
        <v>13277.38</v>
      </c>
      <c r="L460">
        <v>584204.72</v>
      </c>
      <c r="M460">
        <v>0</v>
      </c>
      <c r="N460">
        <v>0</v>
      </c>
      <c r="O460">
        <v>584204.72</v>
      </c>
      <c r="P460" t="s">
        <v>73</v>
      </c>
      <c r="Q460" t="s">
        <v>26</v>
      </c>
    </row>
    <row r="461" spans="1:17" x14ac:dyDescent="0.25">
      <c r="A461" t="s">
        <v>578</v>
      </c>
      <c r="B461" s="1">
        <v>46018</v>
      </c>
      <c r="C461" t="s">
        <v>60</v>
      </c>
      <c r="D461" t="s">
        <v>65</v>
      </c>
      <c r="E461" t="s">
        <v>41</v>
      </c>
      <c r="F461" t="s">
        <v>71</v>
      </c>
      <c r="G461" t="s">
        <v>102</v>
      </c>
      <c r="H461" t="s">
        <v>67</v>
      </c>
      <c r="I461" t="s">
        <v>103</v>
      </c>
      <c r="J461">
        <v>50</v>
      </c>
      <c r="K461">
        <v>26536.84</v>
      </c>
      <c r="L461">
        <v>1326842</v>
      </c>
      <c r="M461">
        <v>0</v>
      </c>
      <c r="N461">
        <v>49076.07</v>
      </c>
      <c r="O461">
        <v>1277765.93</v>
      </c>
      <c r="P461" t="s">
        <v>31</v>
      </c>
      <c r="Q461" t="s">
        <v>32</v>
      </c>
    </row>
    <row r="462" spans="1:17" x14ac:dyDescent="0.25">
      <c r="A462" t="s">
        <v>579</v>
      </c>
      <c r="B462" s="1">
        <v>45963</v>
      </c>
      <c r="C462" t="s">
        <v>18</v>
      </c>
      <c r="D462" t="s">
        <v>28</v>
      </c>
      <c r="E462" t="s">
        <v>20</v>
      </c>
      <c r="F462" t="s">
        <v>42</v>
      </c>
      <c r="G462" t="s">
        <v>29</v>
      </c>
      <c r="H462" t="s">
        <v>67</v>
      </c>
      <c r="I462" t="s">
        <v>170</v>
      </c>
      <c r="J462">
        <v>18</v>
      </c>
      <c r="K462">
        <v>10017.049999999999</v>
      </c>
      <c r="L462">
        <v>180306.9</v>
      </c>
      <c r="M462">
        <v>0</v>
      </c>
      <c r="N462">
        <v>0</v>
      </c>
      <c r="O462">
        <v>180306.9</v>
      </c>
      <c r="P462" t="s">
        <v>31</v>
      </c>
      <c r="Q462" t="s">
        <v>32</v>
      </c>
    </row>
    <row r="463" spans="1:17" x14ac:dyDescent="0.25">
      <c r="A463" t="s">
        <v>580</v>
      </c>
      <c r="B463" s="1">
        <v>46015</v>
      </c>
      <c r="C463" t="s">
        <v>60</v>
      </c>
      <c r="D463" t="s">
        <v>65</v>
      </c>
      <c r="E463" t="s">
        <v>49</v>
      </c>
      <c r="F463" t="s">
        <v>36</v>
      </c>
      <c r="G463" t="s">
        <v>22</v>
      </c>
      <c r="H463" t="s">
        <v>57</v>
      </c>
      <c r="I463" t="s">
        <v>58</v>
      </c>
      <c r="J463">
        <v>40</v>
      </c>
      <c r="K463">
        <v>18499</v>
      </c>
      <c r="L463">
        <v>739960</v>
      </c>
      <c r="M463">
        <v>74588.77</v>
      </c>
      <c r="N463">
        <v>0</v>
      </c>
      <c r="O463">
        <v>665371.23</v>
      </c>
      <c r="P463" t="s">
        <v>25</v>
      </c>
      <c r="Q463" t="s">
        <v>26</v>
      </c>
    </row>
    <row r="464" spans="1:17" x14ac:dyDescent="0.25">
      <c r="A464" t="s">
        <v>581</v>
      </c>
      <c r="B464" s="1">
        <v>45963</v>
      </c>
      <c r="C464" t="s">
        <v>60</v>
      </c>
      <c r="D464" t="s">
        <v>151</v>
      </c>
      <c r="E464" t="s">
        <v>20</v>
      </c>
      <c r="F464" t="s">
        <v>105</v>
      </c>
      <c r="G464" t="s">
        <v>138</v>
      </c>
      <c r="H464" t="s">
        <v>38</v>
      </c>
      <c r="I464" t="s">
        <v>86</v>
      </c>
      <c r="J464">
        <v>31</v>
      </c>
      <c r="K464">
        <v>13048.07</v>
      </c>
      <c r="L464">
        <v>404490.17</v>
      </c>
      <c r="M464">
        <v>39973.42</v>
      </c>
      <c r="N464">
        <v>0</v>
      </c>
      <c r="O464">
        <v>364516.75</v>
      </c>
      <c r="P464" t="s">
        <v>31</v>
      </c>
      <c r="Q464" t="s">
        <v>32</v>
      </c>
    </row>
    <row r="465" spans="1:17" x14ac:dyDescent="0.25">
      <c r="A465" t="s">
        <v>582</v>
      </c>
      <c r="B465" s="1">
        <v>45970</v>
      </c>
      <c r="C465" t="s">
        <v>54</v>
      </c>
      <c r="D465" t="s">
        <v>97</v>
      </c>
      <c r="E465" t="s">
        <v>49</v>
      </c>
      <c r="F465" t="s">
        <v>50</v>
      </c>
      <c r="G465" t="s">
        <v>51</v>
      </c>
      <c r="H465" t="s">
        <v>38</v>
      </c>
      <c r="I465" t="s">
        <v>108</v>
      </c>
      <c r="J465">
        <v>4</v>
      </c>
      <c r="K465">
        <v>639.95000000000005</v>
      </c>
      <c r="L465">
        <v>2559.8000000000002</v>
      </c>
      <c r="M465">
        <v>281.74</v>
      </c>
      <c r="N465">
        <v>0</v>
      </c>
      <c r="O465">
        <v>2278.06</v>
      </c>
      <c r="P465" t="s">
        <v>31</v>
      </c>
      <c r="Q465" t="s">
        <v>32</v>
      </c>
    </row>
    <row r="466" spans="1:17" x14ac:dyDescent="0.25">
      <c r="A466" t="s">
        <v>583</v>
      </c>
      <c r="B466" s="1">
        <v>46035</v>
      </c>
      <c r="C466" t="s">
        <v>18</v>
      </c>
      <c r="D466" t="s">
        <v>75</v>
      </c>
      <c r="E466" t="s">
        <v>20</v>
      </c>
      <c r="F466" t="s">
        <v>71</v>
      </c>
      <c r="G466" t="s">
        <v>22</v>
      </c>
      <c r="H466" t="s">
        <v>44</v>
      </c>
      <c r="I466" t="s">
        <v>152</v>
      </c>
      <c r="J466">
        <v>22</v>
      </c>
      <c r="K466">
        <v>14457.49</v>
      </c>
      <c r="L466">
        <v>318064.78000000003</v>
      </c>
      <c r="M466">
        <v>45392.1</v>
      </c>
      <c r="N466">
        <v>0</v>
      </c>
      <c r="O466">
        <v>272672.68</v>
      </c>
      <c r="P466" t="s">
        <v>31</v>
      </c>
      <c r="Q466" t="s">
        <v>32</v>
      </c>
    </row>
    <row r="467" spans="1:17" x14ac:dyDescent="0.25">
      <c r="A467" t="s">
        <v>584</v>
      </c>
      <c r="B467" s="1">
        <v>45971</v>
      </c>
      <c r="C467" t="s">
        <v>60</v>
      </c>
      <c r="D467" t="s">
        <v>151</v>
      </c>
      <c r="E467" t="s">
        <v>20</v>
      </c>
      <c r="F467" t="s">
        <v>112</v>
      </c>
      <c r="G467" t="s">
        <v>85</v>
      </c>
      <c r="H467" t="s">
        <v>44</v>
      </c>
      <c r="I467" t="s">
        <v>152</v>
      </c>
      <c r="J467">
        <v>28</v>
      </c>
      <c r="K467">
        <v>9830.08</v>
      </c>
      <c r="L467">
        <v>275242.23999999999</v>
      </c>
      <c r="M467">
        <v>41883.42</v>
      </c>
      <c r="N467">
        <v>67808.429999999993</v>
      </c>
      <c r="O467">
        <v>165550.39000000001</v>
      </c>
      <c r="P467" t="s">
        <v>31</v>
      </c>
      <c r="Q467" t="s">
        <v>32</v>
      </c>
    </row>
    <row r="468" spans="1:17" x14ac:dyDescent="0.25">
      <c r="A468" t="s">
        <v>585</v>
      </c>
      <c r="B468" s="1">
        <v>46017</v>
      </c>
      <c r="C468" t="s">
        <v>18</v>
      </c>
      <c r="D468" t="s">
        <v>75</v>
      </c>
      <c r="E468" t="s">
        <v>20</v>
      </c>
      <c r="F468" t="s">
        <v>50</v>
      </c>
      <c r="G468" t="s">
        <v>63</v>
      </c>
      <c r="H468" t="s">
        <v>23</v>
      </c>
      <c r="I468" t="s">
        <v>30</v>
      </c>
      <c r="J468">
        <v>24</v>
      </c>
      <c r="K468">
        <v>45191.1</v>
      </c>
      <c r="L468">
        <v>1084586.3999999999</v>
      </c>
      <c r="M468">
        <v>0</v>
      </c>
      <c r="N468">
        <v>0</v>
      </c>
      <c r="O468">
        <v>1084586.3999999999</v>
      </c>
      <c r="P468" t="s">
        <v>73</v>
      </c>
      <c r="Q468" t="s">
        <v>32</v>
      </c>
    </row>
    <row r="469" spans="1:17" x14ac:dyDescent="0.25">
      <c r="A469" t="s">
        <v>586</v>
      </c>
      <c r="B469" s="1">
        <v>45994</v>
      </c>
      <c r="C469" t="s">
        <v>79</v>
      </c>
      <c r="D469" t="s">
        <v>91</v>
      </c>
      <c r="E469" t="s">
        <v>41</v>
      </c>
      <c r="F469" t="s">
        <v>36</v>
      </c>
      <c r="G469" t="s">
        <v>85</v>
      </c>
      <c r="H469" t="s">
        <v>94</v>
      </c>
      <c r="I469" t="s">
        <v>193</v>
      </c>
      <c r="J469">
        <v>22</v>
      </c>
      <c r="K469">
        <v>4338.29</v>
      </c>
      <c r="L469">
        <v>95442.38</v>
      </c>
      <c r="M469">
        <v>16417.73</v>
      </c>
      <c r="N469">
        <v>0</v>
      </c>
      <c r="O469">
        <v>79024.649999999994</v>
      </c>
      <c r="P469" t="s">
        <v>73</v>
      </c>
      <c r="Q469" t="s">
        <v>26</v>
      </c>
    </row>
    <row r="470" spans="1:17" x14ac:dyDescent="0.25">
      <c r="A470" t="s">
        <v>587</v>
      </c>
      <c r="B470" s="1">
        <v>45997</v>
      </c>
      <c r="C470" t="s">
        <v>60</v>
      </c>
      <c r="D470" t="s">
        <v>151</v>
      </c>
      <c r="E470" t="s">
        <v>20</v>
      </c>
      <c r="F470" t="s">
        <v>21</v>
      </c>
      <c r="G470" t="s">
        <v>138</v>
      </c>
      <c r="H470" t="s">
        <v>57</v>
      </c>
      <c r="I470" t="s">
        <v>148</v>
      </c>
      <c r="J470">
        <v>22</v>
      </c>
      <c r="K470">
        <v>30756.66</v>
      </c>
      <c r="L470">
        <v>676646.52</v>
      </c>
      <c r="M470">
        <v>128626.53</v>
      </c>
      <c r="N470">
        <v>0</v>
      </c>
      <c r="O470">
        <v>548019.99</v>
      </c>
      <c r="P470" t="s">
        <v>32</v>
      </c>
      <c r="Q470" t="s">
        <v>32</v>
      </c>
    </row>
    <row r="471" spans="1:17" x14ac:dyDescent="0.25">
      <c r="A471" t="s">
        <v>588</v>
      </c>
      <c r="B471" s="1">
        <v>46034</v>
      </c>
      <c r="C471" t="s">
        <v>79</v>
      </c>
      <c r="D471" t="s">
        <v>107</v>
      </c>
      <c r="E471" t="s">
        <v>35</v>
      </c>
      <c r="F471" t="s">
        <v>105</v>
      </c>
      <c r="G471" t="s">
        <v>138</v>
      </c>
      <c r="H471" t="s">
        <v>94</v>
      </c>
      <c r="I471" t="s">
        <v>163</v>
      </c>
      <c r="J471">
        <v>2</v>
      </c>
      <c r="K471">
        <v>24429.759999999998</v>
      </c>
      <c r="L471">
        <v>48859.519999999997</v>
      </c>
      <c r="M471">
        <v>0</v>
      </c>
      <c r="N471">
        <v>5139.1099999999997</v>
      </c>
      <c r="O471">
        <v>43720.41</v>
      </c>
      <c r="P471" t="s">
        <v>32</v>
      </c>
      <c r="Q471" t="s">
        <v>32</v>
      </c>
    </row>
    <row r="472" spans="1:17" x14ac:dyDescent="0.25">
      <c r="A472" t="s">
        <v>589</v>
      </c>
      <c r="B472" s="1">
        <v>45973</v>
      </c>
      <c r="C472" t="s">
        <v>18</v>
      </c>
      <c r="D472" t="s">
        <v>28</v>
      </c>
      <c r="E472" t="s">
        <v>35</v>
      </c>
      <c r="F472" t="s">
        <v>21</v>
      </c>
      <c r="G472" t="s">
        <v>85</v>
      </c>
      <c r="H472" t="s">
        <v>23</v>
      </c>
      <c r="I472" t="s">
        <v>30</v>
      </c>
      <c r="J472">
        <v>40</v>
      </c>
      <c r="K472">
        <v>8708.0499999999993</v>
      </c>
      <c r="L472">
        <v>348322</v>
      </c>
      <c r="M472">
        <v>0</v>
      </c>
      <c r="N472">
        <v>0</v>
      </c>
      <c r="O472">
        <v>348322</v>
      </c>
      <c r="P472" t="s">
        <v>25</v>
      </c>
      <c r="Q472" t="s">
        <v>26</v>
      </c>
    </row>
    <row r="473" spans="1:17" x14ac:dyDescent="0.25">
      <c r="A473" t="s">
        <v>590</v>
      </c>
      <c r="B473" s="1">
        <v>46005</v>
      </c>
      <c r="C473" t="s">
        <v>47</v>
      </c>
      <c r="D473" t="s">
        <v>88</v>
      </c>
      <c r="E473" t="s">
        <v>20</v>
      </c>
      <c r="F473" t="s">
        <v>36</v>
      </c>
      <c r="G473" t="s">
        <v>22</v>
      </c>
      <c r="H473" t="s">
        <v>23</v>
      </c>
      <c r="I473" t="s">
        <v>131</v>
      </c>
      <c r="J473">
        <v>33</v>
      </c>
      <c r="K473">
        <v>20547.11</v>
      </c>
      <c r="L473">
        <v>678054.63</v>
      </c>
      <c r="M473">
        <v>18941.98</v>
      </c>
      <c r="N473">
        <v>0</v>
      </c>
      <c r="O473">
        <v>659112.65</v>
      </c>
      <c r="P473" t="s">
        <v>73</v>
      </c>
      <c r="Q473" t="s">
        <v>32</v>
      </c>
    </row>
    <row r="474" spans="1:17" x14ac:dyDescent="0.25">
      <c r="A474" t="s">
        <v>591</v>
      </c>
      <c r="B474" s="1">
        <v>45996</v>
      </c>
      <c r="C474" t="s">
        <v>18</v>
      </c>
      <c r="D474" t="s">
        <v>34</v>
      </c>
      <c r="E474" t="s">
        <v>35</v>
      </c>
      <c r="F474" t="s">
        <v>62</v>
      </c>
      <c r="G474" t="s">
        <v>89</v>
      </c>
      <c r="H474" t="s">
        <v>94</v>
      </c>
      <c r="I474" t="s">
        <v>177</v>
      </c>
      <c r="J474">
        <v>24</v>
      </c>
      <c r="K474">
        <v>8591.17</v>
      </c>
      <c r="L474">
        <v>206188.08</v>
      </c>
      <c r="M474">
        <v>6889.22</v>
      </c>
      <c r="N474">
        <v>0</v>
      </c>
      <c r="O474">
        <v>199298.86</v>
      </c>
      <c r="P474" t="s">
        <v>25</v>
      </c>
      <c r="Q474" t="s">
        <v>26</v>
      </c>
    </row>
    <row r="475" spans="1:17" x14ac:dyDescent="0.25">
      <c r="A475" t="s">
        <v>592</v>
      </c>
      <c r="B475" s="1">
        <v>46013</v>
      </c>
      <c r="C475" t="s">
        <v>18</v>
      </c>
      <c r="D475" t="s">
        <v>34</v>
      </c>
      <c r="E475" t="s">
        <v>49</v>
      </c>
      <c r="F475" t="s">
        <v>137</v>
      </c>
      <c r="G475" t="s">
        <v>43</v>
      </c>
      <c r="H475" t="s">
        <v>67</v>
      </c>
      <c r="I475" t="s">
        <v>77</v>
      </c>
      <c r="J475">
        <v>3</v>
      </c>
      <c r="K475">
        <v>28256.959999999999</v>
      </c>
      <c r="L475">
        <v>84770.880000000005</v>
      </c>
      <c r="M475">
        <v>2856.35</v>
      </c>
      <c r="N475">
        <v>9225.51</v>
      </c>
      <c r="O475">
        <v>72689.02</v>
      </c>
      <c r="P475" t="s">
        <v>32</v>
      </c>
      <c r="Q475" t="s">
        <v>32</v>
      </c>
    </row>
    <row r="476" spans="1:17" x14ac:dyDescent="0.25">
      <c r="A476" t="s">
        <v>593</v>
      </c>
      <c r="B476" s="1">
        <v>46039</v>
      </c>
      <c r="C476" t="s">
        <v>18</v>
      </c>
      <c r="D476" t="s">
        <v>75</v>
      </c>
      <c r="E476" t="s">
        <v>20</v>
      </c>
      <c r="F476" t="s">
        <v>42</v>
      </c>
      <c r="G476" t="s">
        <v>51</v>
      </c>
      <c r="H476" t="s">
        <v>57</v>
      </c>
      <c r="I476" t="s">
        <v>92</v>
      </c>
      <c r="J476">
        <v>26</v>
      </c>
      <c r="K476">
        <v>4644.83</v>
      </c>
      <c r="L476">
        <v>120765.58</v>
      </c>
      <c r="M476">
        <v>0</v>
      </c>
      <c r="N476">
        <v>0</v>
      </c>
      <c r="O476">
        <v>120765.58</v>
      </c>
      <c r="P476" t="s">
        <v>25</v>
      </c>
      <c r="Q476" t="s">
        <v>26</v>
      </c>
    </row>
    <row r="477" spans="1:17" x14ac:dyDescent="0.25">
      <c r="A477" t="s">
        <v>594</v>
      </c>
      <c r="B477" s="1">
        <v>46012</v>
      </c>
      <c r="C477" t="s">
        <v>18</v>
      </c>
      <c r="D477" t="s">
        <v>34</v>
      </c>
      <c r="E477" t="s">
        <v>20</v>
      </c>
      <c r="F477" t="s">
        <v>42</v>
      </c>
      <c r="G477" t="s">
        <v>102</v>
      </c>
      <c r="H477" t="s">
        <v>57</v>
      </c>
      <c r="I477" t="s">
        <v>92</v>
      </c>
      <c r="J477">
        <v>47</v>
      </c>
      <c r="K477">
        <v>27329.74</v>
      </c>
      <c r="L477">
        <v>1284497.78</v>
      </c>
      <c r="M477">
        <v>65073.61</v>
      </c>
      <c r="N477">
        <v>0</v>
      </c>
      <c r="O477">
        <v>1219424.17</v>
      </c>
      <c r="P477" t="s">
        <v>31</v>
      </c>
      <c r="Q477" t="s">
        <v>32</v>
      </c>
    </row>
    <row r="478" spans="1:17" x14ac:dyDescent="0.25">
      <c r="A478" t="s">
        <v>595</v>
      </c>
      <c r="B478" s="1">
        <v>45978</v>
      </c>
      <c r="C478" t="s">
        <v>18</v>
      </c>
      <c r="D478" t="s">
        <v>28</v>
      </c>
      <c r="E478" t="s">
        <v>35</v>
      </c>
      <c r="F478" t="s">
        <v>62</v>
      </c>
      <c r="G478" t="s">
        <v>43</v>
      </c>
      <c r="H478" t="s">
        <v>44</v>
      </c>
      <c r="I478" t="s">
        <v>45</v>
      </c>
      <c r="J478">
        <v>17</v>
      </c>
      <c r="K478">
        <v>7197.19</v>
      </c>
      <c r="L478">
        <v>122352.23</v>
      </c>
      <c r="M478">
        <v>0</v>
      </c>
      <c r="N478">
        <v>0</v>
      </c>
      <c r="O478">
        <v>122352.23</v>
      </c>
      <c r="P478" t="s">
        <v>73</v>
      </c>
      <c r="Q478" t="s">
        <v>32</v>
      </c>
    </row>
    <row r="479" spans="1:17" x14ac:dyDescent="0.25">
      <c r="A479" t="s">
        <v>596</v>
      </c>
      <c r="B479" s="1">
        <v>46025</v>
      </c>
      <c r="C479" t="s">
        <v>47</v>
      </c>
      <c r="D479" t="s">
        <v>127</v>
      </c>
      <c r="E479" t="s">
        <v>20</v>
      </c>
      <c r="F479" t="s">
        <v>112</v>
      </c>
      <c r="G479" t="s">
        <v>37</v>
      </c>
      <c r="H479" t="s">
        <v>38</v>
      </c>
      <c r="I479" t="s">
        <v>175</v>
      </c>
      <c r="J479">
        <v>14</v>
      </c>
      <c r="K479">
        <v>3818.21</v>
      </c>
      <c r="L479">
        <v>53454.94</v>
      </c>
      <c r="M479">
        <v>0</v>
      </c>
      <c r="N479">
        <v>2489.1799999999998</v>
      </c>
      <c r="O479">
        <v>50965.760000000002</v>
      </c>
      <c r="P479" t="s">
        <v>32</v>
      </c>
      <c r="Q479" t="s">
        <v>26</v>
      </c>
    </row>
    <row r="480" spans="1:17" x14ac:dyDescent="0.25">
      <c r="A480" t="s">
        <v>597</v>
      </c>
      <c r="B480" s="1">
        <v>46043</v>
      </c>
      <c r="C480" t="s">
        <v>79</v>
      </c>
      <c r="D480" t="s">
        <v>91</v>
      </c>
      <c r="E480" t="s">
        <v>49</v>
      </c>
      <c r="F480" t="s">
        <v>42</v>
      </c>
      <c r="G480" t="s">
        <v>56</v>
      </c>
      <c r="H480" t="s">
        <v>44</v>
      </c>
      <c r="I480" t="s">
        <v>135</v>
      </c>
      <c r="J480">
        <v>44</v>
      </c>
      <c r="K480">
        <v>14190.39</v>
      </c>
      <c r="L480">
        <v>624377.16</v>
      </c>
      <c r="M480">
        <v>62945.43</v>
      </c>
      <c r="N480">
        <v>0</v>
      </c>
      <c r="O480">
        <v>561431.73</v>
      </c>
      <c r="P480" t="s">
        <v>31</v>
      </c>
      <c r="Q480" t="s">
        <v>32</v>
      </c>
    </row>
    <row r="481" spans="1:17" x14ac:dyDescent="0.25">
      <c r="A481" t="s">
        <v>598</v>
      </c>
      <c r="B481" s="1">
        <v>46030</v>
      </c>
      <c r="C481" t="s">
        <v>79</v>
      </c>
      <c r="D481" t="s">
        <v>91</v>
      </c>
      <c r="E481" t="s">
        <v>41</v>
      </c>
      <c r="F481" t="s">
        <v>112</v>
      </c>
      <c r="G481" t="s">
        <v>138</v>
      </c>
      <c r="H481" t="s">
        <v>67</v>
      </c>
      <c r="I481" t="s">
        <v>154</v>
      </c>
      <c r="J481">
        <v>36</v>
      </c>
      <c r="K481">
        <v>1144.18</v>
      </c>
      <c r="L481">
        <v>41190.480000000003</v>
      </c>
      <c r="M481">
        <v>0</v>
      </c>
      <c r="N481">
        <v>5657</v>
      </c>
      <c r="O481">
        <v>35533.480000000003</v>
      </c>
      <c r="P481" t="s">
        <v>73</v>
      </c>
      <c r="Q481" t="s">
        <v>26</v>
      </c>
    </row>
    <row r="482" spans="1:17" x14ac:dyDescent="0.25">
      <c r="A482" t="s">
        <v>599</v>
      </c>
      <c r="B482" s="1">
        <v>46022</v>
      </c>
      <c r="C482" t="s">
        <v>47</v>
      </c>
      <c r="D482" t="s">
        <v>127</v>
      </c>
      <c r="E482" t="s">
        <v>49</v>
      </c>
      <c r="F482" t="s">
        <v>42</v>
      </c>
      <c r="G482" t="s">
        <v>43</v>
      </c>
      <c r="H482" t="s">
        <v>38</v>
      </c>
      <c r="I482" t="s">
        <v>39</v>
      </c>
      <c r="J482">
        <v>5</v>
      </c>
      <c r="K482">
        <v>23313.81</v>
      </c>
      <c r="L482">
        <v>116569.05</v>
      </c>
      <c r="M482">
        <v>13153.75</v>
      </c>
      <c r="N482">
        <v>0</v>
      </c>
      <c r="O482">
        <v>103415.3</v>
      </c>
      <c r="P482" t="s">
        <v>32</v>
      </c>
      <c r="Q482" t="s">
        <v>32</v>
      </c>
    </row>
    <row r="483" spans="1:17" x14ac:dyDescent="0.25">
      <c r="A483" t="s">
        <v>600</v>
      </c>
      <c r="B483" s="1">
        <v>45974</v>
      </c>
      <c r="C483" t="s">
        <v>54</v>
      </c>
      <c r="D483" t="s">
        <v>70</v>
      </c>
      <c r="E483" t="s">
        <v>20</v>
      </c>
      <c r="F483" t="s">
        <v>71</v>
      </c>
      <c r="G483" t="s">
        <v>140</v>
      </c>
      <c r="H483" t="s">
        <v>67</v>
      </c>
      <c r="I483" t="s">
        <v>201</v>
      </c>
      <c r="J483">
        <v>5</v>
      </c>
      <c r="K483">
        <v>1334.64</v>
      </c>
      <c r="L483">
        <v>6673.2</v>
      </c>
      <c r="M483">
        <v>0</v>
      </c>
      <c r="N483">
        <v>0</v>
      </c>
      <c r="O483">
        <v>6673.2</v>
      </c>
      <c r="P483" t="s">
        <v>25</v>
      </c>
      <c r="Q483" t="s">
        <v>26</v>
      </c>
    </row>
    <row r="484" spans="1:17" x14ac:dyDescent="0.25">
      <c r="A484" t="s">
        <v>601</v>
      </c>
      <c r="B484" s="1">
        <v>46010</v>
      </c>
      <c r="C484" t="s">
        <v>47</v>
      </c>
      <c r="D484" t="s">
        <v>114</v>
      </c>
      <c r="E484" t="s">
        <v>41</v>
      </c>
      <c r="F484" t="s">
        <v>71</v>
      </c>
      <c r="G484" t="s">
        <v>43</v>
      </c>
      <c r="H484" t="s">
        <v>94</v>
      </c>
      <c r="I484" t="s">
        <v>177</v>
      </c>
      <c r="J484">
        <v>25</v>
      </c>
      <c r="K484">
        <v>16350.33</v>
      </c>
      <c r="L484">
        <v>408758.25</v>
      </c>
      <c r="M484">
        <v>69487.839999999997</v>
      </c>
      <c r="N484">
        <v>88908.25</v>
      </c>
      <c r="O484">
        <v>250362.16</v>
      </c>
      <c r="P484" t="s">
        <v>25</v>
      </c>
      <c r="Q484" t="s">
        <v>26</v>
      </c>
    </row>
    <row r="485" spans="1:17" x14ac:dyDescent="0.25">
      <c r="A485" t="s">
        <v>602</v>
      </c>
      <c r="B485" s="1">
        <v>45962</v>
      </c>
      <c r="C485" t="s">
        <v>47</v>
      </c>
      <c r="D485" t="s">
        <v>114</v>
      </c>
      <c r="E485" t="s">
        <v>20</v>
      </c>
      <c r="F485" t="s">
        <v>84</v>
      </c>
      <c r="G485" t="s">
        <v>22</v>
      </c>
      <c r="H485" t="s">
        <v>44</v>
      </c>
      <c r="I485" t="s">
        <v>124</v>
      </c>
      <c r="J485">
        <v>8</v>
      </c>
      <c r="K485">
        <v>31347.24</v>
      </c>
      <c r="L485">
        <v>250777.92</v>
      </c>
      <c r="M485">
        <v>35617.83</v>
      </c>
      <c r="N485">
        <v>0</v>
      </c>
      <c r="O485">
        <v>215160.09</v>
      </c>
      <c r="P485" t="s">
        <v>73</v>
      </c>
      <c r="Q485" t="s">
        <v>32</v>
      </c>
    </row>
    <row r="486" spans="1:17" x14ac:dyDescent="0.25">
      <c r="A486" t="s">
        <v>603</v>
      </c>
      <c r="B486" s="1">
        <v>45988</v>
      </c>
      <c r="C486" t="s">
        <v>54</v>
      </c>
      <c r="D486" t="s">
        <v>55</v>
      </c>
      <c r="E486" t="s">
        <v>20</v>
      </c>
      <c r="F486" t="s">
        <v>36</v>
      </c>
      <c r="G486" t="s">
        <v>43</v>
      </c>
      <c r="H486" t="s">
        <v>38</v>
      </c>
      <c r="I486" t="s">
        <v>120</v>
      </c>
      <c r="J486">
        <v>24</v>
      </c>
      <c r="K486">
        <v>41417.5</v>
      </c>
      <c r="L486">
        <v>994020</v>
      </c>
      <c r="M486">
        <v>0</v>
      </c>
      <c r="N486">
        <v>0</v>
      </c>
      <c r="O486">
        <v>994020</v>
      </c>
      <c r="P486" t="s">
        <v>25</v>
      </c>
      <c r="Q486" t="s">
        <v>26</v>
      </c>
    </row>
    <row r="487" spans="1:17" x14ac:dyDescent="0.25">
      <c r="A487" t="s">
        <v>604</v>
      </c>
      <c r="B487" s="1">
        <v>46009</v>
      </c>
      <c r="C487" t="s">
        <v>60</v>
      </c>
      <c r="D487" t="s">
        <v>65</v>
      </c>
      <c r="E487" t="s">
        <v>41</v>
      </c>
      <c r="F487" t="s">
        <v>42</v>
      </c>
      <c r="G487" t="s">
        <v>85</v>
      </c>
      <c r="H487" t="s">
        <v>23</v>
      </c>
      <c r="I487" t="s">
        <v>99</v>
      </c>
      <c r="J487">
        <v>2</v>
      </c>
      <c r="K487">
        <v>32552.97</v>
      </c>
      <c r="L487">
        <v>65105.94</v>
      </c>
      <c r="M487">
        <v>8367.69</v>
      </c>
      <c r="N487">
        <v>0</v>
      </c>
      <c r="O487">
        <v>56738.25</v>
      </c>
      <c r="P487" t="s">
        <v>25</v>
      </c>
      <c r="Q487" t="s">
        <v>26</v>
      </c>
    </row>
    <row r="488" spans="1:17" x14ac:dyDescent="0.25">
      <c r="A488" t="s">
        <v>605</v>
      </c>
      <c r="B488" s="1">
        <v>45985</v>
      </c>
      <c r="C488" t="s">
        <v>79</v>
      </c>
      <c r="D488" t="s">
        <v>80</v>
      </c>
      <c r="E488" t="s">
        <v>20</v>
      </c>
      <c r="F488" t="s">
        <v>62</v>
      </c>
      <c r="G488" t="s">
        <v>138</v>
      </c>
      <c r="H488" t="s">
        <v>57</v>
      </c>
      <c r="I488" t="s">
        <v>118</v>
      </c>
      <c r="J488">
        <v>37</v>
      </c>
      <c r="K488">
        <v>37776.629999999997</v>
      </c>
      <c r="L488">
        <v>1397735.31</v>
      </c>
      <c r="M488">
        <v>0</v>
      </c>
      <c r="N488">
        <v>21062.3</v>
      </c>
      <c r="O488">
        <v>1376673.01</v>
      </c>
      <c r="P488" t="s">
        <v>25</v>
      </c>
      <c r="Q488" t="s">
        <v>26</v>
      </c>
    </row>
    <row r="489" spans="1:17" x14ac:dyDescent="0.25">
      <c r="A489" t="s">
        <v>606</v>
      </c>
      <c r="B489" s="1">
        <v>45998</v>
      </c>
      <c r="C489" t="s">
        <v>60</v>
      </c>
      <c r="D489" t="s">
        <v>65</v>
      </c>
      <c r="E489" t="s">
        <v>49</v>
      </c>
      <c r="F489" t="s">
        <v>84</v>
      </c>
      <c r="G489" t="s">
        <v>56</v>
      </c>
      <c r="H489" t="s">
        <v>38</v>
      </c>
      <c r="I489" t="s">
        <v>175</v>
      </c>
      <c r="J489">
        <v>5</v>
      </c>
      <c r="K489">
        <v>48511.98</v>
      </c>
      <c r="L489">
        <v>242559.9</v>
      </c>
      <c r="M489">
        <v>41532.480000000003</v>
      </c>
      <c r="N489">
        <v>0</v>
      </c>
      <c r="O489">
        <v>201027.42</v>
      </c>
      <c r="P489" t="s">
        <v>25</v>
      </c>
      <c r="Q489" t="s">
        <v>26</v>
      </c>
    </row>
    <row r="490" spans="1:17" x14ac:dyDescent="0.25">
      <c r="A490" t="s">
        <v>607</v>
      </c>
      <c r="B490" s="1">
        <v>46017</v>
      </c>
      <c r="C490" t="s">
        <v>79</v>
      </c>
      <c r="D490" t="s">
        <v>80</v>
      </c>
      <c r="E490" t="s">
        <v>41</v>
      </c>
      <c r="F490" t="s">
        <v>42</v>
      </c>
      <c r="G490" t="s">
        <v>37</v>
      </c>
      <c r="H490" t="s">
        <v>38</v>
      </c>
      <c r="I490" t="s">
        <v>86</v>
      </c>
      <c r="J490">
        <v>5</v>
      </c>
      <c r="K490">
        <v>37944.51</v>
      </c>
      <c r="L490">
        <v>189722.55</v>
      </c>
      <c r="M490">
        <v>33807.160000000003</v>
      </c>
      <c r="N490">
        <v>0</v>
      </c>
      <c r="O490">
        <v>155915.39000000001</v>
      </c>
      <c r="P490" t="s">
        <v>32</v>
      </c>
      <c r="Q490" t="s">
        <v>32</v>
      </c>
    </row>
    <row r="491" spans="1:17" x14ac:dyDescent="0.25">
      <c r="A491" t="s">
        <v>608</v>
      </c>
      <c r="B491" s="1">
        <v>45970</v>
      </c>
      <c r="C491" t="s">
        <v>60</v>
      </c>
      <c r="D491" t="s">
        <v>123</v>
      </c>
      <c r="E491" t="s">
        <v>41</v>
      </c>
      <c r="F491" t="s">
        <v>21</v>
      </c>
      <c r="G491" t="s">
        <v>81</v>
      </c>
      <c r="H491" t="s">
        <v>23</v>
      </c>
      <c r="I491" t="s">
        <v>110</v>
      </c>
      <c r="J491">
        <v>25</v>
      </c>
      <c r="K491">
        <v>892.41</v>
      </c>
      <c r="L491">
        <v>22310.25</v>
      </c>
      <c r="M491">
        <v>1654.86</v>
      </c>
      <c r="N491">
        <v>0</v>
      </c>
      <c r="O491">
        <v>20655.39</v>
      </c>
      <c r="P491" t="s">
        <v>31</v>
      </c>
      <c r="Q491" t="s">
        <v>32</v>
      </c>
    </row>
    <row r="492" spans="1:17" x14ac:dyDescent="0.25">
      <c r="A492" t="s">
        <v>609</v>
      </c>
      <c r="B492" s="1">
        <v>45970</v>
      </c>
      <c r="C492" t="s">
        <v>18</v>
      </c>
      <c r="D492" t="s">
        <v>34</v>
      </c>
      <c r="E492" t="s">
        <v>41</v>
      </c>
      <c r="F492" t="s">
        <v>21</v>
      </c>
      <c r="G492" t="s">
        <v>51</v>
      </c>
      <c r="H492" t="s">
        <v>44</v>
      </c>
      <c r="I492" t="s">
        <v>281</v>
      </c>
      <c r="J492">
        <v>13</v>
      </c>
      <c r="K492">
        <v>41490.75</v>
      </c>
      <c r="L492">
        <v>539379.75</v>
      </c>
      <c r="M492">
        <v>83652.27</v>
      </c>
      <c r="N492">
        <v>0</v>
      </c>
      <c r="O492">
        <v>455727.48</v>
      </c>
      <c r="P492" t="s">
        <v>31</v>
      </c>
      <c r="Q492" t="s">
        <v>32</v>
      </c>
    </row>
    <row r="493" spans="1:17" x14ac:dyDescent="0.25">
      <c r="A493" t="s">
        <v>610</v>
      </c>
      <c r="B493" s="1">
        <v>46042</v>
      </c>
      <c r="C493" t="s">
        <v>60</v>
      </c>
      <c r="D493" t="s">
        <v>61</v>
      </c>
      <c r="E493" t="s">
        <v>41</v>
      </c>
      <c r="F493" t="s">
        <v>21</v>
      </c>
      <c r="G493" t="s">
        <v>22</v>
      </c>
      <c r="H493" t="s">
        <v>38</v>
      </c>
      <c r="I493" t="s">
        <v>82</v>
      </c>
      <c r="J493">
        <v>48</v>
      </c>
      <c r="K493">
        <v>21644.400000000001</v>
      </c>
      <c r="L493">
        <v>1038931.2</v>
      </c>
      <c r="M493">
        <v>164671.4</v>
      </c>
      <c r="N493">
        <v>0</v>
      </c>
      <c r="O493">
        <v>874259.8</v>
      </c>
      <c r="P493" t="s">
        <v>32</v>
      </c>
      <c r="Q493" t="s">
        <v>32</v>
      </c>
    </row>
    <row r="494" spans="1:17" x14ac:dyDescent="0.25">
      <c r="A494" t="s">
        <v>611</v>
      </c>
      <c r="B494" s="1">
        <v>45987</v>
      </c>
      <c r="C494" t="s">
        <v>79</v>
      </c>
      <c r="D494" t="s">
        <v>101</v>
      </c>
      <c r="E494" t="s">
        <v>49</v>
      </c>
      <c r="F494" t="s">
        <v>62</v>
      </c>
      <c r="G494" t="s">
        <v>63</v>
      </c>
      <c r="H494" t="s">
        <v>67</v>
      </c>
      <c r="I494" t="s">
        <v>68</v>
      </c>
      <c r="J494">
        <v>34</v>
      </c>
      <c r="K494">
        <v>27861.279999999999</v>
      </c>
      <c r="L494">
        <v>947283.52</v>
      </c>
      <c r="M494">
        <v>0</v>
      </c>
      <c r="N494">
        <v>0</v>
      </c>
      <c r="O494">
        <v>947283.52</v>
      </c>
      <c r="P494" t="s">
        <v>25</v>
      </c>
      <c r="Q494" t="s">
        <v>26</v>
      </c>
    </row>
    <row r="495" spans="1:17" x14ac:dyDescent="0.25">
      <c r="A495" t="s">
        <v>612</v>
      </c>
      <c r="B495" s="1">
        <v>45972</v>
      </c>
      <c r="C495" t="s">
        <v>79</v>
      </c>
      <c r="D495" t="s">
        <v>101</v>
      </c>
      <c r="E495" t="s">
        <v>49</v>
      </c>
      <c r="F495" t="s">
        <v>84</v>
      </c>
      <c r="G495" t="s">
        <v>85</v>
      </c>
      <c r="H495" t="s">
        <v>67</v>
      </c>
      <c r="I495" t="s">
        <v>77</v>
      </c>
      <c r="J495">
        <v>45</v>
      </c>
      <c r="K495">
        <v>45368.82</v>
      </c>
      <c r="L495">
        <v>2041596.9</v>
      </c>
      <c r="M495">
        <v>0</v>
      </c>
      <c r="N495">
        <v>0</v>
      </c>
      <c r="O495">
        <v>2041596.9</v>
      </c>
      <c r="P495" t="s">
        <v>32</v>
      </c>
      <c r="Q495" t="s">
        <v>32</v>
      </c>
    </row>
    <row r="496" spans="1:17" x14ac:dyDescent="0.25">
      <c r="A496" t="s">
        <v>613</v>
      </c>
      <c r="B496" s="1">
        <v>46035</v>
      </c>
      <c r="C496" t="s">
        <v>18</v>
      </c>
      <c r="D496" t="s">
        <v>34</v>
      </c>
      <c r="E496" t="s">
        <v>20</v>
      </c>
      <c r="F496" t="s">
        <v>62</v>
      </c>
      <c r="G496" t="s">
        <v>63</v>
      </c>
      <c r="H496" t="s">
        <v>57</v>
      </c>
      <c r="I496" t="s">
        <v>148</v>
      </c>
      <c r="J496">
        <v>9</v>
      </c>
      <c r="K496">
        <v>26875.07</v>
      </c>
      <c r="L496">
        <v>241875.63</v>
      </c>
      <c r="M496">
        <v>28926.22</v>
      </c>
      <c r="N496">
        <v>0</v>
      </c>
      <c r="O496">
        <v>212949.41</v>
      </c>
      <c r="P496" t="s">
        <v>73</v>
      </c>
      <c r="Q496" t="s">
        <v>32</v>
      </c>
    </row>
    <row r="497" spans="1:17" x14ac:dyDescent="0.25">
      <c r="A497" t="s">
        <v>614</v>
      </c>
      <c r="B497" s="1">
        <v>46044</v>
      </c>
      <c r="C497" t="s">
        <v>54</v>
      </c>
      <c r="D497" t="s">
        <v>55</v>
      </c>
      <c r="E497" t="s">
        <v>41</v>
      </c>
      <c r="F497" t="s">
        <v>36</v>
      </c>
      <c r="G497" t="s">
        <v>140</v>
      </c>
      <c r="H497" t="s">
        <v>23</v>
      </c>
      <c r="I497" t="s">
        <v>52</v>
      </c>
      <c r="J497">
        <v>45</v>
      </c>
      <c r="K497">
        <v>2718.83</v>
      </c>
      <c r="L497">
        <v>122347.35</v>
      </c>
      <c r="M497">
        <v>18246.099999999999</v>
      </c>
      <c r="N497">
        <v>10464.41</v>
      </c>
      <c r="O497">
        <v>93636.84</v>
      </c>
      <c r="P497" t="s">
        <v>73</v>
      </c>
      <c r="Q497" t="s">
        <v>26</v>
      </c>
    </row>
    <row r="498" spans="1:17" x14ac:dyDescent="0.25">
      <c r="A498" t="s">
        <v>615</v>
      </c>
      <c r="B498" s="1">
        <v>45990</v>
      </c>
      <c r="C498" t="s">
        <v>60</v>
      </c>
      <c r="D498" t="s">
        <v>151</v>
      </c>
      <c r="E498" t="s">
        <v>35</v>
      </c>
      <c r="F498" t="s">
        <v>42</v>
      </c>
      <c r="G498" t="s">
        <v>102</v>
      </c>
      <c r="H498" t="s">
        <v>44</v>
      </c>
      <c r="I498" t="s">
        <v>124</v>
      </c>
      <c r="J498">
        <v>46</v>
      </c>
      <c r="K498">
        <v>47210.69</v>
      </c>
      <c r="L498">
        <v>2171691.7400000002</v>
      </c>
      <c r="M498">
        <v>0</v>
      </c>
      <c r="N498">
        <v>0</v>
      </c>
      <c r="O498">
        <v>2171691.7400000002</v>
      </c>
      <c r="P498" t="s">
        <v>73</v>
      </c>
      <c r="Q498" t="s">
        <v>26</v>
      </c>
    </row>
    <row r="499" spans="1:17" x14ac:dyDescent="0.25">
      <c r="A499" t="s">
        <v>616</v>
      </c>
      <c r="B499" s="1">
        <v>45991</v>
      </c>
      <c r="C499" t="s">
        <v>54</v>
      </c>
      <c r="D499" t="s">
        <v>97</v>
      </c>
      <c r="E499" t="s">
        <v>41</v>
      </c>
      <c r="F499" t="s">
        <v>36</v>
      </c>
      <c r="G499" t="s">
        <v>140</v>
      </c>
      <c r="H499" t="s">
        <v>57</v>
      </c>
      <c r="I499" t="s">
        <v>58</v>
      </c>
      <c r="J499">
        <v>2</v>
      </c>
      <c r="K499">
        <v>41081.25</v>
      </c>
      <c r="L499">
        <v>82162.5</v>
      </c>
      <c r="M499">
        <v>11218.49</v>
      </c>
      <c r="N499">
        <v>0</v>
      </c>
      <c r="O499">
        <v>70944.009999999995</v>
      </c>
      <c r="P499" t="s">
        <v>73</v>
      </c>
      <c r="Q499" t="s">
        <v>32</v>
      </c>
    </row>
    <row r="500" spans="1:17" x14ac:dyDescent="0.25">
      <c r="A500" t="s">
        <v>617</v>
      </c>
      <c r="B500" s="1">
        <v>46016</v>
      </c>
      <c r="C500" t="s">
        <v>54</v>
      </c>
      <c r="D500" t="s">
        <v>55</v>
      </c>
      <c r="E500" t="s">
        <v>41</v>
      </c>
      <c r="F500" t="s">
        <v>36</v>
      </c>
      <c r="G500" t="s">
        <v>43</v>
      </c>
      <c r="H500" t="s">
        <v>38</v>
      </c>
      <c r="I500" t="s">
        <v>39</v>
      </c>
      <c r="J500">
        <v>12</v>
      </c>
      <c r="K500">
        <v>49706.15</v>
      </c>
      <c r="L500">
        <v>596473.80000000005</v>
      </c>
      <c r="M500">
        <v>7363.38</v>
      </c>
      <c r="N500">
        <v>0</v>
      </c>
      <c r="O500">
        <v>589110.42000000004</v>
      </c>
      <c r="P500" t="s">
        <v>73</v>
      </c>
      <c r="Q500" t="s">
        <v>32</v>
      </c>
    </row>
    <row r="501" spans="1:17" x14ac:dyDescent="0.25">
      <c r="A501" t="s">
        <v>618</v>
      </c>
      <c r="B501" s="1">
        <v>45977</v>
      </c>
      <c r="C501" t="s">
        <v>18</v>
      </c>
      <c r="D501" t="s">
        <v>28</v>
      </c>
      <c r="E501" t="s">
        <v>35</v>
      </c>
      <c r="F501" t="s">
        <v>50</v>
      </c>
      <c r="G501" t="s">
        <v>138</v>
      </c>
      <c r="H501" t="s">
        <v>44</v>
      </c>
      <c r="I501" t="s">
        <v>45</v>
      </c>
      <c r="J501">
        <v>46</v>
      </c>
      <c r="K501">
        <v>45834.13</v>
      </c>
      <c r="L501">
        <v>2108369.98</v>
      </c>
      <c r="M501">
        <v>173126.65</v>
      </c>
      <c r="N501">
        <v>0</v>
      </c>
      <c r="O501">
        <v>1935243.33</v>
      </c>
      <c r="P501" t="s">
        <v>31</v>
      </c>
      <c r="Q501" t="s">
        <v>32</v>
      </c>
    </row>
    <row r="502" spans="1:17" x14ac:dyDescent="0.25">
      <c r="A502" t="s">
        <v>619</v>
      </c>
      <c r="B502" s="1">
        <v>46001</v>
      </c>
      <c r="C502" t="s">
        <v>47</v>
      </c>
      <c r="D502" t="s">
        <v>127</v>
      </c>
      <c r="E502" t="s">
        <v>20</v>
      </c>
      <c r="F502" t="s">
        <v>50</v>
      </c>
      <c r="G502" t="s">
        <v>85</v>
      </c>
      <c r="H502" t="s">
        <v>38</v>
      </c>
      <c r="I502" t="s">
        <v>86</v>
      </c>
      <c r="J502">
        <v>49</v>
      </c>
      <c r="K502">
        <v>22166.82</v>
      </c>
      <c r="L502">
        <v>1086174.18</v>
      </c>
      <c r="M502">
        <v>83216.39</v>
      </c>
      <c r="N502">
        <v>0</v>
      </c>
      <c r="O502">
        <v>1002957.79</v>
      </c>
      <c r="P502" t="s">
        <v>31</v>
      </c>
      <c r="Q502" t="s">
        <v>32</v>
      </c>
    </row>
    <row r="503" spans="1:17" x14ac:dyDescent="0.25">
      <c r="A503" t="s">
        <v>620</v>
      </c>
      <c r="B503" s="1">
        <v>45998</v>
      </c>
      <c r="C503" t="s">
        <v>18</v>
      </c>
      <c r="D503" t="s">
        <v>75</v>
      </c>
      <c r="E503" t="s">
        <v>49</v>
      </c>
      <c r="F503" t="s">
        <v>42</v>
      </c>
      <c r="G503" t="s">
        <v>66</v>
      </c>
      <c r="H503" t="s">
        <v>23</v>
      </c>
      <c r="I503" t="s">
        <v>110</v>
      </c>
      <c r="J503">
        <v>23</v>
      </c>
      <c r="K503">
        <v>8072.97</v>
      </c>
      <c r="L503">
        <v>185678.31</v>
      </c>
      <c r="M503">
        <v>0</v>
      </c>
      <c r="N503">
        <v>0</v>
      </c>
      <c r="O503">
        <v>185678.31</v>
      </c>
      <c r="P503" t="s">
        <v>31</v>
      </c>
      <c r="Q503" t="s">
        <v>32</v>
      </c>
    </row>
    <row r="504" spans="1:17" x14ac:dyDescent="0.25">
      <c r="A504" t="s">
        <v>621</v>
      </c>
      <c r="B504" s="1">
        <v>46009</v>
      </c>
      <c r="C504" t="s">
        <v>79</v>
      </c>
      <c r="D504" t="s">
        <v>101</v>
      </c>
      <c r="E504" t="s">
        <v>41</v>
      </c>
      <c r="F504" t="s">
        <v>50</v>
      </c>
      <c r="G504" t="s">
        <v>81</v>
      </c>
      <c r="H504" t="s">
        <v>38</v>
      </c>
      <c r="I504" t="s">
        <v>39</v>
      </c>
      <c r="J504">
        <v>42</v>
      </c>
      <c r="K504">
        <v>6478.32</v>
      </c>
      <c r="L504">
        <v>272089.44</v>
      </c>
      <c r="M504">
        <v>6681.05</v>
      </c>
      <c r="N504">
        <v>0</v>
      </c>
      <c r="O504">
        <v>265408.39</v>
      </c>
      <c r="P504" t="s">
        <v>32</v>
      </c>
      <c r="Q504" t="s">
        <v>32</v>
      </c>
    </row>
    <row r="505" spans="1:17" x14ac:dyDescent="0.25">
      <c r="A505" t="s">
        <v>622</v>
      </c>
      <c r="B505" s="1">
        <v>45976</v>
      </c>
      <c r="C505" t="s">
        <v>54</v>
      </c>
      <c r="D505" t="s">
        <v>70</v>
      </c>
      <c r="E505" t="s">
        <v>35</v>
      </c>
      <c r="F505" t="s">
        <v>62</v>
      </c>
      <c r="G505" t="s">
        <v>89</v>
      </c>
      <c r="H505" t="s">
        <v>94</v>
      </c>
      <c r="I505" t="s">
        <v>144</v>
      </c>
      <c r="J505">
        <v>20</v>
      </c>
      <c r="K505">
        <v>2939.36</v>
      </c>
      <c r="L505">
        <v>58787.199999999997</v>
      </c>
      <c r="M505">
        <v>3202.72</v>
      </c>
      <c r="N505">
        <v>0</v>
      </c>
      <c r="O505">
        <v>55584.480000000003</v>
      </c>
      <c r="P505" t="s">
        <v>25</v>
      </c>
      <c r="Q505" t="s">
        <v>26</v>
      </c>
    </row>
    <row r="506" spans="1:17" x14ac:dyDescent="0.25">
      <c r="A506" t="s">
        <v>623</v>
      </c>
      <c r="B506" s="1">
        <v>46027</v>
      </c>
      <c r="C506" t="s">
        <v>60</v>
      </c>
      <c r="D506" t="s">
        <v>61</v>
      </c>
      <c r="E506" t="s">
        <v>41</v>
      </c>
      <c r="F506" t="s">
        <v>42</v>
      </c>
      <c r="G506" t="s">
        <v>85</v>
      </c>
      <c r="H506" t="s">
        <v>23</v>
      </c>
      <c r="I506" t="s">
        <v>30</v>
      </c>
      <c r="J506">
        <v>25</v>
      </c>
      <c r="K506">
        <v>9091.2000000000007</v>
      </c>
      <c r="L506">
        <v>227280</v>
      </c>
      <c r="M506">
        <v>33040.86</v>
      </c>
      <c r="N506">
        <v>0</v>
      </c>
      <c r="O506">
        <v>194239.14</v>
      </c>
      <c r="P506" t="s">
        <v>25</v>
      </c>
      <c r="Q506" t="s">
        <v>26</v>
      </c>
    </row>
    <row r="507" spans="1:17" x14ac:dyDescent="0.25">
      <c r="A507" t="s">
        <v>624</v>
      </c>
      <c r="B507" s="1">
        <v>45997</v>
      </c>
      <c r="C507" t="s">
        <v>60</v>
      </c>
      <c r="D507" t="s">
        <v>65</v>
      </c>
      <c r="E507" t="s">
        <v>20</v>
      </c>
      <c r="F507" t="s">
        <v>42</v>
      </c>
      <c r="G507" t="s">
        <v>81</v>
      </c>
      <c r="H507" t="s">
        <v>38</v>
      </c>
      <c r="I507" t="s">
        <v>175</v>
      </c>
      <c r="J507">
        <v>44</v>
      </c>
      <c r="K507">
        <v>30929.56</v>
      </c>
      <c r="L507">
        <v>1360900.64</v>
      </c>
      <c r="M507">
        <v>0</v>
      </c>
      <c r="N507">
        <v>0</v>
      </c>
      <c r="O507">
        <v>1360900.64</v>
      </c>
      <c r="P507" t="s">
        <v>31</v>
      </c>
      <c r="Q507" t="s">
        <v>32</v>
      </c>
    </row>
    <row r="508" spans="1:17" x14ac:dyDescent="0.25">
      <c r="A508" t="s">
        <v>625</v>
      </c>
      <c r="B508" s="1">
        <v>46019</v>
      </c>
      <c r="C508" t="s">
        <v>54</v>
      </c>
      <c r="D508" t="s">
        <v>97</v>
      </c>
      <c r="E508" t="s">
        <v>41</v>
      </c>
      <c r="F508" t="s">
        <v>105</v>
      </c>
      <c r="G508" t="s">
        <v>51</v>
      </c>
      <c r="H508" t="s">
        <v>23</v>
      </c>
      <c r="I508" t="s">
        <v>24</v>
      </c>
      <c r="J508">
        <v>11</v>
      </c>
      <c r="K508">
        <v>1894.59</v>
      </c>
      <c r="L508">
        <v>20840.490000000002</v>
      </c>
      <c r="M508">
        <v>2979.92</v>
      </c>
      <c r="N508">
        <v>0</v>
      </c>
      <c r="O508">
        <v>17860.57</v>
      </c>
      <c r="P508" t="s">
        <v>31</v>
      </c>
      <c r="Q508" t="s">
        <v>32</v>
      </c>
    </row>
    <row r="509" spans="1:17" x14ac:dyDescent="0.25">
      <c r="A509" t="s">
        <v>626</v>
      </c>
      <c r="B509" s="1">
        <v>45985</v>
      </c>
      <c r="C509" t="s">
        <v>18</v>
      </c>
      <c r="D509" t="s">
        <v>75</v>
      </c>
      <c r="E509" t="s">
        <v>20</v>
      </c>
      <c r="F509" t="s">
        <v>71</v>
      </c>
      <c r="G509" t="s">
        <v>56</v>
      </c>
      <c r="H509" t="s">
        <v>23</v>
      </c>
      <c r="I509" t="s">
        <v>24</v>
      </c>
      <c r="J509">
        <v>39</v>
      </c>
      <c r="K509">
        <v>29630.35</v>
      </c>
      <c r="L509">
        <v>1155583.6499999999</v>
      </c>
      <c r="M509">
        <v>0</v>
      </c>
      <c r="N509">
        <v>0</v>
      </c>
      <c r="O509">
        <v>1155583.6499999999</v>
      </c>
      <c r="P509" t="s">
        <v>73</v>
      </c>
      <c r="Q509" t="s">
        <v>32</v>
      </c>
    </row>
    <row r="510" spans="1:17" x14ac:dyDescent="0.25">
      <c r="A510" t="s">
        <v>627</v>
      </c>
      <c r="B510" s="1">
        <v>45973</v>
      </c>
      <c r="C510" t="s">
        <v>18</v>
      </c>
      <c r="D510" t="s">
        <v>19</v>
      </c>
      <c r="E510" t="s">
        <v>49</v>
      </c>
      <c r="F510" t="s">
        <v>112</v>
      </c>
      <c r="G510" t="s">
        <v>138</v>
      </c>
      <c r="H510" t="s">
        <v>57</v>
      </c>
      <c r="I510" t="s">
        <v>72</v>
      </c>
      <c r="J510">
        <v>9</v>
      </c>
      <c r="K510">
        <v>28674.61</v>
      </c>
      <c r="L510">
        <v>258071.49</v>
      </c>
      <c r="M510">
        <v>36679.18</v>
      </c>
      <c r="N510">
        <v>0</v>
      </c>
      <c r="O510">
        <v>221392.31</v>
      </c>
      <c r="P510" t="s">
        <v>25</v>
      </c>
      <c r="Q510" t="s">
        <v>26</v>
      </c>
    </row>
    <row r="511" spans="1:17" x14ac:dyDescent="0.25">
      <c r="A511" t="s">
        <v>628</v>
      </c>
      <c r="B511" s="1">
        <v>45962</v>
      </c>
      <c r="C511" t="s">
        <v>18</v>
      </c>
      <c r="D511" t="s">
        <v>19</v>
      </c>
      <c r="E511" t="s">
        <v>20</v>
      </c>
      <c r="F511" t="s">
        <v>137</v>
      </c>
      <c r="G511" t="s">
        <v>89</v>
      </c>
      <c r="H511" t="s">
        <v>67</v>
      </c>
      <c r="I511" t="s">
        <v>68</v>
      </c>
      <c r="J511">
        <v>18</v>
      </c>
      <c r="K511">
        <v>47918.69</v>
      </c>
      <c r="L511">
        <v>862536.42</v>
      </c>
      <c r="M511">
        <v>0</v>
      </c>
      <c r="N511">
        <v>0</v>
      </c>
      <c r="O511">
        <v>862536.42</v>
      </c>
      <c r="P511" t="s">
        <v>31</v>
      </c>
      <c r="Q511" t="s">
        <v>32</v>
      </c>
    </row>
    <row r="512" spans="1:17" x14ac:dyDescent="0.25">
      <c r="A512" t="s">
        <v>629</v>
      </c>
      <c r="B512" s="1">
        <v>45969</v>
      </c>
      <c r="C512" t="s">
        <v>54</v>
      </c>
      <c r="D512" t="s">
        <v>70</v>
      </c>
      <c r="E512" t="s">
        <v>49</v>
      </c>
      <c r="F512" t="s">
        <v>42</v>
      </c>
      <c r="G512" t="s">
        <v>102</v>
      </c>
      <c r="H512" t="s">
        <v>23</v>
      </c>
      <c r="I512" t="s">
        <v>131</v>
      </c>
      <c r="J512">
        <v>34</v>
      </c>
      <c r="K512">
        <v>10407.790000000001</v>
      </c>
      <c r="L512">
        <v>353864.86</v>
      </c>
      <c r="M512">
        <v>49173.79</v>
      </c>
      <c r="N512">
        <v>0</v>
      </c>
      <c r="O512">
        <v>304691.07</v>
      </c>
      <c r="P512" t="s">
        <v>31</v>
      </c>
      <c r="Q512" t="s">
        <v>32</v>
      </c>
    </row>
    <row r="513" spans="1:17" x14ac:dyDescent="0.25">
      <c r="A513" t="s">
        <v>630</v>
      </c>
      <c r="B513" s="1">
        <v>45972</v>
      </c>
      <c r="C513" t="s">
        <v>60</v>
      </c>
      <c r="D513" t="s">
        <v>61</v>
      </c>
      <c r="E513" t="s">
        <v>41</v>
      </c>
      <c r="F513" t="s">
        <v>50</v>
      </c>
      <c r="G513" t="s">
        <v>22</v>
      </c>
      <c r="H513" t="s">
        <v>38</v>
      </c>
      <c r="I513" t="s">
        <v>120</v>
      </c>
      <c r="J513">
        <v>46</v>
      </c>
      <c r="K513">
        <v>46826.03</v>
      </c>
      <c r="L513">
        <v>2153997.38</v>
      </c>
      <c r="M513">
        <v>0</v>
      </c>
      <c r="N513">
        <v>0</v>
      </c>
      <c r="O513">
        <v>2153997.38</v>
      </c>
      <c r="P513" t="s">
        <v>25</v>
      </c>
      <c r="Q513" t="s">
        <v>26</v>
      </c>
    </row>
    <row r="514" spans="1:17" x14ac:dyDescent="0.25">
      <c r="A514" t="s">
        <v>631</v>
      </c>
      <c r="B514" s="1">
        <v>46015</v>
      </c>
      <c r="C514" t="s">
        <v>54</v>
      </c>
      <c r="D514" t="s">
        <v>55</v>
      </c>
      <c r="E514" t="s">
        <v>20</v>
      </c>
      <c r="F514" t="s">
        <v>105</v>
      </c>
      <c r="G514" t="s">
        <v>98</v>
      </c>
      <c r="H514" t="s">
        <v>38</v>
      </c>
      <c r="I514" t="s">
        <v>175</v>
      </c>
      <c r="J514">
        <v>24</v>
      </c>
      <c r="K514">
        <v>30090.77</v>
      </c>
      <c r="L514">
        <v>722178.48</v>
      </c>
      <c r="M514">
        <v>75924.14</v>
      </c>
      <c r="N514">
        <v>0</v>
      </c>
      <c r="O514">
        <v>646254.34</v>
      </c>
      <c r="P514" t="s">
        <v>32</v>
      </c>
      <c r="Q514" t="s">
        <v>32</v>
      </c>
    </row>
    <row r="515" spans="1:17" x14ac:dyDescent="0.25">
      <c r="A515" t="s">
        <v>632</v>
      </c>
      <c r="B515" s="1">
        <v>45954</v>
      </c>
      <c r="C515" t="s">
        <v>54</v>
      </c>
      <c r="D515" t="s">
        <v>55</v>
      </c>
      <c r="E515" t="s">
        <v>41</v>
      </c>
      <c r="F515" t="s">
        <v>50</v>
      </c>
      <c r="G515" t="s">
        <v>56</v>
      </c>
      <c r="H515" t="s">
        <v>23</v>
      </c>
      <c r="I515" t="s">
        <v>30</v>
      </c>
      <c r="J515">
        <v>40</v>
      </c>
      <c r="K515">
        <v>34566.089999999997</v>
      </c>
      <c r="L515">
        <v>1382643.6</v>
      </c>
      <c r="M515">
        <v>38056.33</v>
      </c>
      <c r="N515">
        <v>408002.9</v>
      </c>
      <c r="O515">
        <v>936584.37</v>
      </c>
      <c r="P515" t="s">
        <v>73</v>
      </c>
      <c r="Q515" t="s">
        <v>26</v>
      </c>
    </row>
    <row r="516" spans="1:17" x14ac:dyDescent="0.25">
      <c r="A516" t="s">
        <v>633</v>
      </c>
      <c r="B516" s="1">
        <v>45965</v>
      </c>
      <c r="C516" t="s">
        <v>60</v>
      </c>
      <c r="D516" t="s">
        <v>151</v>
      </c>
      <c r="E516" t="s">
        <v>49</v>
      </c>
      <c r="F516" t="s">
        <v>42</v>
      </c>
      <c r="G516" t="s">
        <v>43</v>
      </c>
      <c r="H516" t="s">
        <v>44</v>
      </c>
      <c r="I516" t="s">
        <v>124</v>
      </c>
      <c r="J516">
        <v>35</v>
      </c>
      <c r="K516">
        <v>45669.120000000003</v>
      </c>
      <c r="L516">
        <v>1598419.2</v>
      </c>
      <c r="M516">
        <v>0</v>
      </c>
      <c r="N516">
        <v>0</v>
      </c>
      <c r="O516">
        <v>1598419.2</v>
      </c>
      <c r="P516" t="s">
        <v>25</v>
      </c>
      <c r="Q516" t="s">
        <v>26</v>
      </c>
    </row>
    <row r="517" spans="1:17" x14ac:dyDescent="0.25">
      <c r="A517" t="s">
        <v>634</v>
      </c>
      <c r="B517" s="1">
        <v>45954</v>
      </c>
      <c r="C517" t="s">
        <v>47</v>
      </c>
      <c r="D517" t="s">
        <v>127</v>
      </c>
      <c r="E517" t="s">
        <v>20</v>
      </c>
      <c r="F517" t="s">
        <v>36</v>
      </c>
      <c r="G517" t="s">
        <v>138</v>
      </c>
      <c r="H517" t="s">
        <v>44</v>
      </c>
      <c r="I517" t="s">
        <v>135</v>
      </c>
      <c r="J517">
        <v>39</v>
      </c>
      <c r="K517">
        <v>49743.26</v>
      </c>
      <c r="L517">
        <v>1939987.14</v>
      </c>
      <c r="M517">
        <v>0</v>
      </c>
      <c r="N517">
        <v>0</v>
      </c>
      <c r="O517">
        <v>1939987.14</v>
      </c>
      <c r="P517" t="s">
        <v>73</v>
      </c>
      <c r="Q517" t="s">
        <v>32</v>
      </c>
    </row>
    <row r="518" spans="1:17" x14ac:dyDescent="0.25">
      <c r="A518" t="s">
        <v>635</v>
      </c>
      <c r="B518" s="1">
        <v>46015</v>
      </c>
      <c r="C518" t="s">
        <v>54</v>
      </c>
      <c r="D518" t="s">
        <v>55</v>
      </c>
      <c r="E518" t="s">
        <v>20</v>
      </c>
      <c r="F518" t="s">
        <v>105</v>
      </c>
      <c r="G518" t="s">
        <v>81</v>
      </c>
      <c r="H518" t="s">
        <v>44</v>
      </c>
      <c r="I518" t="s">
        <v>152</v>
      </c>
      <c r="J518">
        <v>7</v>
      </c>
      <c r="K518">
        <v>26613.33</v>
      </c>
      <c r="L518">
        <v>186293.31</v>
      </c>
      <c r="M518">
        <v>0</v>
      </c>
      <c r="N518">
        <v>0</v>
      </c>
      <c r="O518">
        <v>186293.31</v>
      </c>
      <c r="P518" t="s">
        <v>73</v>
      </c>
      <c r="Q518" t="s">
        <v>32</v>
      </c>
    </row>
    <row r="519" spans="1:17" x14ac:dyDescent="0.25">
      <c r="A519" t="s">
        <v>636</v>
      </c>
      <c r="B519" s="1">
        <v>45974</v>
      </c>
      <c r="C519" t="s">
        <v>60</v>
      </c>
      <c r="D519" t="s">
        <v>151</v>
      </c>
      <c r="E519" t="s">
        <v>20</v>
      </c>
      <c r="F519" t="s">
        <v>112</v>
      </c>
      <c r="G519" t="s">
        <v>140</v>
      </c>
      <c r="H519" t="s">
        <v>57</v>
      </c>
      <c r="I519" t="s">
        <v>72</v>
      </c>
      <c r="J519">
        <v>50</v>
      </c>
      <c r="K519">
        <v>4782.3100000000004</v>
      </c>
      <c r="L519">
        <v>239115.5</v>
      </c>
      <c r="M519">
        <v>42990.51</v>
      </c>
      <c r="N519">
        <v>59653.96</v>
      </c>
      <c r="O519">
        <v>136471.03</v>
      </c>
      <c r="P519" t="s">
        <v>32</v>
      </c>
      <c r="Q519" t="s">
        <v>32</v>
      </c>
    </row>
    <row r="520" spans="1:17" x14ac:dyDescent="0.25">
      <c r="A520" t="s">
        <v>637</v>
      </c>
      <c r="B520" s="1">
        <v>45995</v>
      </c>
      <c r="C520" t="s">
        <v>54</v>
      </c>
      <c r="D520" t="s">
        <v>70</v>
      </c>
      <c r="E520" t="s">
        <v>20</v>
      </c>
      <c r="F520" t="s">
        <v>137</v>
      </c>
      <c r="G520" t="s">
        <v>37</v>
      </c>
      <c r="H520" t="s">
        <v>23</v>
      </c>
      <c r="I520" t="s">
        <v>30</v>
      </c>
      <c r="J520">
        <v>45</v>
      </c>
      <c r="K520">
        <v>13928.57</v>
      </c>
      <c r="L520">
        <v>626785.65</v>
      </c>
      <c r="M520">
        <v>102989.33</v>
      </c>
      <c r="N520">
        <v>0</v>
      </c>
      <c r="O520">
        <v>523796.32</v>
      </c>
      <c r="P520" t="s">
        <v>25</v>
      </c>
      <c r="Q520" t="s">
        <v>26</v>
      </c>
    </row>
    <row r="521" spans="1:17" x14ac:dyDescent="0.25">
      <c r="A521" t="s">
        <v>638</v>
      </c>
      <c r="B521" s="1">
        <v>45986</v>
      </c>
      <c r="C521" t="s">
        <v>79</v>
      </c>
      <c r="D521" t="s">
        <v>107</v>
      </c>
      <c r="E521" t="s">
        <v>41</v>
      </c>
      <c r="F521" t="s">
        <v>42</v>
      </c>
      <c r="G521" t="s">
        <v>43</v>
      </c>
      <c r="H521" t="s">
        <v>57</v>
      </c>
      <c r="I521" t="s">
        <v>92</v>
      </c>
      <c r="J521">
        <v>11</v>
      </c>
      <c r="K521">
        <v>2037.4</v>
      </c>
      <c r="L521">
        <v>22411.4</v>
      </c>
      <c r="M521">
        <v>815.77</v>
      </c>
      <c r="N521">
        <v>777.24</v>
      </c>
      <c r="O521">
        <v>20818.39</v>
      </c>
      <c r="P521" t="s">
        <v>31</v>
      </c>
      <c r="Q521" t="s">
        <v>32</v>
      </c>
    </row>
    <row r="522" spans="1:17" x14ac:dyDescent="0.25">
      <c r="A522" t="s">
        <v>639</v>
      </c>
      <c r="B522" s="1">
        <v>45964</v>
      </c>
      <c r="C522" t="s">
        <v>18</v>
      </c>
      <c r="D522" t="s">
        <v>28</v>
      </c>
      <c r="E522" t="s">
        <v>41</v>
      </c>
      <c r="F522" t="s">
        <v>42</v>
      </c>
      <c r="G522" t="s">
        <v>66</v>
      </c>
      <c r="H522" t="s">
        <v>67</v>
      </c>
      <c r="I522" t="s">
        <v>201</v>
      </c>
      <c r="J522">
        <v>26</v>
      </c>
      <c r="K522">
        <v>3944.06</v>
      </c>
      <c r="L522">
        <v>102545.56</v>
      </c>
      <c r="M522">
        <v>11430.79</v>
      </c>
      <c r="N522">
        <v>0</v>
      </c>
      <c r="O522">
        <v>91114.77</v>
      </c>
      <c r="P522" t="s">
        <v>25</v>
      </c>
      <c r="Q522" t="s">
        <v>26</v>
      </c>
    </row>
    <row r="523" spans="1:17" x14ac:dyDescent="0.25">
      <c r="A523" t="s">
        <v>640</v>
      </c>
      <c r="B523" s="1">
        <v>45956</v>
      </c>
      <c r="C523" t="s">
        <v>54</v>
      </c>
      <c r="D523" t="s">
        <v>70</v>
      </c>
      <c r="E523" t="s">
        <v>41</v>
      </c>
      <c r="F523" t="s">
        <v>105</v>
      </c>
      <c r="G523" t="s">
        <v>56</v>
      </c>
      <c r="H523" t="s">
        <v>57</v>
      </c>
      <c r="I523" t="s">
        <v>118</v>
      </c>
      <c r="J523">
        <v>1</v>
      </c>
      <c r="K523">
        <v>35073.1</v>
      </c>
      <c r="L523">
        <v>35073.1</v>
      </c>
      <c r="M523">
        <v>0</v>
      </c>
      <c r="N523">
        <v>0</v>
      </c>
      <c r="O523">
        <v>35073.1</v>
      </c>
      <c r="P523" t="s">
        <v>73</v>
      </c>
      <c r="Q523" t="s">
        <v>26</v>
      </c>
    </row>
    <row r="524" spans="1:17" x14ac:dyDescent="0.25">
      <c r="A524" t="s">
        <v>641</v>
      </c>
      <c r="B524" s="1">
        <v>46016</v>
      </c>
      <c r="C524" t="s">
        <v>47</v>
      </c>
      <c r="D524" t="s">
        <v>114</v>
      </c>
      <c r="E524" t="s">
        <v>41</v>
      </c>
      <c r="F524" t="s">
        <v>62</v>
      </c>
      <c r="G524" t="s">
        <v>98</v>
      </c>
      <c r="H524" t="s">
        <v>38</v>
      </c>
      <c r="I524" t="s">
        <v>108</v>
      </c>
      <c r="J524">
        <v>24</v>
      </c>
      <c r="K524">
        <v>530.16</v>
      </c>
      <c r="L524">
        <v>12723.84</v>
      </c>
      <c r="M524">
        <v>0</v>
      </c>
      <c r="N524">
        <v>0</v>
      </c>
      <c r="O524">
        <v>12723.84</v>
      </c>
      <c r="P524" t="s">
        <v>73</v>
      </c>
      <c r="Q524" t="s">
        <v>32</v>
      </c>
    </row>
    <row r="525" spans="1:17" x14ac:dyDescent="0.25">
      <c r="A525" t="s">
        <v>642</v>
      </c>
      <c r="B525" s="1">
        <v>45994</v>
      </c>
      <c r="C525" t="s">
        <v>60</v>
      </c>
      <c r="D525" t="s">
        <v>65</v>
      </c>
      <c r="E525" t="s">
        <v>41</v>
      </c>
      <c r="F525" t="s">
        <v>105</v>
      </c>
      <c r="G525" t="s">
        <v>56</v>
      </c>
      <c r="H525" t="s">
        <v>94</v>
      </c>
      <c r="I525" t="s">
        <v>144</v>
      </c>
      <c r="J525">
        <v>26</v>
      </c>
      <c r="K525">
        <v>24286.21</v>
      </c>
      <c r="L525">
        <v>631441.46</v>
      </c>
      <c r="M525">
        <v>47205.93</v>
      </c>
      <c r="N525">
        <v>0</v>
      </c>
      <c r="O525">
        <v>584235.53</v>
      </c>
      <c r="P525" t="s">
        <v>73</v>
      </c>
      <c r="Q525" t="s">
        <v>32</v>
      </c>
    </row>
    <row r="526" spans="1:17" x14ac:dyDescent="0.25">
      <c r="A526" t="s">
        <v>643</v>
      </c>
      <c r="B526" s="1">
        <v>46000</v>
      </c>
      <c r="C526" t="s">
        <v>54</v>
      </c>
      <c r="D526" t="s">
        <v>133</v>
      </c>
      <c r="E526" t="s">
        <v>49</v>
      </c>
      <c r="F526" t="s">
        <v>84</v>
      </c>
      <c r="G526" t="s">
        <v>102</v>
      </c>
      <c r="H526" t="s">
        <v>94</v>
      </c>
      <c r="I526" t="s">
        <v>95</v>
      </c>
      <c r="J526">
        <v>30</v>
      </c>
      <c r="K526">
        <v>2769.12</v>
      </c>
      <c r="L526">
        <v>83073.600000000006</v>
      </c>
      <c r="M526">
        <v>0</v>
      </c>
      <c r="N526">
        <v>0</v>
      </c>
      <c r="O526">
        <v>83073.600000000006</v>
      </c>
      <c r="P526" t="s">
        <v>73</v>
      </c>
      <c r="Q526" t="s">
        <v>32</v>
      </c>
    </row>
    <row r="527" spans="1:17" x14ac:dyDescent="0.25">
      <c r="A527" t="s">
        <v>644</v>
      </c>
      <c r="B527" s="1">
        <v>46025</v>
      </c>
      <c r="C527" t="s">
        <v>18</v>
      </c>
      <c r="D527" t="s">
        <v>28</v>
      </c>
      <c r="E527" t="s">
        <v>49</v>
      </c>
      <c r="F527" t="s">
        <v>50</v>
      </c>
      <c r="G527" t="s">
        <v>37</v>
      </c>
      <c r="H527" t="s">
        <v>94</v>
      </c>
      <c r="I527" t="s">
        <v>115</v>
      </c>
      <c r="J527">
        <v>41</v>
      </c>
      <c r="K527">
        <v>34398.99</v>
      </c>
      <c r="L527">
        <v>1410358.59</v>
      </c>
      <c r="M527">
        <v>89155.47</v>
      </c>
      <c r="N527">
        <v>0</v>
      </c>
      <c r="O527">
        <v>1321203.1200000001</v>
      </c>
      <c r="P527" t="s">
        <v>25</v>
      </c>
      <c r="Q527" t="s">
        <v>26</v>
      </c>
    </row>
    <row r="528" spans="1:17" x14ac:dyDescent="0.25">
      <c r="A528" t="s">
        <v>645</v>
      </c>
      <c r="B528" s="1">
        <v>46044</v>
      </c>
      <c r="C528" t="s">
        <v>18</v>
      </c>
      <c r="D528" t="s">
        <v>34</v>
      </c>
      <c r="E528" t="s">
        <v>20</v>
      </c>
      <c r="F528" t="s">
        <v>84</v>
      </c>
      <c r="G528" t="s">
        <v>22</v>
      </c>
      <c r="H528" t="s">
        <v>67</v>
      </c>
      <c r="I528" t="s">
        <v>68</v>
      </c>
      <c r="J528">
        <v>25</v>
      </c>
      <c r="K528">
        <v>1229.57</v>
      </c>
      <c r="L528">
        <v>30739.25</v>
      </c>
      <c r="M528">
        <v>1435.4</v>
      </c>
      <c r="N528">
        <v>0</v>
      </c>
      <c r="O528">
        <v>29303.85</v>
      </c>
      <c r="P528" t="s">
        <v>32</v>
      </c>
      <c r="Q528" t="s">
        <v>32</v>
      </c>
    </row>
    <row r="529" spans="1:17" x14ac:dyDescent="0.25">
      <c r="A529" t="s">
        <v>646</v>
      </c>
      <c r="B529" s="1">
        <v>45960</v>
      </c>
      <c r="C529" t="s">
        <v>79</v>
      </c>
      <c r="D529" t="s">
        <v>80</v>
      </c>
      <c r="E529" t="s">
        <v>20</v>
      </c>
      <c r="F529" t="s">
        <v>137</v>
      </c>
      <c r="G529" t="s">
        <v>63</v>
      </c>
      <c r="H529" t="s">
        <v>38</v>
      </c>
      <c r="I529" t="s">
        <v>86</v>
      </c>
      <c r="J529">
        <v>48</v>
      </c>
      <c r="K529">
        <v>44758.84</v>
      </c>
      <c r="L529">
        <v>2148424.3199999998</v>
      </c>
      <c r="M529">
        <v>15067.78</v>
      </c>
      <c r="N529">
        <v>0</v>
      </c>
      <c r="O529">
        <v>2133356.54</v>
      </c>
      <c r="P529" t="s">
        <v>25</v>
      </c>
      <c r="Q529" t="s">
        <v>26</v>
      </c>
    </row>
    <row r="530" spans="1:17" x14ac:dyDescent="0.25">
      <c r="A530" t="s">
        <v>647</v>
      </c>
      <c r="B530" s="1">
        <v>45994</v>
      </c>
      <c r="C530" t="s">
        <v>47</v>
      </c>
      <c r="D530" t="s">
        <v>48</v>
      </c>
      <c r="E530" t="s">
        <v>49</v>
      </c>
      <c r="F530" t="s">
        <v>84</v>
      </c>
      <c r="G530" t="s">
        <v>98</v>
      </c>
      <c r="H530" t="s">
        <v>23</v>
      </c>
      <c r="I530" t="s">
        <v>131</v>
      </c>
      <c r="J530">
        <v>3</v>
      </c>
      <c r="K530">
        <v>24386.23</v>
      </c>
      <c r="L530">
        <v>73158.69</v>
      </c>
      <c r="M530">
        <v>0</v>
      </c>
      <c r="N530">
        <v>0</v>
      </c>
      <c r="O530">
        <v>73158.69</v>
      </c>
      <c r="P530" t="s">
        <v>32</v>
      </c>
      <c r="Q530" t="s">
        <v>26</v>
      </c>
    </row>
    <row r="531" spans="1:17" x14ac:dyDescent="0.25">
      <c r="A531" t="s">
        <v>648</v>
      </c>
      <c r="B531" s="1">
        <v>45961</v>
      </c>
      <c r="C531" t="s">
        <v>47</v>
      </c>
      <c r="D531" t="s">
        <v>88</v>
      </c>
      <c r="E531" t="s">
        <v>35</v>
      </c>
      <c r="F531" t="s">
        <v>62</v>
      </c>
      <c r="G531" t="s">
        <v>138</v>
      </c>
      <c r="H531" t="s">
        <v>44</v>
      </c>
      <c r="I531" t="s">
        <v>135</v>
      </c>
      <c r="J531">
        <v>2</v>
      </c>
      <c r="K531">
        <v>26612.95</v>
      </c>
      <c r="L531">
        <v>53225.9</v>
      </c>
      <c r="M531">
        <v>1842.6</v>
      </c>
      <c r="N531">
        <v>0</v>
      </c>
      <c r="O531">
        <v>51383.3</v>
      </c>
      <c r="P531" t="s">
        <v>25</v>
      </c>
      <c r="Q531" t="s">
        <v>26</v>
      </c>
    </row>
    <row r="532" spans="1:17" x14ac:dyDescent="0.25">
      <c r="A532" t="s">
        <v>649</v>
      </c>
      <c r="B532" s="1">
        <v>46012</v>
      </c>
      <c r="C532" t="s">
        <v>54</v>
      </c>
      <c r="D532" t="s">
        <v>133</v>
      </c>
      <c r="E532" t="s">
        <v>49</v>
      </c>
      <c r="F532" t="s">
        <v>42</v>
      </c>
      <c r="G532" t="s">
        <v>37</v>
      </c>
      <c r="H532" t="s">
        <v>38</v>
      </c>
      <c r="I532" t="s">
        <v>108</v>
      </c>
      <c r="J532">
        <v>44</v>
      </c>
      <c r="K532">
        <v>42834.75</v>
      </c>
      <c r="L532">
        <v>1884729</v>
      </c>
      <c r="M532">
        <v>125446.85</v>
      </c>
      <c r="N532">
        <v>0</v>
      </c>
      <c r="O532">
        <v>1759282.15</v>
      </c>
      <c r="P532" t="s">
        <v>32</v>
      </c>
      <c r="Q532" t="s">
        <v>32</v>
      </c>
    </row>
    <row r="533" spans="1:17" x14ac:dyDescent="0.25">
      <c r="A533" t="s">
        <v>650</v>
      </c>
      <c r="B533" s="1">
        <v>46014</v>
      </c>
      <c r="C533" t="s">
        <v>60</v>
      </c>
      <c r="D533" t="s">
        <v>61</v>
      </c>
      <c r="E533" t="s">
        <v>20</v>
      </c>
      <c r="F533" t="s">
        <v>105</v>
      </c>
      <c r="G533" t="s">
        <v>66</v>
      </c>
      <c r="H533" t="s">
        <v>94</v>
      </c>
      <c r="I533" t="s">
        <v>177</v>
      </c>
      <c r="J533">
        <v>35</v>
      </c>
      <c r="K533">
        <v>7687.16</v>
      </c>
      <c r="L533">
        <v>269050.59999999998</v>
      </c>
      <c r="M533">
        <v>50077.04</v>
      </c>
      <c r="N533">
        <v>26657.24</v>
      </c>
      <c r="O533">
        <v>192316.32</v>
      </c>
      <c r="P533" t="s">
        <v>32</v>
      </c>
      <c r="Q533" t="s">
        <v>32</v>
      </c>
    </row>
    <row r="534" spans="1:17" x14ac:dyDescent="0.25">
      <c r="A534" t="s">
        <v>651</v>
      </c>
      <c r="B534" s="1">
        <v>46003</v>
      </c>
      <c r="C534" t="s">
        <v>60</v>
      </c>
      <c r="D534" t="s">
        <v>151</v>
      </c>
      <c r="E534" t="s">
        <v>41</v>
      </c>
      <c r="F534" t="s">
        <v>105</v>
      </c>
      <c r="G534" t="s">
        <v>43</v>
      </c>
      <c r="H534" t="s">
        <v>67</v>
      </c>
      <c r="I534" t="s">
        <v>103</v>
      </c>
      <c r="J534">
        <v>11</v>
      </c>
      <c r="K534">
        <v>39484.199999999997</v>
      </c>
      <c r="L534">
        <v>434326.2</v>
      </c>
      <c r="M534">
        <v>0</v>
      </c>
      <c r="N534">
        <v>0</v>
      </c>
      <c r="O534">
        <v>434326.2</v>
      </c>
      <c r="P534" t="s">
        <v>25</v>
      </c>
      <c r="Q534" t="s">
        <v>26</v>
      </c>
    </row>
    <row r="535" spans="1:17" x14ac:dyDescent="0.25">
      <c r="A535" t="s">
        <v>652</v>
      </c>
      <c r="B535" s="1">
        <v>45976</v>
      </c>
      <c r="C535" t="s">
        <v>79</v>
      </c>
      <c r="D535" t="s">
        <v>107</v>
      </c>
      <c r="E535" t="s">
        <v>41</v>
      </c>
      <c r="F535" t="s">
        <v>42</v>
      </c>
      <c r="G535" t="s">
        <v>140</v>
      </c>
      <c r="H535" t="s">
        <v>23</v>
      </c>
      <c r="I535" t="s">
        <v>52</v>
      </c>
      <c r="J535">
        <v>30</v>
      </c>
      <c r="K535">
        <v>28991.64</v>
      </c>
      <c r="L535">
        <v>869749.2</v>
      </c>
      <c r="M535">
        <v>102461.72</v>
      </c>
      <c r="N535">
        <v>64165.58</v>
      </c>
      <c r="O535">
        <v>703121.9</v>
      </c>
      <c r="P535" t="s">
        <v>25</v>
      </c>
      <c r="Q535" t="s">
        <v>128</v>
      </c>
    </row>
    <row r="536" spans="1:17" x14ac:dyDescent="0.25">
      <c r="A536" t="s">
        <v>653</v>
      </c>
      <c r="B536" s="1">
        <v>45961</v>
      </c>
      <c r="C536" t="s">
        <v>18</v>
      </c>
      <c r="D536" t="s">
        <v>19</v>
      </c>
      <c r="E536" t="s">
        <v>49</v>
      </c>
      <c r="F536" t="s">
        <v>71</v>
      </c>
      <c r="G536" t="s">
        <v>63</v>
      </c>
      <c r="H536" t="s">
        <v>38</v>
      </c>
      <c r="I536" t="s">
        <v>108</v>
      </c>
      <c r="J536">
        <v>27</v>
      </c>
      <c r="K536">
        <v>50137.37</v>
      </c>
      <c r="L536">
        <v>1353708.99</v>
      </c>
      <c r="M536">
        <v>47117.2</v>
      </c>
      <c r="N536">
        <v>0</v>
      </c>
      <c r="O536">
        <v>1306591.79</v>
      </c>
      <c r="P536" t="s">
        <v>73</v>
      </c>
      <c r="Q536" t="s">
        <v>26</v>
      </c>
    </row>
    <row r="537" spans="1:17" x14ac:dyDescent="0.25">
      <c r="A537" t="s">
        <v>654</v>
      </c>
      <c r="B537" s="1">
        <v>46011</v>
      </c>
      <c r="C537" t="s">
        <v>18</v>
      </c>
      <c r="D537" t="s">
        <v>34</v>
      </c>
      <c r="E537" t="s">
        <v>41</v>
      </c>
      <c r="F537" t="s">
        <v>137</v>
      </c>
      <c r="G537" t="s">
        <v>89</v>
      </c>
      <c r="H537" t="s">
        <v>44</v>
      </c>
      <c r="I537" t="s">
        <v>152</v>
      </c>
      <c r="J537">
        <v>25</v>
      </c>
      <c r="K537">
        <v>3543.55</v>
      </c>
      <c r="L537">
        <v>88588.75</v>
      </c>
      <c r="M537">
        <v>0</v>
      </c>
      <c r="N537">
        <v>14759.81</v>
      </c>
      <c r="O537">
        <v>73828.94</v>
      </c>
      <c r="P537" t="s">
        <v>32</v>
      </c>
      <c r="Q537" t="s">
        <v>32</v>
      </c>
    </row>
    <row r="538" spans="1:17" x14ac:dyDescent="0.25">
      <c r="A538" t="s">
        <v>655</v>
      </c>
      <c r="B538" s="1">
        <v>46025</v>
      </c>
      <c r="C538" t="s">
        <v>79</v>
      </c>
      <c r="D538" t="s">
        <v>101</v>
      </c>
      <c r="E538" t="s">
        <v>20</v>
      </c>
      <c r="F538" t="s">
        <v>84</v>
      </c>
      <c r="G538" t="s">
        <v>22</v>
      </c>
      <c r="H538" t="s">
        <v>57</v>
      </c>
      <c r="I538" t="s">
        <v>160</v>
      </c>
      <c r="J538">
        <v>41</v>
      </c>
      <c r="K538">
        <v>30673.95</v>
      </c>
      <c r="L538">
        <v>1257631.95</v>
      </c>
      <c r="M538">
        <v>0</v>
      </c>
      <c r="N538">
        <v>0</v>
      </c>
      <c r="O538">
        <v>1257631.95</v>
      </c>
      <c r="P538" t="s">
        <v>31</v>
      </c>
      <c r="Q538" t="s">
        <v>32</v>
      </c>
    </row>
    <row r="539" spans="1:17" x14ac:dyDescent="0.25">
      <c r="A539" t="s">
        <v>656</v>
      </c>
      <c r="B539" s="1">
        <v>46040</v>
      </c>
      <c r="C539" t="s">
        <v>47</v>
      </c>
      <c r="D539" t="s">
        <v>88</v>
      </c>
      <c r="E539" t="s">
        <v>41</v>
      </c>
      <c r="F539" t="s">
        <v>84</v>
      </c>
      <c r="G539" t="s">
        <v>29</v>
      </c>
      <c r="H539" t="s">
        <v>57</v>
      </c>
      <c r="I539" t="s">
        <v>160</v>
      </c>
      <c r="J539">
        <v>12</v>
      </c>
      <c r="K539">
        <v>45565.67</v>
      </c>
      <c r="L539">
        <v>546788.04</v>
      </c>
      <c r="M539">
        <v>6533.84</v>
      </c>
      <c r="N539">
        <v>0</v>
      </c>
      <c r="O539">
        <v>540254.19999999995</v>
      </c>
      <c r="P539" t="s">
        <v>25</v>
      </c>
      <c r="Q539" t="s">
        <v>26</v>
      </c>
    </row>
    <row r="540" spans="1:17" x14ac:dyDescent="0.25">
      <c r="A540" t="s">
        <v>657</v>
      </c>
      <c r="B540" s="1">
        <v>45978</v>
      </c>
      <c r="C540" t="s">
        <v>54</v>
      </c>
      <c r="D540" t="s">
        <v>70</v>
      </c>
      <c r="E540" t="s">
        <v>20</v>
      </c>
      <c r="F540" t="s">
        <v>42</v>
      </c>
      <c r="G540" t="s">
        <v>63</v>
      </c>
      <c r="H540" t="s">
        <v>57</v>
      </c>
      <c r="I540" t="s">
        <v>148</v>
      </c>
      <c r="J540">
        <v>47</v>
      </c>
      <c r="K540">
        <v>9025.11</v>
      </c>
      <c r="L540">
        <v>424180.17</v>
      </c>
      <c r="M540">
        <v>0</v>
      </c>
      <c r="N540">
        <v>0</v>
      </c>
      <c r="O540">
        <v>424180.17</v>
      </c>
      <c r="P540" t="s">
        <v>25</v>
      </c>
      <c r="Q540" t="s">
        <v>128</v>
      </c>
    </row>
    <row r="541" spans="1:17" x14ac:dyDescent="0.25">
      <c r="A541" t="s">
        <v>658</v>
      </c>
      <c r="B541" s="1">
        <v>46011</v>
      </c>
      <c r="C541" t="s">
        <v>79</v>
      </c>
      <c r="D541" t="s">
        <v>80</v>
      </c>
      <c r="E541" t="s">
        <v>35</v>
      </c>
      <c r="F541" t="s">
        <v>137</v>
      </c>
      <c r="G541" t="s">
        <v>85</v>
      </c>
      <c r="H541" t="s">
        <v>38</v>
      </c>
      <c r="I541" t="s">
        <v>39</v>
      </c>
      <c r="J541">
        <v>27</v>
      </c>
      <c r="K541">
        <v>43201.63</v>
      </c>
      <c r="L541">
        <v>1166444.01</v>
      </c>
      <c r="M541">
        <v>5585.34</v>
      </c>
      <c r="N541">
        <v>0</v>
      </c>
      <c r="O541">
        <v>1160858.67</v>
      </c>
      <c r="P541" t="s">
        <v>31</v>
      </c>
      <c r="Q541" t="s">
        <v>32</v>
      </c>
    </row>
    <row r="542" spans="1:17" x14ac:dyDescent="0.25">
      <c r="A542" t="s">
        <v>659</v>
      </c>
      <c r="B542" s="1">
        <v>45999</v>
      </c>
      <c r="C542" t="s">
        <v>60</v>
      </c>
      <c r="D542" t="s">
        <v>151</v>
      </c>
      <c r="E542" t="s">
        <v>20</v>
      </c>
      <c r="F542" t="s">
        <v>105</v>
      </c>
      <c r="G542" t="s">
        <v>81</v>
      </c>
      <c r="H542" t="s">
        <v>67</v>
      </c>
      <c r="I542" t="s">
        <v>170</v>
      </c>
      <c r="J542">
        <v>6</v>
      </c>
      <c r="K542">
        <v>18672.080000000002</v>
      </c>
      <c r="L542">
        <v>112032.48</v>
      </c>
      <c r="M542">
        <v>2313.0700000000002</v>
      </c>
      <c r="N542">
        <v>11335.66</v>
      </c>
      <c r="O542">
        <v>98383.75</v>
      </c>
      <c r="P542" t="s">
        <v>25</v>
      </c>
      <c r="Q542" t="s">
        <v>26</v>
      </c>
    </row>
    <row r="543" spans="1:17" x14ac:dyDescent="0.25">
      <c r="A543" t="s">
        <v>660</v>
      </c>
      <c r="B543" s="1">
        <v>45992</v>
      </c>
      <c r="C543" t="s">
        <v>79</v>
      </c>
      <c r="D543" t="s">
        <v>107</v>
      </c>
      <c r="E543" t="s">
        <v>41</v>
      </c>
      <c r="F543" t="s">
        <v>137</v>
      </c>
      <c r="G543" t="s">
        <v>89</v>
      </c>
      <c r="H543" t="s">
        <v>23</v>
      </c>
      <c r="I543" t="s">
        <v>30</v>
      </c>
      <c r="J543">
        <v>50</v>
      </c>
      <c r="K543">
        <v>25952.98</v>
      </c>
      <c r="L543">
        <v>1297649</v>
      </c>
      <c r="M543">
        <v>56229.440000000002</v>
      </c>
      <c r="N543">
        <v>0</v>
      </c>
      <c r="O543">
        <v>1241419.56</v>
      </c>
      <c r="P543" t="s">
        <v>31</v>
      </c>
      <c r="Q543" t="s">
        <v>32</v>
      </c>
    </row>
    <row r="544" spans="1:17" x14ac:dyDescent="0.25">
      <c r="A544" t="s">
        <v>661</v>
      </c>
      <c r="B544" s="1">
        <v>45995</v>
      </c>
      <c r="C544" t="s">
        <v>79</v>
      </c>
      <c r="D544" t="s">
        <v>80</v>
      </c>
      <c r="E544" t="s">
        <v>41</v>
      </c>
      <c r="F544" t="s">
        <v>137</v>
      </c>
      <c r="G544" t="s">
        <v>51</v>
      </c>
      <c r="H544" t="s">
        <v>23</v>
      </c>
      <c r="I544" t="s">
        <v>99</v>
      </c>
      <c r="J544">
        <v>5</v>
      </c>
      <c r="K544">
        <v>7917.94</v>
      </c>
      <c r="L544">
        <v>39589.699999999997</v>
      </c>
      <c r="M544">
        <v>4551.25</v>
      </c>
      <c r="N544">
        <v>0</v>
      </c>
      <c r="O544">
        <v>35038.449999999997</v>
      </c>
      <c r="P544" t="s">
        <v>25</v>
      </c>
      <c r="Q544" t="s">
        <v>26</v>
      </c>
    </row>
    <row r="545" spans="1:17" x14ac:dyDescent="0.25">
      <c r="A545" t="s">
        <v>662</v>
      </c>
      <c r="B545" s="1">
        <v>46034</v>
      </c>
      <c r="C545" t="s">
        <v>60</v>
      </c>
      <c r="D545" t="s">
        <v>65</v>
      </c>
      <c r="E545" t="s">
        <v>41</v>
      </c>
      <c r="F545" t="s">
        <v>84</v>
      </c>
      <c r="G545" t="s">
        <v>51</v>
      </c>
      <c r="H545" t="s">
        <v>38</v>
      </c>
      <c r="I545" t="s">
        <v>39</v>
      </c>
      <c r="J545">
        <v>15</v>
      </c>
      <c r="K545">
        <v>33610.019999999997</v>
      </c>
      <c r="L545">
        <v>504150.3</v>
      </c>
      <c r="M545">
        <v>52571.23</v>
      </c>
      <c r="N545">
        <v>19679.54</v>
      </c>
      <c r="O545">
        <v>431899.53</v>
      </c>
      <c r="P545" t="s">
        <v>31</v>
      </c>
      <c r="Q545" t="s">
        <v>32</v>
      </c>
    </row>
    <row r="546" spans="1:17" x14ac:dyDescent="0.25">
      <c r="A546" t="s">
        <v>663</v>
      </c>
      <c r="B546" s="1">
        <v>46003</v>
      </c>
      <c r="C546" t="s">
        <v>79</v>
      </c>
      <c r="D546" t="s">
        <v>91</v>
      </c>
      <c r="E546" t="s">
        <v>20</v>
      </c>
      <c r="F546" t="s">
        <v>36</v>
      </c>
      <c r="G546" t="s">
        <v>102</v>
      </c>
      <c r="H546" t="s">
        <v>23</v>
      </c>
      <c r="I546" t="s">
        <v>24</v>
      </c>
      <c r="J546">
        <v>15</v>
      </c>
      <c r="K546">
        <v>14002.48</v>
      </c>
      <c r="L546">
        <v>210037.2</v>
      </c>
      <c r="M546">
        <v>37322.370000000003</v>
      </c>
      <c r="N546">
        <v>0</v>
      </c>
      <c r="O546">
        <v>172714.83</v>
      </c>
      <c r="P546" t="s">
        <v>73</v>
      </c>
      <c r="Q546" t="s">
        <v>26</v>
      </c>
    </row>
    <row r="547" spans="1:17" x14ac:dyDescent="0.25">
      <c r="A547" t="s">
        <v>664</v>
      </c>
      <c r="B547" s="1">
        <v>45991</v>
      </c>
      <c r="C547" t="s">
        <v>54</v>
      </c>
      <c r="D547" t="s">
        <v>133</v>
      </c>
      <c r="E547" t="s">
        <v>41</v>
      </c>
      <c r="F547" t="s">
        <v>84</v>
      </c>
      <c r="G547" t="s">
        <v>85</v>
      </c>
      <c r="H547" t="s">
        <v>57</v>
      </c>
      <c r="I547" t="s">
        <v>58</v>
      </c>
      <c r="J547">
        <v>47</v>
      </c>
      <c r="K547">
        <v>6520.71</v>
      </c>
      <c r="L547">
        <v>306473.37</v>
      </c>
      <c r="M547">
        <v>58913.73</v>
      </c>
      <c r="N547">
        <v>0</v>
      </c>
      <c r="O547">
        <v>247559.64</v>
      </c>
      <c r="P547" t="s">
        <v>73</v>
      </c>
      <c r="Q547" t="s">
        <v>26</v>
      </c>
    </row>
    <row r="548" spans="1:17" x14ac:dyDescent="0.25">
      <c r="A548" t="s">
        <v>665</v>
      </c>
      <c r="B548" s="1">
        <v>45981</v>
      </c>
      <c r="C548" t="s">
        <v>60</v>
      </c>
      <c r="D548" t="s">
        <v>151</v>
      </c>
      <c r="E548" t="s">
        <v>49</v>
      </c>
      <c r="F548" t="s">
        <v>50</v>
      </c>
      <c r="G548" t="s">
        <v>138</v>
      </c>
      <c r="H548" t="s">
        <v>44</v>
      </c>
      <c r="I548" t="s">
        <v>135</v>
      </c>
      <c r="J548">
        <v>9</v>
      </c>
      <c r="K548">
        <v>34329.74</v>
      </c>
      <c r="L548">
        <v>308967.65999999997</v>
      </c>
      <c r="M548">
        <v>0</v>
      </c>
      <c r="N548">
        <v>0</v>
      </c>
      <c r="O548">
        <v>308967.65999999997</v>
      </c>
      <c r="P548" t="s">
        <v>32</v>
      </c>
      <c r="Q548" t="s">
        <v>32</v>
      </c>
    </row>
    <row r="549" spans="1:17" x14ac:dyDescent="0.25">
      <c r="A549" t="s">
        <v>666</v>
      </c>
      <c r="B549" s="1">
        <v>45984</v>
      </c>
      <c r="C549" t="s">
        <v>60</v>
      </c>
      <c r="D549" t="s">
        <v>123</v>
      </c>
      <c r="E549" t="s">
        <v>20</v>
      </c>
      <c r="F549" t="s">
        <v>105</v>
      </c>
      <c r="G549" t="s">
        <v>66</v>
      </c>
      <c r="H549" t="s">
        <v>57</v>
      </c>
      <c r="I549" t="s">
        <v>148</v>
      </c>
      <c r="J549">
        <v>25</v>
      </c>
      <c r="K549">
        <v>42533.2</v>
      </c>
      <c r="L549">
        <v>1063330</v>
      </c>
      <c r="M549">
        <v>25543.439999999999</v>
      </c>
      <c r="N549">
        <v>0</v>
      </c>
      <c r="O549">
        <v>1037786.56</v>
      </c>
      <c r="P549" t="s">
        <v>73</v>
      </c>
      <c r="Q549" t="s">
        <v>32</v>
      </c>
    </row>
    <row r="550" spans="1:17" x14ac:dyDescent="0.25">
      <c r="A550" t="s">
        <v>667</v>
      </c>
      <c r="B550" s="1">
        <v>45956</v>
      </c>
      <c r="C550" t="s">
        <v>54</v>
      </c>
      <c r="D550" t="s">
        <v>97</v>
      </c>
      <c r="E550" t="s">
        <v>41</v>
      </c>
      <c r="F550" t="s">
        <v>84</v>
      </c>
      <c r="G550" t="s">
        <v>140</v>
      </c>
      <c r="H550" t="s">
        <v>44</v>
      </c>
      <c r="I550" t="s">
        <v>152</v>
      </c>
      <c r="J550">
        <v>42</v>
      </c>
      <c r="K550">
        <v>24580.639999999999</v>
      </c>
      <c r="L550">
        <v>1032386.88</v>
      </c>
      <c r="M550">
        <v>0</v>
      </c>
      <c r="N550">
        <v>0</v>
      </c>
      <c r="O550">
        <v>1032386.88</v>
      </c>
      <c r="P550" t="s">
        <v>73</v>
      </c>
      <c r="Q550" t="s">
        <v>26</v>
      </c>
    </row>
    <row r="551" spans="1:17" x14ac:dyDescent="0.25">
      <c r="A551" t="s">
        <v>668</v>
      </c>
      <c r="B551" s="1">
        <v>46025</v>
      </c>
      <c r="C551" t="s">
        <v>54</v>
      </c>
      <c r="D551" t="s">
        <v>97</v>
      </c>
      <c r="E551" t="s">
        <v>49</v>
      </c>
      <c r="F551" t="s">
        <v>50</v>
      </c>
      <c r="G551" t="s">
        <v>138</v>
      </c>
      <c r="H551" t="s">
        <v>23</v>
      </c>
      <c r="I551" t="s">
        <v>30</v>
      </c>
      <c r="J551">
        <v>39</v>
      </c>
      <c r="K551">
        <v>48128.49</v>
      </c>
      <c r="L551">
        <v>1877011.11</v>
      </c>
      <c r="M551">
        <v>0</v>
      </c>
      <c r="N551">
        <v>0</v>
      </c>
      <c r="O551">
        <v>1877011.11</v>
      </c>
      <c r="P551" t="s">
        <v>31</v>
      </c>
      <c r="Q551" t="s">
        <v>32</v>
      </c>
    </row>
    <row r="552" spans="1:17" x14ac:dyDescent="0.25">
      <c r="A552" t="s">
        <v>669</v>
      </c>
      <c r="B552" s="1">
        <v>46004</v>
      </c>
      <c r="C552" t="s">
        <v>79</v>
      </c>
      <c r="D552" t="s">
        <v>91</v>
      </c>
      <c r="E552" t="s">
        <v>41</v>
      </c>
      <c r="F552" t="s">
        <v>105</v>
      </c>
      <c r="G552" t="s">
        <v>140</v>
      </c>
      <c r="H552" t="s">
        <v>67</v>
      </c>
      <c r="I552" t="s">
        <v>103</v>
      </c>
      <c r="J552">
        <v>45</v>
      </c>
      <c r="K552">
        <v>21109.919999999998</v>
      </c>
      <c r="L552">
        <v>949946.4</v>
      </c>
      <c r="M552">
        <v>26534.2</v>
      </c>
      <c r="N552">
        <v>0</v>
      </c>
      <c r="O552">
        <v>923412.2</v>
      </c>
      <c r="P552" t="s">
        <v>31</v>
      </c>
      <c r="Q552" t="s">
        <v>32</v>
      </c>
    </row>
    <row r="553" spans="1:17" x14ac:dyDescent="0.25">
      <c r="A553" t="s">
        <v>670</v>
      </c>
      <c r="B553" s="1">
        <v>46025</v>
      </c>
      <c r="C553" t="s">
        <v>79</v>
      </c>
      <c r="D553" t="s">
        <v>101</v>
      </c>
      <c r="E553" t="s">
        <v>41</v>
      </c>
      <c r="F553" t="s">
        <v>84</v>
      </c>
      <c r="G553" t="s">
        <v>29</v>
      </c>
      <c r="H553" t="s">
        <v>94</v>
      </c>
      <c r="I553" t="s">
        <v>95</v>
      </c>
      <c r="J553">
        <v>39</v>
      </c>
      <c r="K553">
        <v>30725.89</v>
      </c>
      <c r="L553">
        <v>1198309.71</v>
      </c>
      <c r="M553">
        <v>0</v>
      </c>
      <c r="N553">
        <v>0</v>
      </c>
      <c r="O553">
        <v>1198309.71</v>
      </c>
      <c r="P553" t="s">
        <v>31</v>
      </c>
      <c r="Q553" t="s">
        <v>32</v>
      </c>
    </row>
    <row r="554" spans="1:17" x14ac:dyDescent="0.25">
      <c r="A554" t="s">
        <v>671</v>
      </c>
      <c r="B554" s="1">
        <v>45976</v>
      </c>
      <c r="C554" t="s">
        <v>54</v>
      </c>
      <c r="D554" t="s">
        <v>97</v>
      </c>
      <c r="E554" t="s">
        <v>41</v>
      </c>
      <c r="F554" t="s">
        <v>21</v>
      </c>
      <c r="G554" t="s">
        <v>66</v>
      </c>
      <c r="H554" t="s">
        <v>38</v>
      </c>
      <c r="I554" t="s">
        <v>82</v>
      </c>
      <c r="J554">
        <v>26</v>
      </c>
      <c r="K554">
        <v>19736.57</v>
      </c>
      <c r="L554">
        <v>513150.82</v>
      </c>
      <c r="M554">
        <v>0</v>
      </c>
      <c r="N554">
        <v>0</v>
      </c>
      <c r="O554">
        <v>513150.82</v>
      </c>
      <c r="P554" t="s">
        <v>25</v>
      </c>
      <c r="Q554" t="s">
        <v>128</v>
      </c>
    </row>
    <row r="555" spans="1:17" x14ac:dyDescent="0.25">
      <c r="A555" t="s">
        <v>672</v>
      </c>
      <c r="B555" s="1">
        <v>46027</v>
      </c>
      <c r="C555" t="s">
        <v>54</v>
      </c>
      <c r="D555" t="s">
        <v>55</v>
      </c>
      <c r="E555" t="s">
        <v>35</v>
      </c>
      <c r="F555" t="s">
        <v>21</v>
      </c>
      <c r="G555" t="s">
        <v>102</v>
      </c>
      <c r="H555" t="s">
        <v>23</v>
      </c>
      <c r="I555" t="s">
        <v>24</v>
      </c>
      <c r="J555">
        <v>20</v>
      </c>
      <c r="K555">
        <v>33165.31</v>
      </c>
      <c r="L555">
        <v>663306.19999999995</v>
      </c>
      <c r="M555">
        <v>111730.68</v>
      </c>
      <c r="N555">
        <v>0</v>
      </c>
      <c r="O555">
        <v>551575.52</v>
      </c>
      <c r="P555" t="s">
        <v>32</v>
      </c>
      <c r="Q555" t="s">
        <v>26</v>
      </c>
    </row>
    <row r="556" spans="1:17" x14ac:dyDescent="0.25">
      <c r="A556" t="s">
        <v>673</v>
      </c>
      <c r="B556" s="1">
        <v>46045</v>
      </c>
      <c r="C556" t="s">
        <v>60</v>
      </c>
      <c r="D556" t="s">
        <v>151</v>
      </c>
      <c r="E556" t="s">
        <v>41</v>
      </c>
      <c r="F556" t="s">
        <v>71</v>
      </c>
      <c r="G556" t="s">
        <v>51</v>
      </c>
      <c r="H556" t="s">
        <v>44</v>
      </c>
      <c r="I556" t="s">
        <v>45</v>
      </c>
      <c r="J556">
        <v>11</v>
      </c>
      <c r="K556">
        <v>48174.15</v>
      </c>
      <c r="L556">
        <v>529915.65</v>
      </c>
      <c r="M556">
        <v>57664.4</v>
      </c>
      <c r="N556">
        <v>22026.65</v>
      </c>
      <c r="O556">
        <v>450224.6</v>
      </c>
      <c r="P556" t="s">
        <v>32</v>
      </c>
      <c r="Q556" t="s">
        <v>26</v>
      </c>
    </row>
    <row r="557" spans="1:17" x14ac:dyDescent="0.25">
      <c r="A557" t="s">
        <v>674</v>
      </c>
      <c r="B557" s="1">
        <v>46001</v>
      </c>
      <c r="C557" t="s">
        <v>79</v>
      </c>
      <c r="D557" t="s">
        <v>91</v>
      </c>
      <c r="E557" t="s">
        <v>35</v>
      </c>
      <c r="F557" t="s">
        <v>112</v>
      </c>
      <c r="G557" t="s">
        <v>85</v>
      </c>
      <c r="H557" t="s">
        <v>94</v>
      </c>
      <c r="I557" t="s">
        <v>115</v>
      </c>
      <c r="J557">
        <v>26</v>
      </c>
      <c r="K557">
        <v>21956.75</v>
      </c>
      <c r="L557">
        <v>570875.5</v>
      </c>
      <c r="M557">
        <v>0</v>
      </c>
      <c r="N557">
        <v>0</v>
      </c>
      <c r="O557">
        <v>570875.5</v>
      </c>
      <c r="P557" t="s">
        <v>73</v>
      </c>
      <c r="Q557" t="s">
        <v>26</v>
      </c>
    </row>
    <row r="558" spans="1:17" x14ac:dyDescent="0.25">
      <c r="A558" t="s">
        <v>675</v>
      </c>
      <c r="B558" s="1">
        <v>45965</v>
      </c>
      <c r="C558" t="s">
        <v>54</v>
      </c>
      <c r="D558" t="s">
        <v>55</v>
      </c>
      <c r="E558" t="s">
        <v>49</v>
      </c>
      <c r="F558" t="s">
        <v>71</v>
      </c>
      <c r="G558" t="s">
        <v>140</v>
      </c>
      <c r="H558" t="s">
        <v>67</v>
      </c>
      <c r="I558" t="s">
        <v>77</v>
      </c>
      <c r="J558">
        <v>17</v>
      </c>
      <c r="K558">
        <v>42393.45</v>
      </c>
      <c r="L558">
        <v>720688.65</v>
      </c>
      <c r="M558">
        <v>41569.93</v>
      </c>
      <c r="N558">
        <v>0</v>
      </c>
      <c r="O558">
        <v>679118.72</v>
      </c>
      <c r="P558" t="s">
        <v>73</v>
      </c>
      <c r="Q558" t="s">
        <v>26</v>
      </c>
    </row>
    <row r="559" spans="1:17" x14ac:dyDescent="0.25">
      <c r="A559" t="s">
        <v>676</v>
      </c>
      <c r="B559" s="1">
        <v>45965</v>
      </c>
      <c r="C559" t="s">
        <v>54</v>
      </c>
      <c r="D559" t="s">
        <v>97</v>
      </c>
      <c r="E559" t="s">
        <v>49</v>
      </c>
      <c r="F559" t="s">
        <v>105</v>
      </c>
      <c r="G559" t="s">
        <v>22</v>
      </c>
      <c r="H559" t="s">
        <v>57</v>
      </c>
      <c r="I559" t="s">
        <v>92</v>
      </c>
      <c r="J559">
        <v>50</v>
      </c>
      <c r="K559">
        <v>31280.16</v>
      </c>
      <c r="L559">
        <v>1564008</v>
      </c>
      <c r="M559">
        <v>222337.9</v>
      </c>
      <c r="N559">
        <v>0</v>
      </c>
      <c r="O559">
        <v>1341670.1000000001</v>
      </c>
      <c r="P559" t="s">
        <v>73</v>
      </c>
      <c r="Q559" t="s">
        <v>32</v>
      </c>
    </row>
    <row r="560" spans="1:17" x14ac:dyDescent="0.25">
      <c r="A560" t="s">
        <v>677</v>
      </c>
      <c r="B560" s="1">
        <v>46043</v>
      </c>
      <c r="C560" t="s">
        <v>18</v>
      </c>
      <c r="D560" t="s">
        <v>75</v>
      </c>
      <c r="E560" t="s">
        <v>20</v>
      </c>
      <c r="F560" t="s">
        <v>84</v>
      </c>
      <c r="G560" t="s">
        <v>85</v>
      </c>
      <c r="H560" t="s">
        <v>23</v>
      </c>
      <c r="I560" t="s">
        <v>99</v>
      </c>
      <c r="J560">
        <v>30</v>
      </c>
      <c r="K560">
        <v>10770.66</v>
      </c>
      <c r="L560">
        <v>323119.8</v>
      </c>
      <c r="M560">
        <v>3003.78</v>
      </c>
      <c r="N560">
        <v>0</v>
      </c>
      <c r="O560">
        <v>320116.02</v>
      </c>
      <c r="P560" t="s">
        <v>73</v>
      </c>
      <c r="Q560" t="s">
        <v>26</v>
      </c>
    </row>
    <row r="561" spans="1:17" x14ac:dyDescent="0.25">
      <c r="A561" t="s">
        <v>678</v>
      </c>
      <c r="B561" s="1">
        <v>45995</v>
      </c>
      <c r="C561" t="s">
        <v>54</v>
      </c>
      <c r="D561" t="s">
        <v>70</v>
      </c>
      <c r="E561" t="s">
        <v>49</v>
      </c>
      <c r="F561" t="s">
        <v>71</v>
      </c>
      <c r="G561" t="s">
        <v>81</v>
      </c>
      <c r="H561" t="s">
        <v>44</v>
      </c>
      <c r="I561" t="s">
        <v>281</v>
      </c>
      <c r="J561">
        <v>24</v>
      </c>
      <c r="K561">
        <v>39329.39</v>
      </c>
      <c r="L561">
        <v>943905.36</v>
      </c>
      <c r="M561">
        <v>158702.32</v>
      </c>
      <c r="N561">
        <v>0</v>
      </c>
      <c r="O561">
        <v>785203.04</v>
      </c>
      <c r="P561" t="s">
        <v>25</v>
      </c>
      <c r="Q561" t="s">
        <v>26</v>
      </c>
    </row>
    <row r="562" spans="1:17" x14ac:dyDescent="0.25">
      <c r="A562" t="s">
        <v>679</v>
      </c>
      <c r="B562" s="1">
        <v>46010</v>
      </c>
      <c r="C562" t="s">
        <v>60</v>
      </c>
      <c r="D562" t="s">
        <v>61</v>
      </c>
      <c r="E562" t="s">
        <v>41</v>
      </c>
      <c r="F562" t="s">
        <v>84</v>
      </c>
      <c r="G562" t="s">
        <v>66</v>
      </c>
      <c r="H562" t="s">
        <v>38</v>
      </c>
      <c r="I562" t="s">
        <v>175</v>
      </c>
      <c r="J562">
        <v>44</v>
      </c>
      <c r="K562">
        <v>34296.43</v>
      </c>
      <c r="L562">
        <v>1509042.92</v>
      </c>
      <c r="M562">
        <v>0</v>
      </c>
      <c r="N562">
        <v>0</v>
      </c>
      <c r="O562">
        <v>1509042.92</v>
      </c>
      <c r="P562" t="s">
        <v>31</v>
      </c>
      <c r="Q562" t="s">
        <v>32</v>
      </c>
    </row>
    <row r="563" spans="1:17" x14ac:dyDescent="0.25">
      <c r="A563" t="s">
        <v>680</v>
      </c>
      <c r="B563" s="1">
        <v>45961</v>
      </c>
      <c r="C563" t="s">
        <v>79</v>
      </c>
      <c r="D563" t="s">
        <v>91</v>
      </c>
      <c r="E563" t="s">
        <v>35</v>
      </c>
      <c r="F563" t="s">
        <v>50</v>
      </c>
      <c r="G563" t="s">
        <v>81</v>
      </c>
      <c r="H563" t="s">
        <v>57</v>
      </c>
      <c r="I563" t="s">
        <v>148</v>
      </c>
      <c r="J563">
        <v>26</v>
      </c>
      <c r="K563">
        <v>5911.26</v>
      </c>
      <c r="L563">
        <v>153692.76</v>
      </c>
      <c r="M563">
        <v>18384.12</v>
      </c>
      <c r="N563">
        <v>0</v>
      </c>
      <c r="O563">
        <v>135308.64000000001</v>
      </c>
      <c r="P563" t="s">
        <v>73</v>
      </c>
      <c r="Q563" t="s">
        <v>26</v>
      </c>
    </row>
    <row r="564" spans="1:17" x14ac:dyDescent="0.25">
      <c r="A564" t="s">
        <v>681</v>
      </c>
      <c r="B564" s="1">
        <v>45971</v>
      </c>
      <c r="C564" t="s">
        <v>54</v>
      </c>
      <c r="D564" t="s">
        <v>70</v>
      </c>
      <c r="E564" t="s">
        <v>49</v>
      </c>
      <c r="F564" t="s">
        <v>105</v>
      </c>
      <c r="G564" t="s">
        <v>98</v>
      </c>
      <c r="H564" t="s">
        <v>67</v>
      </c>
      <c r="I564" t="s">
        <v>201</v>
      </c>
      <c r="J564">
        <v>30</v>
      </c>
      <c r="K564">
        <v>6250.98</v>
      </c>
      <c r="L564">
        <v>187529.4</v>
      </c>
      <c r="M564">
        <v>0</v>
      </c>
      <c r="N564">
        <v>0</v>
      </c>
      <c r="O564">
        <v>187529.4</v>
      </c>
      <c r="P564" t="s">
        <v>32</v>
      </c>
      <c r="Q564" t="s">
        <v>32</v>
      </c>
    </row>
    <row r="565" spans="1:17" x14ac:dyDescent="0.25">
      <c r="A565" t="s">
        <v>682</v>
      </c>
      <c r="B565" s="1">
        <v>46011</v>
      </c>
      <c r="C565" t="s">
        <v>79</v>
      </c>
      <c r="D565" t="s">
        <v>107</v>
      </c>
      <c r="E565" t="s">
        <v>41</v>
      </c>
      <c r="F565" t="s">
        <v>112</v>
      </c>
      <c r="G565" t="s">
        <v>43</v>
      </c>
      <c r="H565" t="s">
        <v>67</v>
      </c>
      <c r="I565" t="s">
        <v>170</v>
      </c>
      <c r="J565">
        <v>17</v>
      </c>
      <c r="K565">
        <v>46498.11</v>
      </c>
      <c r="L565">
        <v>790467.87</v>
      </c>
      <c r="M565">
        <v>0</v>
      </c>
      <c r="N565">
        <v>0</v>
      </c>
      <c r="O565">
        <v>790467.87</v>
      </c>
      <c r="P565" t="s">
        <v>32</v>
      </c>
      <c r="Q565" t="s">
        <v>32</v>
      </c>
    </row>
    <row r="566" spans="1:17" x14ac:dyDescent="0.25">
      <c r="A566" t="s">
        <v>683</v>
      </c>
      <c r="B566" s="1">
        <v>45974</v>
      </c>
      <c r="C566" t="s">
        <v>47</v>
      </c>
      <c r="D566" t="s">
        <v>114</v>
      </c>
      <c r="E566" t="s">
        <v>35</v>
      </c>
      <c r="F566" t="s">
        <v>62</v>
      </c>
      <c r="G566" t="s">
        <v>43</v>
      </c>
      <c r="H566" t="s">
        <v>23</v>
      </c>
      <c r="I566" t="s">
        <v>30</v>
      </c>
      <c r="J566">
        <v>45</v>
      </c>
      <c r="K566">
        <v>46164.42</v>
      </c>
      <c r="L566">
        <v>2077398.9</v>
      </c>
      <c r="M566">
        <v>152979.03</v>
      </c>
      <c r="N566">
        <v>0</v>
      </c>
      <c r="O566">
        <v>1924419.87</v>
      </c>
      <c r="P566" t="s">
        <v>73</v>
      </c>
      <c r="Q566" t="s">
        <v>32</v>
      </c>
    </row>
    <row r="567" spans="1:17" x14ac:dyDescent="0.25">
      <c r="A567" t="s">
        <v>684</v>
      </c>
      <c r="B567" s="1">
        <v>45983</v>
      </c>
      <c r="C567" t="s">
        <v>47</v>
      </c>
      <c r="D567" t="s">
        <v>88</v>
      </c>
      <c r="E567" t="s">
        <v>35</v>
      </c>
      <c r="F567" t="s">
        <v>112</v>
      </c>
      <c r="G567" t="s">
        <v>56</v>
      </c>
      <c r="H567" t="s">
        <v>23</v>
      </c>
      <c r="I567" t="s">
        <v>30</v>
      </c>
      <c r="J567">
        <v>38</v>
      </c>
      <c r="K567">
        <v>8836.82</v>
      </c>
      <c r="L567">
        <v>335799.16</v>
      </c>
      <c r="M567">
        <v>15142.38</v>
      </c>
      <c r="N567">
        <v>0</v>
      </c>
      <c r="O567">
        <v>320656.78000000003</v>
      </c>
      <c r="P567" t="s">
        <v>32</v>
      </c>
      <c r="Q567" t="s">
        <v>26</v>
      </c>
    </row>
    <row r="568" spans="1:17" x14ac:dyDescent="0.25">
      <c r="A568" t="s">
        <v>685</v>
      </c>
      <c r="B568" s="1">
        <v>46018</v>
      </c>
      <c r="C568" t="s">
        <v>54</v>
      </c>
      <c r="D568" t="s">
        <v>55</v>
      </c>
      <c r="E568" t="s">
        <v>20</v>
      </c>
      <c r="F568" t="s">
        <v>42</v>
      </c>
      <c r="G568" t="s">
        <v>102</v>
      </c>
      <c r="H568" t="s">
        <v>23</v>
      </c>
      <c r="I568" t="s">
        <v>110</v>
      </c>
      <c r="J568">
        <v>23</v>
      </c>
      <c r="K568">
        <v>25113.45</v>
      </c>
      <c r="L568">
        <v>577609.35</v>
      </c>
      <c r="M568">
        <v>7562.94</v>
      </c>
      <c r="N568">
        <v>0</v>
      </c>
      <c r="O568">
        <v>570046.41</v>
      </c>
      <c r="P568" t="s">
        <v>73</v>
      </c>
      <c r="Q568" t="s">
        <v>32</v>
      </c>
    </row>
    <row r="569" spans="1:17" x14ac:dyDescent="0.25">
      <c r="A569" t="s">
        <v>686</v>
      </c>
      <c r="B569" s="1">
        <v>45975</v>
      </c>
      <c r="C569" t="s">
        <v>18</v>
      </c>
      <c r="D569" t="s">
        <v>34</v>
      </c>
      <c r="E569" t="s">
        <v>35</v>
      </c>
      <c r="F569" t="s">
        <v>21</v>
      </c>
      <c r="G569" t="s">
        <v>63</v>
      </c>
      <c r="H569" t="s">
        <v>67</v>
      </c>
      <c r="I569" t="s">
        <v>201</v>
      </c>
      <c r="J569">
        <v>10</v>
      </c>
      <c r="K569">
        <v>15732.51</v>
      </c>
      <c r="L569">
        <v>157325.1</v>
      </c>
      <c r="M569">
        <v>24387.41</v>
      </c>
      <c r="N569">
        <v>0</v>
      </c>
      <c r="O569">
        <v>132937.69</v>
      </c>
      <c r="P569" t="s">
        <v>32</v>
      </c>
      <c r="Q569" t="s">
        <v>32</v>
      </c>
    </row>
    <row r="570" spans="1:17" x14ac:dyDescent="0.25">
      <c r="A570" t="s">
        <v>687</v>
      </c>
      <c r="B570" s="1">
        <v>45991</v>
      </c>
      <c r="C570" t="s">
        <v>60</v>
      </c>
      <c r="D570" t="s">
        <v>123</v>
      </c>
      <c r="E570" t="s">
        <v>35</v>
      </c>
      <c r="F570" t="s">
        <v>71</v>
      </c>
      <c r="G570" t="s">
        <v>102</v>
      </c>
      <c r="H570" t="s">
        <v>44</v>
      </c>
      <c r="I570" t="s">
        <v>281</v>
      </c>
      <c r="J570">
        <v>41</v>
      </c>
      <c r="K570">
        <v>24232.27</v>
      </c>
      <c r="L570">
        <v>993523.07</v>
      </c>
      <c r="M570">
        <v>133899.15</v>
      </c>
      <c r="N570">
        <v>0</v>
      </c>
      <c r="O570">
        <v>859623.92</v>
      </c>
      <c r="P570" t="s">
        <v>31</v>
      </c>
      <c r="Q570" t="s">
        <v>32</v>
      </c>
    </row>
    <row r="571" spans="1:17" x14ac:dyDescent="0.25">
      <c r="A571" t="s">
        <v>688</v>
      </c>
      <c r="B571" s="1">
        <v>46012</v>
      </c>
      <c r="C571" t="s">
        <v>60</v>
      </c>
      <c r="D571" t="s">
        <v>61</v>
      </c>
      <c r="E571" t="s">
        <v>20</v>
      </c>
      <c r="F571" t="s">
        <v>84</v>
      </c>
      <c r="G571" t="s">
        <v>43</v>
      </c>
      <c r="H571" t="s">
        <v>23</v>
      </c>
      <c r="I571" t="s">
        <v>110</v>
      </c>
      <c r="J571">
        <v>37</v>
      </c>
      <c r="K571">
        <v>46242.33</v>
      </c>
      <c r="L571">
        <v>1710966.21</v>
      </c>
      <c r="M571">
        <v>307777.26</v>
      </c>
      <c r="N571">
        <v>0</v>
      </c>
      <c r="O571">
        <v>1403188.95</v>
      </c>
      <c r="P571" t="s">
        <v>25</v>
      </c>
      <c r="Q571" t="s">
        <v>128</v>
      </c>
    </row>
    <row r="572" spans="1:17" x14ac:dyDescent="0.25">
      <c r="A572" t="s">
        <v>689</v>
      </c>
      <c r="B572" s="1">
        <v>45978</v>
      </c>
      <c r="C572" t="s">
        <v>79</v>
      </c>
      <c r="D572" t="s">
        <v>80</v>
      </c>
      <c r="E572" t="s">
        <v>35</v>
      </c>
      <c r="F572" t="s">
        <v>50</v>
      </c>
      <c r="G572" t="s">
        <v>85</v>
      </c>
      <c r="H572" t="s">
        <v>23</v>
      </c>
      <c r="I572" t="s">
        <v>52</v>
      </c>
      <c r="J572">
        <v>10</v>
      </c>
      <c r="K572">
        <v>34735.14</v>
      </c>
      <c r="L572">
        <v>347351.4</v>
      </c>
      <c r="M572">
        <v>0</v>
      </c>
      <c r="N572">
        <v>0</v>
      </c>
      <c r="O572">
        <v>347351.4</v>
      </c>
      <c r="P572" t="s">
        <v>31</v>
      </c>
      <c r="Q572" t="s">
        <v>32</v>
      </c>
    </row>
    <row r="573" spans="1:17" x14ac:dyDescent="0.25">
      <c r="A573" t="s">
        <v>690</v>
      </c>
      <c r="B573" s="1">
        <v>46027</v>
      </c>
      <c r="C573" t="s">
        <v>47</v>
      </c>
      <c r="D573" t="s">
        <v>114</v>
      </c>
      <c r="E573" t="s">
        <v>20</v>
      </c>
      <c r="F573" t="s">
        <v>62</v>
      </c>
      <c r="G573" t="s">
        <v>102</v>
      </c>
      <c r="H573" t="s">
        <v>38</v>
      </c>
      <c r="I573" t="s">
        <v>82</v>
      </c>
      <c r="J573">
        <v>47</v>
      </c>
      <c r="K573">
        <v>41914.69</v>
      </c>
      <c r="L573">
        <v>1969990.43</v>
      </c>
      <c r="M573">
        <v>185545.98</v>
      </c>
      <c r="N573">
        <v>370991.07</v>
      </c>
      <c r="O573">
        <v>1413453.38</v>
      </c>
      <c r="P573" t="s">
        <v>31</v>
      </c>
      <c r="Q573" t="s">
        <v>32</v>
      </c>
    </row>
    <row r="574" spans="1:17" x14ac:dyDescent="0.25">
      <c r="A574" t="s">
        <v>691</v>
      </c>
      <c r="B574" s="1">
        <v>45958</v>
      </c>
      <c r="C574" t="s">
        <v>18</v>
      </c>
      <c r="D574" t="s">
        <v>34</v>
      </c>
      <c r="E574" t="s">
        <v>49</v>
      </c>
      <c r="F574" t="s">
        <v>137</v>
      </c>
      <c r="G574" t="s">
        <v>102</v>
      </c>
      <c r="H574" t="s">
        <v>38</v>
      </c>
      <c r="I574" t="s">
        <v>120</v>
      </c>
      <c r="J574">
        <v>13</v>
      </c>
      <c r="K574">
        <v>31615.97</v>
      </c>
      <c r="L574">
        <v>411007.61</v>
      </c>
      <c r="M574">
        <v>23383.96</v>
      </c>
      <c r="N574">
        <v>0</v>
      </c>
      <c r="O574">
        <v>387623.65</v>
      </c>
      <c r="P574" t="s">
        <v>31</v>
      </c>
      <c r="Q574" t="s">
        <v>32</v>
      </c>
    </row>
    <row r="575" spans="1:17" x14ac:dyDescent="0.25">
      <c r="A575" t="s">
        <v>692</v>
      </c>
      <c r="B575" s="1">
        <v>45995</v>
      </c>
      <c r="C575" t="s">
        <v>47</v>
      </c>
      <c r="D575" t="s">
        <v>88</v>
      </c>
      <c r="E575" t="s">
        <v>20</v>
      </c>
      <c r="F575" t="s">
        <v>50</v>
      </c>
      <c r="G575" t="s">
        <v>29</v>
      </c>
      <c r="H575" t="s">
        <v>67</v>
      </c>
      <c r="I575" t="s">
        <v>103</v>
      </c>
      <c r="J575">
        <v>10</v>
      </c>
      <c r="K575">
        <v>1506.83</v>
      </c>
      <c r="L575">
        <v>15068.3</v>
      </c>
      <c r="M575">
        <v>301.73</v>
      </c>
      <c r="N575">
        <v>0</v>
      </c>
      <c r="O575">
        <v>14766.57</v>
      </c>
      <c r="P575" t="s">
        <v>25</v>
      </c>
      <c r="Q575" t="s">
        <v>26</v>
      </c>
    </row>
    <row r="576" spans="1:17" x14ac:dyDescent="0.25">
      <c r="A576" t="s">
        <v>693</v>
      </c>
      <c r="B576" s="1">
        <v>45982</v>
      </c>
      <c r="C576" t="s">
        <v>60</v>
      </c>
      <c r="D576" t="s">
        <v>123</v>
      </c>
      <c r="E576" t="s">
        <v>49</v>
      </c>
      <c r="F576" t="s">
        <v>105</v>
      </c>
      <c r="G576" t="s">
        <v>140</v>
      </c>
      <c r="H576" t="s">
        <v>23</v>
      </c>
      <c r="I576" t="s">
        <v>24</v>
      </c>
      <c r="J576">
        <v>34</v>
      </c>
      <c r="K576">
        <v>32027.25</v>
      </c>
      <c r="L576">
        <v>1088926.5</v>
      </c>
      <c r="M576">
        <v>109426.59</v>
      </c>
      <c r="N576">
        <v>0</v>
      </c>
      <c r="O576">
        <v>979499.91</v>
      </c>
      <c r="P576" t="s">
        <v>73</v>
      </c>
      <c r="Q576" t="s">
        <v>32</v>
      </c>
    </row>
    <row r="577" spans="1:17" x14ac:dyDescent="0.25">
      <c r="A577" t="s">
        <v>694</v>
      </c>
      <c r="B577" s="1">
        <v>45973</v>
      </c>
      <c r="C577" t="s">
        <v>54</v>
      </c>
      <c r="D577" t="s">
        <v>55</v>
      </c>
      <c r="E577" t="s">
        <v>49</v>
      </c>
      <c r="F577" t="s">
        <v>105</v>
      </c>
      <c r="G577" t="s">
        <v>43</v>
      </c>
      <c r="H577" t="s">
        <v>57</v>
      </c>
      <c r="I577" t="s">
        <v>92</v>
      </c>
      <c r="J577">
        <v>12</v>
      </c>
      <c r="K577">
        <v>9252.6</v>
      </c>
      <c r="L577">
        <v>111031.2</v>
      </c>
      <c r="M577">
        <v>0</v>
      </c>
      <c r="N577">
        <v>0</v>
      </c>
      <c r="O577">
        <v>111031.2</v>
      </c>
      <c r="P577" t="s">
        <v>32</v>
      </c>
      <c r="Q577" t="s">
        <v>32</v>
      </c>
    </row>
    <row r="578" spans="1:17" x14ac:dyDescent="0.25">
      <c r="A578" t="s">
        <v>695</v>
      </c>
      <c r="B578" s="1">
        <v>46009</v>
      </c>
      <c r="C578" t="s">
        <v>79</v>
      </c>
      <c r="D578" t="s">
        <v>107</v>
      </c>
      <c r="E578" t="s">
        <v>20</v>
      </c>
      <c r="F578" t="s">
        <v>62</v>
      </c>
      <c r="G578" t="s">
        <v>63</v>
      </c>
      <c r="H578" t="s">
        <v>44</v>
      </c>
      <c r="I578" t="s">
        <v>135</v>
      </c>
      <c r="J578">
        <v>34</v>
      </c>
      <c r="K578">
        <v>46228.81</v>
      </c>
      <c r="L578">
        <v>1571779.54</v>
      </c>
      <c r="M578">
        <v>180784.65</v>
      </c>
      <c r="N578">
        <v>0</v>
      </c>
      <c r="O578">
        <v>1390994.89</v>
      </c>
      <c r="P578" t="s">
        <v>25</v>
      </c>
      <c r="Q578" t="s">
        <v>26</v>
      </c>
    </row>
    <row r="579" spans="1:17" x14ac:dyDescent="0.25">
      <c r="A579" t="s">
        <v>696</v>
      </c>
      <c r="B579" s="1">
        <v>45979</v>
      </c>
      <c r="C579" t="s">
        <v>60</v>
      </c>
      <c r="D579" t="s">
        <v>151</v>
      </c>
      <c r="E579" t="s">
        <v>35</v>
      </c>
      <c r="F579" t="s">
        <v>112</v>
      </c>
      <c r="G579" t="s">
        <v>37</v>
      </c>
      <c r="H579" t="s">
        <v>67</v>
      </c>
      <c r="I579" t="s">
        <v>170</v>
      </c>
      <c r="J579">
        <v>4</v>
      </c>
      <c r="K579">
        <v>24939.96</v>
      </c>
      <c r="L579">
        <v>99759.84</v>
      </c>
      <c r="M579">
        <v>6673.67</v>
      </c>
      <c r="N579">
        <v>0</v>
      </c>
      <c r="O579">
        <v>93086.17</v>
      </c>
      <c r="P579" t="s">
        <v>31</v>
      </c>
      <c r="Q579" t="s">
        <v>32</v>
      </c>
    </row>
    <row r="580" spans="1:17" x14ac:dyDescent="0.25">
      <c r="A580" t="s">
        <v>697</v>
      </c>
      <c r="B580" s="1">
        <v>45988</v>
      </c>
      <c r="C580" t="s">
        <v>47</v>
      </c>
      <c r="D580" t="s">
        <v>114</v>
      </c>
      <c r="E580" t="s">
        <v>20</v>
      </c>
      <c r="F580" t="s">
        <v>36</v>
      </c>
      <c r="G580" t="s">
        <v>51</v>
      </c>
      <c r="H580" t="s">
        <v>67</v>
      </c>
      <c r="I580" t="s">
        <v>77</v>
      </c>
      <c r="J580">
        <v>17</v>
      </c>
      <c r="K580">
        <v>11570.09</v>
      </c>
      <c r="L580">
        <v>196691.53</v>
      </c>
      <c r="M580">
        <v>0</v>
      </c>
      <c r="N580">
        <v>0</v>
      </c>
      <c r="O580">
        <v>196691.53</v>
      </c>
      <c r="P580" t="s">
        <v>73</v>
      </c>
      <c r="Q580" t="s">
        <v>26</v>
      </c>
    </row>
    <row r="581" spans="1:17" x14ac:dyDescent="0.25">
      <c r="A581" t="s">
        <v>698</v>
      </c>
      <c r="B581" s="1">
        <v>45964</v>
      </c>
      <c r="C581" t="s">
        <v>79</v>
      </c>
      <c r="D581" t="s">
        <v>101</v>
      </c>
      <c r="E581" t="s">
        <v>20</v>
      </c>
      <c r="F581" t="s">
        <v>36</v>
      </c>
      <c r="G581" t="s">
        <v>81</v>
      </c>
      <c r="H581" t="s">
        <v>38</v>
      </c>
      <c r="I581" t="s">
        <v>82</v>
      </c>
      <c r="J581">
        <v>44</v>
      </c>
      <c r="K581">
        <v>40033.21</v>
      </c>
      <c r="L581">
        <v>1761461.24</v>
      </c>
      <c r="M581">
        <v>151452.51</v>
      </c>
      <c r="N581">
        <v>0</v>
      </c>
      <c r="O581">
        <v>1610008.73</v>
      </c>
      <c r="P581" t="s">
        <v>73</v>
      </c>
      <c r="Q581" t="s">
        <v>32</v>
      </c>
    </row>
    <row r="582" spans="1:17" x14ac:dyDescent="0.25">
      <c r="A582" t="s">
        <v>699</v>
      </c>
      <c r="B582" s="1">
        <v>46020</v>
      </c>
      <c r="C582" t="s">
        <v>60</v>
      </c>
      <c r="D582" t="s">
        <v>123</v>
      </c>
      <c r="E582" t="s">
        <v>35</v>
      </c>
      <c r="F582" t="s">
        <v>21</v>
      </c>
      <c r="G582" t="s">
        <v>138</v>
      </c>
      <c r="H582" t="s">
        <v>57</v>
      </c>
      <c r="I582" t="s">
        <v>72</v>
      </c>
      <c r="J582">
        <v>29</v>
      </c>
      <c r="K582">
        <v>23890.89</v>
      </c>
      <c r="L582">
        <v>692835.81</v>
      </c>
      <c r="M582">
        <v>131535.88</v>
      </c>
      <c r="N582">
        <v>0</v>
      </c>
      <c r="O582">
        <v>561299.93000000005</v>
      </c>
      <c r="P582" t="s">
        <v>25</v>
      </c>
      <c r="Q582" t="s">
        <v>26</v>
      </c>
    </row>
    <row r="583" spans="1:17" x14ac:dyDescent="0.25">
      <c r="A583" t="s">
        <v>700</v>
      </c>
      <c r="B583" s="1">
        <v>45983</v>
      </c>
      <c r="C583" t="s">
        <v>47</v>
      </c>
      <c r="D583" t="s">
        <v>127</v>
      </c>
      <c r="E583" t="s">
        <v>35</v>
      </c>
      <c r="F583" t="s">
        <v>36</v>
      </c>
      <c r="G583" t="s">
        <v>43</v>
      </c>
      <c r="H583" t="s">
        <v>94</v>
      </c>
      <c r="I583" t="s">
        <v>95</v>
      </c>
      <c r="J583">
        <v>32</v>
      </c>
      <c r="K583">
        <v>36158.17</v>
      </c>
      <c r="L583">
        <v>1157061.44</v>
      </c>
      <c r="M583">
        <v>0</v>
      </c>
      <c r="N583">
        <v>122927.24</v>
      </c>
      <c r="O583">
        <v>1034134.2</v>
      </c>
      <c r="P583" t="s">
        <v>73</v>
      </c>
      <c r="Q583" t="s">
        <v>32</v>
      </c>
    </row>
    <row r="584" spans="1:17" x14ac:dyDescent="0.25">
      <c r="A584" t="s">
        <v>701</v>
      </c>
      <c r="B584" s="1">
        <v>46001</v>
      </c>
      <c r="C584" t="s">
        <v>79</v>
      </c>
      <c r="D584" t="s">
        <v>101</v>
      </c>
      <c r="E584" t="s">
        <v>49</v>
      </c>
      <c r="F584" t="s">
        <v>36</v>
      </c>
      <c r="G584" t="s">
        <v>89</v>
      </c>
      <c r="H584" t="s">
        <v>94</v>
      </c>
      <c r="I584" t="s">
        <v>193</v>
      </c>
      <c r="J584">
        <v>22</v>
      </c>
      <c r="K584">
        <v>17905.21</v>
      </c>
      <c r="L584">
        <v>393914.62</v>
      </c>
      <c r="M584">
        <v>59707.23</v>
      </c>
      <c r="N584">
        <v>0</v>
      </c>
      <c r="O584">
        <v>334207.39</v>
      </c>
      <c r="P584" t="s">
        <v>73</v>
      </c>
      <c r="Q584" t="s">
        <v>32</v>
      </c>
    </row>
    <row r="585" spans="1:17" x14ac:dyDescent="0.25">
      <c r="A585" t="s">
        <v>702</v>
      </c>
      <c r="B585" s="1">
        <v>46007</v>
      </c>
      <c r="C585" t="s">
        <v>60</v>
      </c>
      <c r="D585" t="s">
        <v>61</v>
      </c>
      <c r="E585" t="s">
        <v>49</v>
      </c>
      <c r="F585" t="s">
        <v>112</v>
      </c>
      <c r="G585" t="s">
        <v>56</v>
      </c>
      <c r="H585" t="s">
        <v>94</v>
      </c>
      <c r="I585" t="s">
        <v>177</v>
      </c>
      <c r="J585">
        <v>40</v>
      </c>
      <c r="K585">
        <v>2339.2600000000002</v>
      </c>
      <c r="L585">
        <v>93570.4</v>
      </c>
      <c r="M585">
        <v>2416.71</v>
      </c>
      <c r="N585">
        <v>0</v>
      </c>
      <c r="O585">
        <v>91153.69</v>
      </c>
      <c r="P585" t="s">
        <v>31</v>
      </c>
      <c r="Q585" t="s">
        <v>32</v>
      </c>
    </row>
    <row r="586" spans="1:17" x14ac:dyDescent="0.25">
      <c r="A586" t="s">
        <v>703</v>
      </c>
      <c r="B586" s="1">
        <v>45963</v>
      </c>
      <c r="C586" t="s">
        <v>79</v>
      </c>
      <c r="D586" t="s">
        <v>107</v>
      </c>
      <c r="E586" t="s">
        <v>41</v>
      </c>
      <c r="F586" t="s">
        <v>36</v>
      </c>
      <c r="G586" t="s">
        <v>63</v>
      </c>
      <c r="H586" t="s">
        <v>57</v>
      </c>
      <c r="I586" t="s">
        <v>160</v>
      </c>
      <c r="J586">
        <v>36</v>
      </c>
      <c r="K586">
        <v>7211.28</v>
      </c>
      <c r="L586">
        <v>259606.08</v>
      </c>
      <c r="M586">
        <v>13982.03</v>
      </c>
      <c r="N586">
        <v>0</v>
      </c>
      <c r="O586">
        <v>245624.05</v>
      </c>
      <c r="P586" t="s">
        <v>31</v>
      </c>
      <c r="Q586" t="s">
        <v>32</v>
      </c>
    </row>
    <row r="587" spans="1:17" x14ac:dyDescent="0.25">
      <c r="A587" t="s">
        <v>704</v>
      </c>
      <c r="B587" s="1">
        <v>45977</v>
      </c>
      <c r="C587" t="s">
        <v>54</v>
      </c>
      <c r="D587" t="s">
        <v>55</v>
      </c>
      <c r="E587" t="s">
        <v>20</v>
      </c>
      <c r="F587" t="s">
        <v>21</v>
      </c>
      <c r="G587" t="s">
        <v>102</v>
      </c>
      <c r="H587" t="s">
        <v>44</v>
      </c>
      <c r="I587" t="s">
        <v>141</v>
      </c>
      <c r="J587">
        <v>23</v>
      </c>
      <c r="K587">
        <v>49961.72</v>
      </c>
      <c r="L587">
        <v>1149119.56</v>
      </c>
      <c r="M587">
        <v>0</v>
      </c>
      <c r="N587">
        <v>0</v>
      </c>
      <c r="O587">
        <v>1149119.56</v>
      </c>
      <c r="P587" t="s">
        <v>32</v>
      </c>
      <c r="Q587" t="s">
        <v>32</v>
      </c>
    </row>
    <row r="588" spans="1:17" x14ac:dyDescent="0.25">
      <c r="A588" t="s">
        <v>705</v>
      </c>
      <c r="B588" s="1">
        <v>45997</v>
      </c>
      <c r="C588" t="s">
        <v>54</v>
      </c>
      <c r="D588" t="s">
        <v>55</v>
      </c>
      <c r="E588" t="s">
        <v>35</v>
      </c>
      <c r="F588" t="s">
        <v>105</v>
      </c>
      <c r="G588" t="s">
        <v>29</v>
      </c>
      <c r="H588" t="s">
        <v>44</v>
      </c>
      <c r="I588" t="s">
        <v>135</v>
      </c>
      <c r="J588">
        <v>38</v>
      </c>
      <c r="K588">
        <v>42200.160000000003</v>
      </c>
      <c r="L588">
        <v>1603606.08</v>
      </c>
      <c r="M588">
        <v>149099.87</v>
      </c>
      <c r="N588">
        <v>0</v>
      </c>
      <c r="O588">
        <v>1454506.21</v>
      </c>
      <c r="P588" t="s">
        <v>32</v>
      </c>
      <c r="Q588" t="s">
        <v>26</v>
      </c>
    </row>
    <row r="589" spans="1:17" x14ac:dyDescent="0.25">
      <c r="A589" t="s">
        <v>706</v>
      </c>
      <c r="B589" s="1">
        <v>46032</v>
      </c>
      <c r="C589" t="s">
        <v>18</v>
      </c>
      <c r="D589" t="s">
        <v>28</v>
      </c>
      <c r="E589" t="s">
        <v>35</v>
      </c>
      <c r="F589" t="s">
        <v>112</v>
      </c>
      <c r="G589" t="s">
        <v>98</v>
      </c>
      <c r="H589" t="s">
        <v>94</v>
      </c>
      <c r="I589" t="s">
        <v>115</v>
      </c>
      <c r="J589">
        <v>46</v>
      </c>
      <c r="K589">
        <v>29097.13</v>
      </c>
      <c r="L589">
        <v>1338467.98</v>
      </c>
      <c r="M589">
        <v>208901.2</v>
      </c>
      <c r="N589">
        <v>0</v>
      </c>
      <c r="O589">
        <v>1129566.78</v>
      </c>
      <c r="P589" t="s">
        <v>32</v>
      </c>
      <c r="Q589" t="s">
        <v>26</v>
      </c>
    </row>
    <row r="590" spans="1:17" x14ac:dyDescent="0.25">
      <c r="A590" t="s">
        <v>707</v>
      </c>
      <c r="B590" s="1">
        <v>46000</v>
      </c>
      <c r="C590" t="s">
        <v>60</v>
      </c>
      <c r="D590" t="s">
        <v>65</v>
      </c>
      <c r="E590" t="s">
        <v>20</v>
      </c>
      <c r="F590" t="s">
        <v>62</v>
      </c>
      <c r="G590" t="s">
        <v>56</v>
      </c>
      <c r="H590" t="s">
        <v>57</v>
      </c>
      <c r="I590" t="s">
        <v>72</v>
      </c>
      <c r="J590">
        <v>5</v>
      </c>
      <c r="K590">
        <v>20345.310000000001</v>
      </c>
      <c r="L590">
        <v>101726.55</v>
      </c>
      <c r="M590">
        <v>16322.31</v>
      </c>
      <c r="N590">
        <v>0</v>
      </c>
      <c r="O590">
        <v>85404.24</v>
      </c>
      <c r="P590" t="s">
        <v>25</v>
      </c>
      <c r="Q590" t="s">
        <v>26</v>
      </c>
    </row>
    <row r="591" spans="1:17" x14ac:dyDescent="0.25">
      <c r="A591" t="s">
        <v>708</v>
      </c>
      <c r="B591" s="1">
        <v>46008</v>
      </c>
      <c r="C591" t="s">
        <v>79</v>
      </c>
      <c r="D591" t="s">
        <v>80</v>
      </c>
      <c r="E591" t="s">
        <v>20</v>
      </c>
      <c r="F591" t="s">
        <v>84</v>
      </c>
      <c r="G591" t="s">
        <v>98</v>
      </c>
      <c r="H591" t="s">
        <v>57</v>
      </c>
      <c r="I591" t="s">
        <v>92</v>
      </c>
      <c r="J591">
        <v>5</v>
      </c>
      <c r="K591">
        <v>20261.87</v>
      </c>
      <c r="L591">
        <v>101309.35</v>
      </c>
      <c r="M591">
        <v>20095.689999999999</v>
      </c>
      <c r="N591">
        <v>0</v>
      </c>
      <c r="O591">
        <v>81213.66</v>
      </c>
      <c r="P591" t="s">
        <v>32</v>
      </c>
      <c r="Q591" t="s">
        <v>32</v>
      </c>
    </row>
    <row r="592" spans="1:17" x14ac:dyDescent="0.25">
      <c r="A592" t="s">
        <v>709</v>
      </c>
      <c r="B592" s="1">
        <v>45969</v>
      </c>
      <c r="C592" t="s">
        <v>54</v>
      </c>
      <c r="D592" t="s">
        <v>133</v>
      </c>
      <c r="E592" t="s">
        <v>49</v>
      </c>
      <c r="F592" t="s">
        <v>62</v>
      </c>
      <c r="G592" t="s">
        <v>102</v>
      </c>
      <c r="H592" t="s">
        <v>94</v>
      </c>
      <c r="I592" t="s">
        <v>115</v>
      </c>
      <c r="J592">
        <v>49</v>
      </c>
      <c r="K592">
        <v>47403.81</v>
      </c>
      <c r="L592">
        <v>2322786.69</v>
      </c>
      <c r="M592">
        <v>0</v>
      </c>
      <c r="N592">
        <v>0</v>
      </c>
      <c r="O592">
        <v>2322786.69</v>
      </c>
      <c r="P592" t="s">
        <v>32</v>
      </c>
      <c r="Q592" t="s">
        <v>26</v>
      </c>
    </row>
    <row r="593" spans="1:17" x14ac:dyDescent="0.25">
      <c r="A593" t="s">
        <v>710</v>
      </c>
      <c r="B593" s="1">
        <v>45991</v>
      </c>
      <c r="C593" t="s">
        <v>60</v>
      </c>
      <c r="D593" t="s">
        <v>151</v>
      </c>
      <c r="E593" t="s">
        <v>49</v>
      </c>
      <c r="F593" t="s">
        <v>21</v>
      </c>
      <c r="G593" t="s">
        <v>89</v>
      </c>
      <c r="H593" t="s">
        <v>44</v>
      </c>
      <c r="I593" t="s">
        <v>281</v>
      </c>
      <c r="J593">
        <v>24</v>
      </c>
      <c r="K593">
        <v>5982.79</v>
      </c>
      <c r="L593">
        <v>143586.96</v>
      </c>
      <c r="M593">
        <v>1396.99</v>
      </c>
      <c r="N593">
        <v>14669.66</v>
      </c>
      <c r="O593">
        <v>127520.31</v>
      </c>
      <c r="P593" t="s">
        <v>31</v>
      </c>
      <c r="Q593" t="s">
        <v>32</v>
      </c>
    </row>
    <row r="594" spans="1:17" x14ac:dyDescent="0.25">
      <c r="A594" t="s">
        <v>711</v>
      </c>
      <c r="B594" s="1">
        <v>45978</v>
      </c>
      <c r="C594" t="s">
        <v>60</v>
      </c>
      <c r="D594" t="s">
        <v>61</v>
      </c>
      <c r="E594" t="s">
        <v>20</v>
      </c>
      <c r="F594" t="s">
        <v>112</v>
      </c>
      <c r="G594" t="s">
        <v>85</v>
      </c>
      <c r="H594" t="s">
        <v>44</v>
      </c>
      <c r="I594" t="s">
        <v>152</v>
      </c>
      <c r="J594">
        <v>24</v>
      </c>
      <c r="K594">
        <v>25061.5</v>
      </c>
      <c r="L594">
        <v>601476</v>
      </c>
      <c r="M594">
        <v>19472.3</v>
      </c>
      <c r="N594">
        <v>0</v>
      </c>
      <c r="O594">
        <v>582003.69999999995</v>
      </c>
      <c r="P594" t="s">
        <v>32</v>
      </c>
      <c r="Q594" t="s">
        <v>32</v>
      </c>
    </row>
    <row r="595" spans="1:17" x14ac:dyDescent="0.25">
      <c r="A595" t="s">
        <v>712</v>
      </c>
      <c r="B595" s="1">
        <v>45962</v>
      </c>
      <c r="C595" t="s">
        <v>54</v>
      </c>
      <c r="D595" t="s">
        <v>70</v>
      </c>
      <c r="E595" t="s">
        <v>41</v>
      </c>
      <c r="F595" t="s">
        <v>84</v>
      </c>
      <c r="G595" t="s">
        <v>22</v>
      </c>
      <c r="H595" t="s">
        <v>94</v>
      </c>
      <c r="I595" t="s">
        <v>95</v>
      </c>
      <c r="J595">
        <v>2</v>
      </c>
      <c r="K595">
        <v>29385.56</v>
      </c>
      <c r="L595">
        <v>58771.12</v>
      </c>
      <c r="M595">
        <v>9316.75</v>
      </c>
      <c r="N595">
        <v>0</v>
      </c>
      <c r="O595">
        <v>49454.37</v>
      </c>
      <c r="P595" t="s">
        <v>73</v>
      </c>
      <c r="Q595" t="s">
        <v>26</v>
      </c>
    </row>
    <row r="596" spans="1:17" x14ac:dyDescent="0.25">
      <c r="A596" t="s">
        <v>713</v>
      </c>
      <c r="B596" s="1">
        <v>46008</v>
      </c>
      <c r="C596" t="s">
        <v>47</v>
      </c>
      <c r="D596" t="s">
        <v>127</v>
      </c>
      <c r="E596" t="s">
        <v>49</v>
      </c>
      <c r="F596" t="s">
        <v>42</v>
      </c>
      <c r="G596" t="s">
        <v>81</v>
      </c>
      <c r="H596" t="s">
        <v>23</v>
      </c>
      <c r="I596" t="s">
        <v>99</v>
      </c>
      <c r="J596">
        <v>7</v>
      </c>
      <c r="K596">
        <v>5933.41</v>
      </c>
      <c r="L596">
        <v>41533.870000000003</v>
      </c>
      <c r="M596">
        <v>4395.84</v>
      </c>
      <c r="N596">
        <v>0</v>
      </c>
      <c r="O596">
        <v>37138.03</v>
      </c>
      <c r="P596" t="s">
        <v>73</v>
      </c>
      <c r="Q596" t="s">
        <v>32</v>
      </c>
    </row>
    <row r="597" spans="1:17" x14ac:dyDescent="0.25">
      <c r="A597" t="s">
        <v>714</v>
      </c>
      <c r="B597" s="1">
        <v>46042</v>
      </c>
      <c r="C597" t="s">
        <v>47</v>
      </c>
      <c r="D597" t="s">
        <v>48</v>
      </c>
      <c r="E597" t="s">
        <v>49</v>
      </c>
      <c r="F597" t="s">
        <v>105</v>
      </c>
      <c r="G597" t="s">
        <v>51</v>
      </c>
      <c r="H597" t="s">
        <v>23</v>
      </c>
      <c r="I597" t="s">
        <v>131</v>
      </c>
      <c r="J597">
        <v>6</v>
      </c>
      <c r="K597">
        <v>50272.39</v>
      </c>
      <c r="L597">
        <v>301634.34000000003</v>
      </c>
      <c r="M597">
        <v>14315.78</v>
      </c>
      <c r="N597">
        <v>0</v>
      </c>
      <c r="O597">
        <v>287318.56</v>
      </c>
      <c r="P597" t="s">
        <v>73</v>
      </c>
      <c r="Q597" t="s">
        <v>32</v>
      </c>
    </row>
    <row r="598" spans="1:17" x14ac:dyDescent="0.25">
      <c r="A598" t="s">
        <v>715</v>
      </c>
      <c r="B598" s="1">
        <v>45980</v>
      </c>
      <c r="C598" t="s">
        <v>60</v>
      </c>
      <c r="D598" t="s">
        <v>65</v>
      </c>
      <c r="E598" t="s">
        <v>41</v>
      </c>
      <c r="F598" t="s">
        <v>42</v>
      </c>
      <c r="G598" t="s">
        <v>43</v>
      </c>
      <c r="H598" t="s">
        <v>23</v>
      </c>
      <c r="I598" t="s">
        <v>131</v>
      </c>
      <c r="J598">
        <v>30</v>
      </c>
      <c r="K598">
        <v>10514.07</v>
      </c>
      <c r="L598">
        <v>315422.09999999998</v>
      </c>
      <c r="M598">
        <v>11482.09</v>
      </c>
      <c r="N598">
        <v>0</v>
      </c>
      <c r="O598">
        <v>303940.01</v>
      </c>
      <c r="P598" t="s">
        <v>32</v>
      </c>
      <c r="Q598" t="s">
        <v>32</v>
      </c>
    </row>
    <row r="599" spans="1:17" x14ac:dyDescent="0.25">
      <c r="A599" t="s">
        <v>716</v>
      </c>
      <c r="B599" s="1">
        <v>46005</v>
      </c>
      <c r="C599" t="s">
        <v>54</v>
      </c>
      <c r="D599" t="s">
        <v>70</v>
      </c>
      <c r="E599" t="s">
        <v>35</v>
      </c>
      <c r="F599" t="s">
        <v>84</v>
      </c>
      <c r="G599" t="s">
        <v>98</v>
      </c>
      <c r="H599" t="s">
        <v>23</v>
      </c>
      <c r="I599" t="s">
        <v>110</v>
      </c>
      <c r="J599">
        <v>42</v>
      </c>
      <c r="K599">
        <v>39140.1</v>
      </c>
      <c r="L599">
        <v>1643884.2</v>
      </c>
      <c r="M599">
        <v>74884.56</v>
      </c>
      <c r="N599">
        <v>0</v>
      </c>
      <c r="O599">
        <v>1568999.64</v>
      </c>
      <c r="P599" t="s">
        <v>31</v>
      </c>
      <c r="Q599" t="s">
        <v>32</v>
      </c>
    </row>
    <row r="600" spans="1:17" x14ac:dyDescent="0.25">
      <c r="A600" t="s">
        <v>717</v>
      </c>
      <c r="B600" s="1">
        <v>46039</v>
      </c>
      <c r="C600" t="s">
        <v>47</v>
      </c>
      <c r="D600" t="s">
        <v>88</v>
      </c>
      <c r="E600" t="s">
        <v>35</v>
      </c>
      <c r="F600" t="s">
        <v>105</v>
      </c>
      <c r="G600" t="s">
        <v>29</v>
      </c>
      <c r="H600" t="s">
        <v>44</v>
      </c>
      <c r="I600" t="s">
        <v>124</v>
      </c>
      <c r="J600">
        <v>42</v>
      </c>
      <c r="K600">
        <v>15919.63</v>
      </c>
      <c r="L600">
        <v>668624.46</v>
      </c>
      <c r="M600">
        <v>0</v>
      </c>
      <c r="N600">
        <v>12580.82</v>
      </c>
      <c r="O600">
        <v>656043.64</v>
      </c>
      <c r="P600" t="s">
        <v>73</v>
      </c>
      <c r="Q600" t="s">
        <v>26</v>
      </c>
    </row>
    <row r="601" spans="1:17" x14ac:dyDescent="0.25">
      <c r="A601" t="s">
        <v>718</v>
      </c>
      <c r="B601" s="1">
        <v>45981</v>
      </c>
      <c r="C601" t="s">
        <v>47</v>
      </c>
      <c r="D601" t="s">
        <v>48</v>
      </c>
      <c r="E601" t="s">
        <v>35</v>
      </c>
      <c r="F601" t="s">
        <v>50</v>
      </c>
      <c r="G601" t="s">
        <v>85</v>
      </c>
      <c r="H601" t="s">
        <v>67</v>
      </c>
      <c r="I601" t="s">
        <v>77</v>
      </c>
      <c r="J601">
        <v>44</v>
      </c>
      <c r="K601">
        <v>24570.720000000001</v>
      </c>
      <c r="L601">
        <v>1081111.68</v>
      </c>
      <c r="M601">
        <v>59804.02</v>
      </c>
      <c r="N601">
        <v>0</v>
      </c>
      <c r="O601">
        <v>1021307.66</v>
      </c>
      <c r="P601" t="s">
        <v>25</v>
      </c>
      <c r="Q601" t="s">
        <v>128</v>
      </c>
    </row>
    <row r="602" spans="1:17" x14ac:dyDescent="0.25">
      <c r="A602" t="s">
        <v>719</v>
      </c>
      <c r="B602" s="1">
        <v>45959</v>
      </c>
      <c r="C602" t="s">
        <v>18</v>
      </c>
      <c r="D602" t="s">
        <v>28</v>
      </c>
      <c r="E602" t="s">
        <v>20</v>
      </c>
      <c r="F602" t="s">
        <v>62</v>
      </c>
      <c r="G602" t="s">
        <v>89</v>
      </c>
      <c r="H602" t="s">
        <v>38</v>
      </c>
      <c r="I602" t="s">
        <v>39</v>
      </c>
      <c r="J602">
        <v>5</v>
      </c>
      <c r="K602">
        <v>10689.65</v>
      </c>
      <c r="L602">
        <v>53448.25</v>
      </c>
      <c r="M602">
        <v>0</v>
      </c>
      <c r="N602">
        <v>0</v>
      </c>
      <c r="O602">
        <v>53448.25</v>
      </c>
      <c r="P602" t="s">
        <v>25</v>
      </c>
      <c r="Q602" t="s">
        <v>26</v>
      </c>
    </row>
    <row r="603" spans="1:17" x14ac:dyDescent="0.25">
      <c r="A603" t="s">
        <v>720</v>
      </c>
      <c r="B603" s="1">
        <v>46013</v>
      </c>
      <c r="C603" t="s">
        <v>47</v>
      </c>
      <c r="D603" t="s">
        <v>127</v>
      </c>
      <c r="E603" t="s">
        <v>20</v>
      </c>
      <c r="F603" t="s">
        <v>105</v>
      </c>
      <c r="G603" t="s">
        <v>140</v>
      </c>
      <c r="H603" t="s">
        <v>94</v>
      </c>
      <c r="I603" t="s">
        <v>163</v>
      </c>
      <c r="J603">
        <v>10</v>
      </c>
      <c r="K603">
        <v>20825.73</v>
      </c>
      <c r="L603">
        <v>208257.3</v>
      </c>
      <c r="M603">
        <v>15913.71</v>
      </c>
      <c r="N603">
        <v>21786.38</v>
      </c>
      <c r="O603">
        <v>170557.21</v>
      </c>
      <c r="P603" t="s">
        <v>25</v>
      </c>
      <c r="Q603" t="s">
        <v>128</v>
      </c>
    </row>
    <row r="604" spans="1:17" x14ac:dyDescent="0.25">
      <c r="A604" t="s">
        <v>721</v>
      </c>
      <c r="B604" s="1">
        <v>46025</v>
      </c>
      <c r="C604" t="s">
        <v>54</v>
      </c>
      <c r="D604" t="s">
        <v>97</v>
      </c>
      <c r="E604" t="s">
        <v>49</v>
      </c>
      <c r="F604" t="s">
        <v>36</v>
      </c>
      <c r="G604" t="s">
        <v>66</v>
      </c>
      <c r="H604" t="s">
        <v>57</v>
      </c>
      <c r="I604" t="s">
        <v>148</v>
      </c>
      <c r="J604">
        <v>49</v>
      </c>
      <c r="K604">
        <v>23566.68</v>
      </c>
      <c r="L604">
        <v>1154767.32</v>
      </c>
      <c r="M604">
        <v>53342.62</v>
      </c>
      <c r="N604">
        <v>0</v>
      </c>
      <c r="O604">
        <v>1101424.7</v>
      </c>
      <c r="P604" t="s">
        <v>31</v>
      </c>
      <c r="Q604" t="s">
        <v>32</v>
      </c>
    </row>
    <row r="605" spans="1:17" x14ac:dyDescent="0.25">
      <c r="A605" t="s">
        <v>722</v>
      </c>
      <c r="B605" s="1">
        <v>46045</v>
      </c>
      <c r="C605" t="s">
        <v>54</v>
      </c>
      <c r="D605" t="s">
        <v>70</v>
      </c>
      <c r="E605" t="s">
        <v>49</v>
      </c>
      <c r="F605" t="s">
        <v>50</v>
      </c>
      <c r="G605" t="s">
        <v>43</v>
      </c>
      <c r="H605" t="s">
        <v>57</v>
      </c>
      <c r="I605" t="s">
        <v>92</v>
      </c>
      <c r="J605">
        <v>11</v>
      </c>
      <c r="K605">
        <v>40598.6</v>
      </c>
      <c r="L605">
        <v>446584.6</v>
      </c>
      <c r="M605">
        <v>42201.58</v>
      </c>
      <c r="N605">
        <v>0</v>
      </c>
      <c r="O605">
        <v>404383.02</v>
      </c>
      <c r="P605" t="s">
        <v>25</v>
      </c>
      <c r="Q605" t="s">
        <v>26</v>
      </c>
    </row>
    <row r="606" spans="1:17" x14ac:dyDescent="0.25">
      <c r="A606" t="s">
        <v>723</v>
      </c>
      <c r="B606" s="1">
        <v>46003</v>
      </c>
      <c r="C606" t="s">
        <v>47</v>
      </c>
      <c r="D606" t="s">
        <v>88</v>
      </c>
      <c r="E606" t="s">
        <v>20</v>
      </c>
      <c r="F606" t="s">
        <v>112</v>
      </c>
      <c r="G606" t="s">
        <v>29</v>
      </c>
      <c r="H606" t="s">
        <v>44</v>
      </c>
      <c r="I606" t="s">
        <v>45</v>
      </c>
      <c r="J606">
        <v>16</v>
      </c>
      <c r="K606">
        <v>36208.19</v>
      </c>
      <c r="L606">
        <v>579331.04</v>
      </c>
      <c r="M606">
        <v>36626.79</v>
      </c>
      <c r="N606">
        <v>0</v>
      </c>
      <c r="O606">
        <v>542704.25</v>
      </c>
      <c r="P606" t="s">
        <v>32</v>
      </c>
      <c r="Q606" t="s">
        <v>32</v>
      </c>
    </row>
    <row r="607" spans="1:17" x14ac:dyDescent="0.25">
      <c r="A607" t="s">
        <v>724</v>
      </c>
      <c r="B607" s="1">
        <v>45992</v>
      </c>
      <c r="C607" t="s">
        <v>79</v>
      </c>
      <c r="D607" t="s">
        <v>91</v>
      </c>
      <c r="E607" t="s">
        <v>20</v>
      </c>
      <c r="F607" t="s">
        <v>42</v>
      </c>
      <c r="G607" t="s">
        <v>37</v>
      </c>
      <c r="H607" t="s">
        <v>23</v>
      </c>
      <c r="I607" t="s">
        <v>99</v>
      </c>
      <c r="J607">
        <v>44</v>
      </c>
      <c r="K607">
        <v>32664.28</v>
      </c>
      <c r="L607">
        <v>1437228.32</v>
      </c>
      <c r="M607">
        <v>240196.89</v>
      </c>
      <c r="N607">
        <v>0</v>
      </c>
      <c r="O607">
        <v>1197031.43</v>
      </c>
      <c r="P607" t="s">
        <v>32</v>
      </c>
      <c r="Q607" t="s">
        <v>32</v>
      </c>
    </row>
    <row r="608" spans="1:17" x14ac:dyDescent="0.25">
      <c r="A608" t="s">
        <v>725</v>
      </c>
      <c r="B608" s="1">
        <v>45981</v>
      </c>
      <c r="C608" t="s">
        <v>54</v>
      </c>
      <c r="D608" t="s">
        <v>97</v>
      </c>
      <c r="E608" t="s">
        <v>49</v>
      </c>
      <c r="F608" t="s">
        <v>62</v>
      </c>
      <c r="G608" t="s">
        <v>29</v>
      </c>
      <c r="H608" t="s">
        <v>44</v>
      </c>
      <c r="I608" t="s">
        <v>141</v>
      </c>
      <c r="J608">
        <v>22</v>
      </c>
      <c r="K608">
        <v>34007.199999999997</v>
      </c>
      <c r="L608">
        <v>748158.4</v>
      </c>
      <c r="M608">
        <v>80462.86</v>
      </c>
      <c r="N608">
        <v>0</v>
      </c>
      <c r="O608">
        <v>667695.54</v>
      </c>
      <c r="P608" t="s">
        <v>25</v>
      </c>
      <c r="Q608" t="s">
        <v>26</v>
      </c>
    </row>
    <row r="609" spans="1:17" x14ac:dyDescent="0.25">
      <c r="A609" t="s">
        <v>726</v>
      </c>
      <c r="B609" s="1">
        <v>46045</v>
      </c>
      <c r="C609" t="s">
        <v>79</v>
      </c>
      <c r="D609" t="s">
        <v>107</v>
      </c>
      <c r="E609" t="s">
        <v>35</v>
      </c>
      <c r="F609" t="s">
        <v>21</v>
      </c>
      <c r="G609" t="s">
        <v>63</v>
      </c>
      <c r="H609" t="s">
        <v>57</v>
      </c>
      <c r="I609" t="s">
        <v>160</v>
      </c>
      <c r="J609">
        <v>35</v>
      </c>
      <c r="K609">
        <v>16617.759999999998</v>
      </c>
      <c r="L609">
        <v>581621.6</v>
      </c>
      <c r="M609">
        <v>2159.17</v>
      </c>
      <c r="N609">
        <v>0</v>
      </c>
      <c r="O609">
        <v>579462.43000000005</v>
      </c>
      <c r="P609" t="s">
        <v>32</v>
      </c>
      <c r="Q609" t="s">
        <v>32</v>
      </c>
    </row>
    <row r="610" spans="1:17" x14ac:dyDescent="0.25">
      <c r="A610" t="s">
        <v>727</v>
      </c>
      <c r="B610" s="1">
        <v>45990</v>
      </c>
      <c r="C610" t="s">
        <v>79</v>
      </c>
      <c r="D610" t="s">
        <v>80</v>
      </c>
      <c r="E610" t="s">
        <v>20</v>
      </c>
      <c r="F610" t="s">
        <v>105</v>
      </c>
      <c r="G610" t="s">
        <v>63</v>
      </c>
      <c r="H610" t="s">
        <v>57</v>
      </c>
      <c r="I610" t="s">
        <v>148</v>
      </c>
      <c r="J610">
        <v>47</v>
      </c>
      <c r="K610">
        <v>11163.91</v>
      </c>
      <c r="L610">
        <v>524703.77</v>
      </c>
      <c r="M610">
        <v>0</v>
      </c>
      <c r="N610">
        <v>0</v>
      </c>
      <c r="O610">
        <v>524703.77</v>
      </c>
      <c r="P610" t="s">
        <v>32</v>
      </c>
      <c r="Q610" t="s">
        <v>26</v>
      </c>
    </row>
    <row r="611" spans="1:17" x14ac:dyDescent="0.25">
      <c r="A611" t="s">
        <v>728</v>
      </c>
      <c r="B611" s="1">
        <v>45994</v>
      </c>
      <c r="C611" t="s">
        <v>18</v>
      </c>
      <c r="D611" t="s">
        <v>34</v>
      </c>
      <c r="E611" t="s">
        <v>41</v>
      </c>
      <c r="F611" t="s">
        <v>21</v>
      </c>
      <c r="G611" t="s">
        <v>51</v>
      </c>
      <c r="H611" t="s">
        <v>94</v>
      </c>
      <c r="I611" t="s">
        <v>193</v>
      </c>
      <c r="J611">
        <v>49</v>
      </c>
      <c r="K611">
        <v>2774.07</v>
      </c>
      <c r="L611">
        <v>135929.43</v>
      </c>
      <c r="M611">
        <v>7727.92</v>
      </c>
      <c r="N611">
        <v>999.54</v>
      </c>
      <c r="O611">
        <v>127201.97</v>
      </c>
      <c r="P611" t="s">
        <v>32</v>
      </c>
      <c r="Q611" t="s">
        <v>32</v>
      </c>
    </row>
    <row r="612" spans="1:17" x14ac:dyDescent="0.25">
      <c r="A612" t="s">
        <v>729</v>
      </c>
      <c r="B612" s="1">
        <v>46005</v>
      </c>
      <c r="C612" t="s">
        <v>47</v>
      </c>
      <c r="D612" t="s">
        <v>114</v>
      </c>
      <c r="E612" t="s">
        <v>49</v>
      </c>
      <c r="F612" t="s">
        <v>36</v>
      </c>
      <c r="G612" t="s">
        <v>81</v>
      </c>
      <c r="H612" t="s">
        <v>23</v>
      </c>
      <c r="I612" t="s">
        <v>52</v>
      </c>
      <c r="J612">
        <v>22</v>
      </c>
      <c r="K612">
        <v>14962.31</v>
      </c>
      <c r="L612">
        <v>329170.82</v>
      </c>
      <c r="M612">
        <v>21889.91</v>
      </c>
      <c r="N612">
        <v>0</v>
      </c>
      <c r="O612">
        <v>307280.90999999997</v>
      </c>
      <c r="P612" t="s">
        <v>32</v>
      </c>
      <c r="Q612" t="s">
        <v>26</v>
      </c>
    </row>
    <row r="613" spans="1:17" x14ac:dyDescent="0.25">
      <c r="A613" t="s">
        <v>730</v>
      </c>
      <c r="B613" s="1">
        <v>45979</v>
      </c>
      <c r="C613" t="s">
        <v>47</v>
      </c>
      <c r="D613" t="s">
        <v>127</v>
      </c>
      <c r="E613" t="s">
        <v>35</v>
      </c>
      <c r="F613" t="s">
        <v>71</v>
      </c>
      <c r="G613" t="s">
        <v>98</v>
      </c>
      <c r="H613" t="s">
        <v>94</v>
      </c>
      <c r="I613" t="s">
        <v>177</v>
      </c>
      <c r="J613">
        <v>33</v>
      </c>
      <c r="K613">
        <v>1728.48</v>
      </c>
      <c r="L613">
        <v>57039.839999999997</v>
      </c>
      <c r="M613">
        <v>0</v>
      </c>
      <c r="N613">
        <v>0</v>
      </c>
      <c r="O613">
        <v>57039.839999999997</v>
      </c>
      <c r="P613" t="s">
        <v>73</v>
      </c>
      <c r="Q613" t="s">
        <v>26</v>
      </c>
    </row>
    <row r="614" spans="1:17" x14ac:dyDescent="0.25">
      <c r="A614" t="s">
        <v>731</v>
      </c>
      <c r="B614" s="1">
        <v>45987</v>
      </c>
      <c r="C614" t="s">
        <v>54</v>
      </c>
      <c r="D614" t="s">
        <v>55</v>
      </c>
      <c r="E614" t="s">
        <v>20</v>
      </c>
      <c r="F614" t="s">
        <v>105</v>
      </c>
      <c r="G614" t="s">
        <v>81</v>
      </c>
      <c r="H614" t="s">
        <v>94</v>
      </c>
      <c r="I614" t="s">
        <v>95</v>
      </c>
      <c r="J614">
        <v>39</v>
      </c>
      <c r="K614">
        <v>19782.169999999998</v>
      </c>
      <c r="L614">
        <v>771504.63</v>
      </c>
      <c r="M614">
        <v>64095.92</v>
      </c>
      <c r="N614">
        <v>0</v>
      </c>
      <c r="O614">
        <v>707408.71</v>
      </c>
      <c r="P614" t="s">
        <v>73</v>
      </c>
      <c r="Q614" t="s">
        <v>32</v>
      </c>
    </row>
    <row r="615" spans="1:17" x14ac:dyDescent="0.25">
      <c r="A615" t="s">
        <v>732</v>
      </c>
      <c r="B615" s="1">
        <v>46024</v>
      </c>
      <c r="C615" t="s">
        <v>60</v>
      </c>
      <c r="D615" t="s">
        <v>123</v>
      </c>
      <c r="E615" t="s">
        <v>49</v>
      </c>
      <c r="F615" t="s">
        <v>137</v>
      </c>
      <c r="G615" t="s">
        <v>140</v>
      </c>
      <c r="H615" t="s">
        <v>57</v>
      </c>
      <c r="I615" t="s">
        <v>58</v>
      </c>
      <c r="J615">
        <v>44</v>
      </c>
      <c r="K615">
        <v>50388.07</v>
      </c>
      <c r="L615">
        <v>2217075.08</v>
      </c>
      <c r="M615">
        <v>360539.76</v>
      </c>
      <c r="N615">
        <v>0</v>
      </c>
      <c r="O615">
        <v>1856535.32</v>
      </c>
      <c r="P615" t="s">
        <v>73</v>
      </c>
      <c r="Q615" t="s">
        <v>32</v>
      </c>
    </row>
    <row r="616" spans="1:17" x14ac:dyDescent="0.25">
      <c r="A616" t="s">
        <v>733</v>
      </c>
      <c r="B616" s="1">
        <v>46012</v>
      </c>
      <c r="C616" t="s">
        <v>18</v>
      </c>
      <c r="D616" t="s">
        <v>28</v>
      </c>
      <c r="E616" t="s">
        <v>41</v>
      </c>
      <c r="F616" t="s">
        <v>36</v>
      </c>
      <c r="G616" t="s">
        <v>66</v>
      </c>
      <c r="H616" t="s">
        <v>94</v>
      </c>
      <c r="I616" t="s">
        <v>163</v>
      </c>
      <c r="J616">
        <v>49</v>
      </c>
      <c r="K616">
        <v>10115.780000000001</v>
      </c>
      <c r="L616">
        <v>495673.22</v>
      </c>
      <c r="M616">
        <v>94507.01</v>
      </c>
      <c r="N616">
        <v>106896.39</v>
      </c>
      <c r="O616">
        <v>294269.82</v>
      </c>
      <c r="P616" t="s">
        <v>73</v>
      </c>
      <c r="Q616" t="s">
        <v>32</v>
      </c>
    </row>
    <row r="617" spans="1:17" x14ac:dyDescent="0.25">
      <c r="A617" t="s">
        <v>734</v>
      </c>
      <c r="B617" s="1">
        <v>46018</v>
      </c>
      <c r="C617" t="s">
        <v>60</v>
      </c>
      <c r="D617" t="s">
        <v>123</v>
      </c>
      <c r="E617" t="s">
        <v>20</v>
      </c>
      <c r="F617" t="s">
        <v>105</v>
      </c>
      <c r="G617" t="s">
        <v>43</v>
      </c>
      <c r="H617" t="s">
        <v>67</v>
      </c>
      <c r="I617" t="s">
        <v>77</v>
      </c>
      <c r="J617">
        <v>14</v>
      </c>
      <c r="K617">
        <v>5782.23</v>
      </c>
      <c r="L617">
        <v>80951.22</v>
      </c>
      <c r="M617">
        <v>10745.38</v>
      </c>
      <c r="N617">
        <v>4670.22</v>
      </c>
      <c r="O617">
        <v>65535.62</v>
      </c>
      <c r="P617" t="s">
        <v>32</v>
      </c>
      <c r="Q617" t="s">
        <v>32</v>
      </c>
    </row>
    <row r="618" spans="1:17" x14ac:dyDescent="0.25">
      <c r="A618" t="s">
        <v>735</v>
      </c>
      <c r="B618" s="1">
        <v>46011</v>
      </c>
      <c r="C618" t="s">
        <v>18</v>
      </c>
      <c r="D618" t="s">
        <v>19</v>
      </c>
      <c r="E618" t="s">
        <v>41</v>
      </c>
      <c r="F618" t="s">
        <v>36</v>
      </c>
      <c r="G618" t="s">
        <v>37</v>
      </c>
      <c r="H618" t="s">
        <v>94</v>
      </c>
      <c r="I618" t="s">
        <v>193</v>
      </c>
      <c r="J618">
        <v>29</v>
      </c>
      <c r="K618">
        <v>13426.72</v>
      </c>
      <c r="L618">
        <v>389374.88</v>
      </c>
      <c r="M618">
        <v>15396.18</v>
      </c>
      <c r="N618">
        <v>0</v>
      </c>
      <c r="O618">
        <v>373978.7</v>
      </c>
      <c r="P618" t="s">
        <v>73</v>
      </c>
      <c r="Q618" t="s">
        <v>32</v>
      </c>
    </row>
    <row r="619" spans="1:17" x14ac:dyDescent="0.25">
      <c r="A619" t="s">
        <v>736</v>
      </c>
      <c r="B619" s="1">
        <v>45969</v>
      </c>
      <c r="C619" t="s">
        <v>60</v>
      </c>
      <c r="D619" t="s">
        <v>123</v>
      </c>
      <c r="E619" t="s">
        <v>49</v>
      </c>
      <c r="F619" t="s">
        <v>36</v>
      </c>
      <c r="G619" t="s">
        <v>138</v>
      </c>
      <c r="H619" t="s">
        <v>38</v>
      </c>
      <c r="I619" t="s">
        <v>86</v>
      </c>
      <c r="J619">
        <v>3</v>
      </c>
      <c r="K619">
        <v>44749.75</v>
      </c>
      <c r="L619">
        <v>134249.25</v>
      </c>
      <c r="M619">
        <v>20940.099999999999</v>
      </c>
      <c r="N619">
        <v>0</v>
      </c>
      <c r="O619">
        <v>113309.15</v>
      </c>
      <c r="P619" t="s">
        <v>73</v>
      </c>
      <c r="Q619" t="s">
        <v>32</v>
      </c>
    </row>
    <row r="620" spans="1:17" x14ac:dyDescent="0.25">
      <c r="A620" t="s">
        <v>737</v>
      </c>
      <c r="B620" s="1">
        <v>45963</v>
      </c>
      <c r="C620" t="s">
        <v>54</v>
      </c>
      <c r="D620" t="s">
        <v>55</v>
      </c>
      <c r="E620" t="s">
        <v>41</v>
      </c>
      <c r="F620" t="s">
        <v>105</v>
      </c>
      <c r="G620" t="s">
        <v>56</v>
      </c>
      <c r="H620" t="s">
        <v>57</v>
      </c>
      <c r="I620" t="s">
        <v>72</v>
      </c>
      <c r="J620">
        <v>1</v>
      </c>
      <c r="K620">
        <v>12193.32</v>
      </c>
      <c r="L620">
        <v>12193.32</v>
      </c>
      <c r="M620">
        <v>0</v>
      </c>
      <c r="N620">
        <v>0</v>
      </c>
      <c r="O620">
        <v>12193.32</v>
      </c>
      <c r="P620" t="s">
        <v>32</v>
      </c>
      <c r="Q620" t="s">
        <v>32</v>
      </c>
    </row>
    <row r="621" spans="1:17" x14ac:dyDescent="0.25">
      <c r="A621" t="s">
        <v>738</v>
      </c>
      <c r="B621" s="1">
        <v>45982</v>
      </c>
      <c r="C621" t="s">
        <v>47</v>
      </c>
      <c r="D621" t="s">
        <v>88</v>
      </c>
      <c r="E621" t="s">
        <v>20</v>
      </c>
      <c r="F621" t="s">
        <v>137</v>
      </c>
      <c r="G621" t="s">
        <v>98</v>
      </c>
      <c r="H621" t="s">
        <v>57</v>
      </c>
      <c r="I621" t="s">
        <v>92</v>
      </c>
      <c r="J621">
        <v>50</v>
      </c>
      <c r="K621">
        <v>19948.759999999998</v>
      </c>
      <c r="L621">
        <v>997438</v>
      </c>
      <c r="M621">
        <v>16912.830000000002</v>
      </c>
      <c r="N621">
        <v>0</v>
      </c>
      <c r="O621">
        <v>980525.17</v>
      </c>
      <c r="P621" t="s">
        <v>31</v>
      </c>
      <c r="Q621" t="s">
        <v>32</v>
      </c>
    </row>
    <row r="622" spans="1:17" x14ac:dyDescent="0.25">
      <c r="A622" t="s">
        <v>739</v>
      </c>
      <c r="B622" s="1">
        <v>46031</v>
      </c>
      <c r="C622" t="s">
        <v>79</v>
      </c>
      <c r="D622" t="s">
        <v>107</v>
      </c>
      <c r="E622" t="s">
        <v>41</v>
      </c>
      <c r="F622" t="s">
        <v>84</v>
      </c>
      <c r="G622" t="s">
        <v>22</v>
      </c>
      <c r="H622" t="s">
        <v>44</v>
      </c>
      <c r="I622" t="s">
        <v>124</v>
      </c>
      <c r="J622">
        <v>7</v>
      </c>
      <c r="K622">
        <v>29950.65</v>
      </c>
      <c r="L622">
        <v>209654.55</v>
      </c>
      <c r="M622">
        <v>0</v>
      </c>
      <c r="N622">
        <v>0</v>
      </c>
      <c r="O622">
        <v>209654.55</v>
      </c>
      <c r="P622" t="s">
        <v>73</v>
      </c>
      <c r="Q622" t="s">
        <v>32</v>
      </c>
    </row>
    <row r="623" spans="1:17" x14ac:dyDescent="0.25">
      <c r="A623" t="s">
        <v>740</v>
      </c>
      <c r="B623" s="1">
        <v>46003</v>
      </c>
      <c r="C623" t="s">
        <v>47</v>
      </c>
      <c r="D623" t="s">
        <v>88</v>
      </c>
      <c r="E623" t="s">
        <v>20</v>
      </c>
      <c r="F623" t="s">
        <v>36</v>
      </c>
      <c r="G623" t="s">
        <v>29</v>
      </c>
      <c r="H623" t="s">
        <v>67</v>
      </c>
      <c r="I623" t="s">
        <v>77</v>
      </c>
      <c r="J623">
        <v>15</v>
      </c>
      <c r="K623">
        <v>41086.019999999997</v>
      </c>
      <c r="L623">
        <v>616290.30000000005</v>
      </c>
      <c r="M623">
        <v>0</v>
      </c>
      <c r="N623">
        <v>12620.51</v>
      </c>
      <c r="O623">
        <v>603669.79</v>
      </c>
      <c r="P623" t="s">
        <v>32</v>
      </c>
      <c r="Q623" t="s">
        <v>32</v>
      </c>
    </row>
    <row r="624" spans="1:17" x14ac:dyDescent="0.25">
      <c r="A624" t="s">
        <v>741</v>
      </c>
      <c r="B624" s="1">
        <v>45962</v>
      </c>
      <c r="C624" t="s">
        <v>18</v>
      </c>
      <c r="D624" t="s">
        <v>75</v>
      </c>
      <c r="E624" t="s">
        <v>35</v>
      </c>
      <c r="F624" t="s">
        <v>105</v>
      </c>
      <c r="G624" t="s">
        <v>51</v>
      </c>
      <c r="H624" t="s">
        <v>94</v>
      </c>
      <c r="I624" t="s">
        <v>177</v>
      </c>
      <c r="J624">
        <v>10</v>
      </c>
      <c r="K624">
        <v>14315.16</v>
      </c>
      <c r="L624">
        <v>143151.6</v>
      </c>
      <c r="M624">
        <v>12347.73</v>
      </c>
      <c r="N624">
        <v>0</v>
      </c>
      <c r="O624">
        <v>130803.87</v>
      </c>
      <c r="P624" t="s">
        <v>73</v>
      </c>
      <c r="Q624" t="s">
        <v>32</v>
      </c>
    </row>
    <row r="625" spans="1:17" x14ac:dyDescent="0.25">
      <c r="A625" t="s">
        <v>742</v>
      </c>
      <c r="B625" s="1">
        <v>45964</v>
      </c>
      <c r="C625" t="s">
        <v>18</v>
      </c>
      <c r="D625" t="s">
        <v>34</v>
      </c>
      <c r="E625" t="s">
        <v>35</v>
      </c>
      <c r="F625" t="s">
        <v>71</v>
      </c>
      <c r="G625" t="s">
        <v>51</v>
      </c>
      <c r="H625" t="s">
        <v>94</v>
      </c>
      <c r="I625" t="s">
        <v>177</v>
      </c>
      <c r="J625">
        <v>2</v>
      </c>
      <c r="K625">
        <v>29382.34</v>
      </c>
      <c r="L625">
        <v>58764.68</v>
      </c>
      <c r="M625">
        <v>0</v>
      </c>
      <c r="N625">
        <v>0</v>
      </c>
      <c r="O625">
        <v>58764.68</v>
      </c>
      <c r="P625" t="s">
        <v>32</v>
      </c>
      <c r="Q625" t="s">
        <v>32</v>
      </c>
    </row>
    <row r="626" spans="1:17" x14ac:dyDescent="0.25">
      <c r="A626" t="s">
        <v>743</v>
      </c>
      <c r="B626" s="1">
        <v>46010</v>
      </c>
      <c r="C626" t="s">
        <v>47</v>
      </c>
      <c r="D626" t="s">
        <v>48</v>
      </c>
      <c r="E626" t="s">
        <v>35</v>
      </c>
      <c r="F626" t="s">
        <v>62</v>
      </c>
      <c r="G626" t="s">
        <v>89</v>
      </c>
      <c r="H626" t="s">
        <v>44</v>
      </c>
      <c r="I626" t="s">
        <v>135</v>
      </c>
      <c r="J626">
        <v>49</v>
      </c>
      <c r="K626">
        <v>43402.51</v>
      </c>
      <c r="L626">
        <v>2126722.9900000002</v>
      </c>
      <c r="M626">
        <v>82900.960000000006</v>
      </c>
      <c r="N626">
        <v>0</v>
      </c>
      <c r="O626">
        <v>2043822.03</v>
      </c>
      <c r="P626" t="s">
        <v>73</v>
      </c>
      <c r="Q626" t="s">
        <v>26</v>
      </c>
    </row>
    <row r="627" spans="1:17" x14ac:dyDescent="0.25">
      <c r="A627" t="s">
        <v>744</v>
      </c>
      <c r="B627" s="1">
        <v>45966</v>
      </c>
      <c r="C627" t="s">
        <v>79</v>
      </c>
      <c r="D627" t="s">
        <v>91</v>
      </c>
      <c r="E627" t="s">
        <v>41</v>
      </c>
      <c r="F627" t="s">
        <v>137</v>
      </c>
      <c r="G627" t="s">
        <v>63</v>
      </c>
      <c r="H627" t="s">
        <v>38</v>
      </c>
      <c r="I627" t="s">
        <v>82</v>
      </c>
      <c r="J627">
        <v>35</v>
      </c>
      <c r="K627">
        <v>31933.61</v>
      </c>
      <c r="L627">
        <v>1117676.3500000001</v>
      </c>
      <c r="M627">
        <v>67836.75</v>
      </c>
      <c r="N627">
        <v>0</v>
      </c>
      <c r="O627">
        <v>1049839.6000000001</v>
      </c>
      <c r="P627" t="s">
        <v>25</v>
      </c>
      <c r="Q627" t="s">
        <v>26</v>
      </c>
    </row>
    <row r="628" spans="1:17" x14ac:dyDescent="0.25">
      <c r="A628" t="s">
        <v>745</v>
      </c>
      <c r="B628" s="1">
        <v>46034</v>
      </c>
      <c r="C628" t="s">
        <v>47</v>
      </c>
      <c r="D628" t="s">
        <v>48</v>
      </c>
      <c r="E628" t="s">
        <v>41</v>
      </c>
      <c r="F628" t="s">
        <v>84</v>
      </c>
      <c r="G628" t="s">
        <v>37</v>
      </c>
      <c r="H628" t="s">
        <v>23</v>
      </c>
      <c r="I628" t="s">
        <v>110</v>
      </c>
      <c r="J628">
        <v>20</v>
      </c>
      <c r="K628">
        <v>35118.51</v>
      </c>
      <c r="L628">
        <v>702370.2</v>
      </c>
      <c r="M628">
        <v>0</v>
      </c>
      <c r="N628">
        <v>0</v>
      </c>
      <c r="O628">
        <v>702370.2</v>
      </c>
      <c r="P628" t="s">
        <v>32</v>
      </c>
      <c r="Q628" t="s">
        <v>26</v>
      </c>
    </row>
    <row r="629" spans="1:17" x14ac:dyDescent="0.25">
      <c r="A629" t="s">
        <v>746</v>
      </c>
      <c r="B629" s="1">
        <v>45957</v>
      </c>
      <c r="C629" t="s">
        <v>60</v>
      </c>
      <c r="D629" t="s">
        <v>123</v>
      </c>
      <c r="E629" t="s">
        <v>20</v>
      </c>
      <c r="F629" t="s">
        <v>42</v>
      </c>
      <c r="G629" t="s">
        <v>51</v>
      </c>
      <c r="H629" t="s">
        <v>94</v>
      </c>
      <c r="I629" t="s">
        <v>193</v>
      </c>
      <c r="J629">
        <v>45</v>
      </c>
      <c r="K629">
        <v>19845.72</v>
      </c>
      <c r="L629">
        <v>893057.4</v>
      </c>
      <c r="M629">
        <v>0</v>
      </c>
      <c r="N629">
        <v>0</v>
      </c>
      <c r="O629">
        <v>893057.4</v>
      </c>
      <c r="P629" t="s">
        <v>73</v>
      </c>
      <c r="Q629" t="s">
        <v>26</v>
      </c>
    </row>
    <row r="630" spans="1:17" x14ac:dyDescent="0.25">
      <c r="A630" t="s">
        <v>747</v>
      </c>
      <c r="B630" s="1">
        <v>45989</v>
      </c>
      <c r="C630" t="s">
        <v>60</v>
      </c>
      <c r="D630" t="s">
        <v>61</v>
      </c>
      <c r="E630" t="s">
        <v>49</v>
      </c>
      <c r="F630" t="s">
        <v>105</v>
      </c>
      <c r="G630" t="s">
        <v>85</v>
      </c>
      <c r="H630" t="s">
        <v>57</v>
      </c>
      <c r="I630" t="s">
        <v>58</v>
      </c>
      <c r="J630">
        <v>25</v>
      </c>
      <c r="K630">
        <v>27668.7</v>
      </c>
      <c r="L630">
        <v>691717.5</v>
      </c>
      <c r="M630">
        <v>107341.24</v>
      </c>
      <c r="N630">
        <v>0</v>
      </c>
      <c r="O630">
        <v>584376.26</v>
      </c>
      <c r="P630" t="s">
        <v>31</v>
      </c>
      <c r="Q630" t="s">
        <v>32</v>
      </c>
    </row>
    <row r="631" spans="1:17" x14ac:dyDescent="0.25">
      <c r="A631" t="s">
        <v>748</v>
      </c>
      <c r="B631" s="1">
        <v>46000</v>
      </c>
      <c r="C631" t="s">
        <v>54</v>
      </c>
      <c r="D631" t="s">
        <v>133</v>
      </c>
      <c r="E631" t="s">
        <v>20</v>
      </c>
      <c r="F631" t="s">
        <v>84</v>
      </c>
      <c r="G631" t="s">
        <v>22</v>
      </c>
      <c r="H631" t="s">
        <v>67</v>
      </c>
      <c r="I631" t="s">
        <v>201</v>
      </c>
      <c r="J631">
        <v>50</v>
      </c>
      <c r="K631">
        <v>49728.71</v>
      </c>
      <c r="L631">
        <v>2486435.5</v>
      </c>
      <c r="M631">
        <v>130990.26</v>
      </c>
      <c r="N631">
        <v>0</v>
      </c>
      <c r="O631">
        <v>2355445.2400000002</v>
      </c>
      <c r="P631" t="s">
        <v>25</v>
      </c>
      <c r="Q631" t="s">
        <v>32</v>
      </c>
    </row>
    <row r="632" spans="1:17" x14ac:dyDescent="0.25">
      <c r="A632" t="s">
        <v>749</v>
      </c>
      <c r="B632" s="1">
        <v>46041</v>
      </c>
      <c r="C632" t="s">
        <v>47</v>
      </c>
      <c r="D632" t="s">
        <v>114</v>
      </c>
      <c r="E632" t="s">
        <v>41</v>
      </c>
      <c r="F632" t="s">
        <v>137</v>
      </c>
      <c r="G632" t="s">
        <v>29</v>
      </c>
      <c r="H632" t="s">
        <v>23</v>
      </c>
      <c r="I632" t="s">
        <v>30</v>
      </c>
      <c r="J632">
        <v>48</v>
      </c>
      <c r="K632">
        <v>6667.56</v>
      </c>
      <c r="L632">
        <v>320042.88</v>
      </c>
      <c r="M632">
        <v>0</v>
      </c>
      <c r="N632">
        <v>0</v>
      </c>
      <c r="O632">
        <v>320042.88</v>
      </c>
      <c r="P632" t="s">
        <v>31</v>
      </c>
      <c r="Q632" t="s">
        <v>32</v>
      </c>
    </row>
    <row r="633" spans="1:17" x14ac:dyDescent="0.25">
      <c r="A633" t="s">
        <v>750</v>
      </c>
      <c r="B633" s="1">
        <v>46011</v>
      </c>
      <c r="C633" t="s">
        <v>47</v>
      </c>
      <c r="D633" t="s">
        <v>127</v>
      </c>
      <c r="E633" t="s">
        <v>20</v>
      </c>
      <c r="F633" t="s">
        <v>21</v>
      </c>
      <c r="G633" t="s">
        <v>56</v>
      </c>
      <c r="H633" t="s">
        <v>67</v>
      </c>
      <c r="I633" t="s">
        <v>201</v>
      </c>
      <c r="J633">
        <v>10</v>
      </c>
      <c r="K633">
        <v>22756.47</v>
      </c>
      <c r="L633">
        <v>227564.7</v>
      </c>
      <c r="M633">
        <v>0</v>
      </c>
      <c r="N633">
        <v>0</v>
      </c>
      <c r="O633">
        <v>227564.7</v>
      </c>
      <c r="P633" t="s">
        <v>25</v>
      </c>
      <c r="Q633" t="s">
        <v>128</v>
      </c>
    </row>
    <row r="634" spans="1:17" x14ac:dyDescent="0.25">
      <c r="A634" t="s">
        <v>751</v>
      </c>
      <c r="B634" s="1">
        <v>45966</v>
      </c>
      <c r="C634" t="s">
        <v>47</v>
      </c>
      <c r="D634" t="s">
        <v>114</v>
      </c>
      <c r="E634" t="s">
        <v>35</v>
      </c>
      <c r="F634" t="s">
        <v>137</v>
      </c>
      <c r="G634" t="s">
        <v>140</v>
      </c>
      <c r="H634" t="s">
        <v>67</v>
      </c>
      <c r="I634" t="s">
        <v>154</v>
      </c>
      <c r="J634">
        <v>48</v>
      </c>
      <c r="K634">
        <v>8809.39</v>
      </c>
      <c r="L634">
        <v>422850.72</v>
      </c>
      <c r="M634">
        <v>31401.42</v>
      </c>
      <c r="N634">
        <v>0</v>
      </c>
      <c r="O634">
        <v>391449.3</v>
      </c>
      <c r="P634" t="s">
        <v>73</v>
      </c>
      <c r="Q634" t="s">
        <v>32</v>
      </c>
    </row>
    <row r="635" spans="1:17" x14ac:dyDescent="0.25">
      <c r="A635" t="s">
        <v>752</v>
      </c>
      <c r="B635" s="1">
        <v>46038</v>
      </c>
      <c r="C635" t="s">
        <v>47</v>
      </c>
      <c r="D635" t="s">
        <v>114</v>
      </c>
      <c r="E635" t="s">
        <v>41</v>
      </c>
      <c r="F635" t="s">
        <v>50</v>
      </c>
      <c r="G635" t="s">
        <v>81</v>
      </c>
      <c r="H635" t="s">
        <v>38</v>
      </c>
      <c r="I635" t="s">
        <v>86</v>
      </c>
      <c r="J635">
        <v>39</v>
      </c>
      <c r="K635">
        <v>4943.58</v>
      </c>
      <c r="L635">
        <v>192799.62</v>
      </c>
      <c r="M635">
        <v>13173.93</v>
      </c>
      <c r="N635">
        <v>0</v>
      </c>
      <c r="O635">
        <v>179625.69</v>
      </c>
      <c r="P635" t="s">
        <v>32</v>
      </c>
      <c r="Q635" t="s">
        <v>26</v>
      </c>
    </row>
    <row r="636" spans="1:17" x14ac:dyDescent="0.25">
      <c r="A636" t="s">
        <v>753</v>
      </c>
      <c r="B636" s="1">
        <v>45994</v>
      </c>
      <c r="C636" t="s">
        <v>47</v>
      </c>
      <c r="D636" t="s">
        <v>48</v>
      </c>
      <c r="E636" t="s">
        <v>41</v>
      </c>
      <c r="F636" t="s">
        <v>36</v>
      </c>
      <c r="G636" t="s">
        <v>51</v>
      </c>
      <c r="H636" t="s">
        <v>67</v>
      </c>
      <c r="I636" t="s">
        <v>170</v>
      </c>
      <c r="J636">
        <v>33</v>
      </c>
      <c r="K636">
        <v>30484.959999999999</v>
      </c>
      <c r="L636">
        <v>1006003.68</v>
      </c>
      <c r="M636">
        <v>132575.18</v>
      </c>
      <c r="N636">
        <v>0</v>
      </c>
      <c r="O636">
        <v>873428.5</v>
      </c>
      <c r="P636" t="s">
        <v>32</v>
      </c>
      <c r="Q636" t="s">
        <v>26</v>
      </c>
    </row>
    <row r="637" spans="1:17" x14ac:dyDescent="0.25">
      <c r="A637" t="s">
        <v>754</v>
      </c>
      <c r="B637" s="1">
        <v>45994</v>
      </c>
      <c r="C637" t="s">
        <v>60</v>
      </c>
      <c r="D637" t="s">
        <v>65</v>
      </c>
      <c r="E637" t="s">
        <v>35</v>
      </c>
      <c r="F637" t="s">
        <v>50</v>
      </c>
      <c r="G637" t="s">
        <v>102</v>
      </c>
      <c r="H637" t="s">
        <v>44</v>
      </c>
      <c r="I637" t="s">
        <v>124</v>
      </c>
      <c r="J637">
        <v>48</v>
      </c>
      <c r="K637">
        <v>572.14</v>
      </c>
      <c r="L637">
        <v>27462.720000000001</v>
      </c>
      <c r="M637">
        <v>0</v>
      </c>
      <c r="N637">
        <v>0</v>
      </c>
      <c r="O637">
        <v>27462.720000000001</v>
      </c>
      <c r="P637" t="s">
        <v>32</v>
      </c>
      <c r="Q637" t="s">
        <v>32</v>
      </c>
    </row>
    <row r="638" spans="1:17" x14ac:dyDescent="0.25">
      <c r="A638" t="s">
        <v>755</v>
      </c>
      <c r="B638" s="1">
        <v>46004</v>
      </c>
      <c r="C638" t="s">
        <v>47</v>
      </c>
      <c r="D638" t="s">
        <v>48</v>
      </c>
      <c r="E638" t="s">
        <v>41</v>
      </c>
      <c r="F638" t="s">
        <v>62</v>
      </c>
      <c r="G638" t="s">
        <v>29</v>
      </c>
      <c r="H638" t="s">
        <v>44</v>
      </c>
      <c r="I638" t="s">
        <v>45</v>
      </c>
      <c r="J638">
        <v>5</v>
      </c>
      <c r="K638">
        <v>24281.67</v>
      </c>
      <c r="L638">
        <v>121408.35</v>
      </c>
      <c r="M638">
        <v>21630.04</v>
      </c>
      <c r="N638">
        <v>0</v>
      </c>
      <c r="O638">
        <v>99778.31</v>
      </c>
      <c r="P638" t="s">
        <v>25</v>
      </c>
      <c r="Q638" t="s">
        <v>26</v>
      </c>
    </row>
    <row r="639" spans="1:17" x14ac:dyDescent="0.25">
      <c r="A639" t="s">
        <v>756</v>
      </c>
      <c r="B639" s="1">
        <v>45990</v>
      </c>
      <c r="C639" t="s">
        <v>60</v>
      </c>
      <c r="D639" t="s">
        <v>65</v>
      </c>
      <c r="E639" t="s">
        <v>41</v>
      </c>
      <c r="F639" t="s">
        <v>42</v>
      </c>
      <c r="G639" t="s">
        <v>138</v>
      </c>
      <c r="H639" t="s">
        <v>23</v>
      </c>
      <c r="I639" t="s">
        <v>24</v>
      </c>
      <c r="J639">
        <v>5</v>
      </c>
      <c r="K639">
        <v>8095.04</v>
      </c>
      <c r="L639">
        <v>40475.199999999997</v>
      </c>
      <c r="M639">
        <v>0</v>
      </c>
      <c r="N639">
        <v>0</v>
      </c>
      <c r="O639">
        <v>40475.199999999997</v>
      </c>
      <c r="P639" t="s">
        <v>31</v>
      </c>
      <c r="Q639" t="s">
        <v>32</v>
      </c>
    </row>
    <row r="640" spans="1:17" x14ac:dyDescent="0.25">
      <c r="A640" t="s">
        <v>757</v>
      </c>
      <c r="B640" s="1">
        <v>45969</v>
      </c>
      <c r="C640" t="s">
        <v>60</v>
      </c>
      <c r="D640" t="s">
        <v>61</v>
      </c>
      <c r="E640" t="s">
        <v>20</v>
      </c>
      <c r="F640" t="s">
        <v>112</v>
      </c>
      <c r="G640" t="s">
        <v>29</v>
      </c>
      <c r="H640" t="s">
        <v>67</v>
      </c>
      <c r="I640" t="s">
        <v>103</v>
      </c>
      <c r="J640">
        <v>46</v>
      </c>
      <c r="K640">
        <v>907.43</v>
      </c>
      <c r="L640">
        <v>41741.78</v>
      </c>
      <c r="M640">
        <v>143.77000000000001</v>
      </c>
      <c r="N640">
        <v>0</v>
      </c>
      <c r="O640">
        <v>41598.01</v>
      </c>
      <c r="P640" t="s">
        <v>73</v>
      </c>
      <c r="Q640" t="s">
        <v>26</v>
      </c>
    </row>
    <row r="641" spans="1:17" x14ac:dyDescent="0.25">
      <c r="A641" t="s">
        <v>758</v>
      </c>
      <c r="B641" s="1">
        <v>45989</v>
      </c>
      <c r="C641" t="s">
        <v>47</v>
      </c>
      <c r="D641" t="s">
        <v>127</v>
      </c>
      <c r="E641" t="s">
        <v>35</v>
      </c>
      <c r="F641" t="s">
        <v>36</v>
      </c>
      <c r="G641" t="s">
        <v>66</v>
      </c>
      <c r="H641" t="s">
        <v>57</v>
      </c>
      <c r="I641" t="s">
        <v>118</v>
      </c>
      <c r="J641">
        <v>46</v>
      </c>
      <c r="K641">
        <v>4855.2700000000004</v>
      </c>
      <c r="L641">
        <v>223342.42</v>
      </c>
      <c r="M641">
        <v>0</v>
      </c>
      <c r="N641">
        <v>0</v>
      </c>
      <c r="O641">
        <v>223342.42</v>
      </c>
      <c r="P641" t="s">
        <v>73</v>
      </c>
      <c r="Q641" t="s">
        <v>26</v>
      </c>
    </row>
    <row r="642" spans="1:17" x14ac:dyDescent="0.25">
      <c r="A642" t="s">
        <v>759</v>
      </c>
      <c r="B642" s="1">
        <v>46041</v>
      </c>
      <c r="C642" t="s">
        <v>47</v>
      </c>
      <c r="D642" t="s">
        <v>127</v>
      </c>
      <c r="E642" t="s">
        <v>35</v>
      </c>
      <c r="F642" t="s">
        <v>112</v>
      </c>
      <c r="G642" t="s">
        <v>138</v>
      </c>
      <c r="H642" t="s">
        <v>67</v>
      </c>
      <c r="I642" t="s">
        <v>77</v>
      </c>
      <c r="J642">
        <v>12</v>
      </c>
      <c r="K642">
        <v>32873.53</v>
      </c>
      <c r="L642">
        <v>394482.36</v>
      </c>
      <c r="M642">
        <v>0</v>
      </c>
      <c r="N642">
        <v>0</v>
      </c>
      <c r="O642">
        <v>394482.36</v>
      </c>
      <c r="P642" t="s">
        <v>25</v>
      </c>
      <c r="Q642" t="s">
        <v>26</v>
      </c>
    </row>
    <row r="643" spans="1:17" x14ac:dyDescent="0.25">
      <c r="A643" t="s">
        <v>760</v>
      </c>
      <c r="B643" s="1">
        <v>46004</v>
      </c>
      <c r="C643" t="s">
        <v>60</v>
      </c>
      <c r="D643" t="s">
        <v>151</v>
      </c>
      <c r="E643" t="s">
        <v>49</v>
      </c>
      <c r="F643" t="s">
        <v>36</v>
      </c>
      <c r="G643" t="s">
        <v>140</v>
      </c>
      <c r="H643" t="s">
        <v>57</v>
      </c>
      <c r="I643" t="s">
        <v>72</v>
      </c>
      <c r="J643">
        <v>14</v>
      </c>
      <c r="K643">
        <v>27428.04</v>
      </c>
      <c r="L643">
        <v>383992.56</v>
      </c>
      <c r="M643">
        <v>58731.01</v>
      </c>
      <c r="N643">
        <v>0</v>
      </c>
      <c r="O643">
        <v>325261.55</v>
      </c>
      <c r="P643" t="s">
        <v>25</v>
      </c>
      <c r="Q643" t="s">
        <v>26</v>
      </c>
    </row>
    <row r="644" spans="1:17" x14ac:dyDescent="0.25">
      <c r="A644" t="s">
        <v>761</v>
      </c>
      <c r="B644" s="1">
        <v>45966</v>
      </c>
      <c r="C644" t="s">
        <v>47</v>
      </c>
      <c r="D644" t="s">
        <v>48</v>
      </c>
      <c r="E644" t="s">
        <v>20</v>
      </c>
      <c r="F644" t="s">
        <v>84</v>
      </c>
      <c r="G644" t="s">
        <v>37</v>
      </c>
      <c r="H644" t="s">
        <v>23</v>
      </c>
      <c r="I644" t="s">
        <v>131</v>
      </c>
      <c r="J644">
        <v>19</v>
      </c>
      <c r="K644">
        <v>5060.54</v>
      </c>
      <c r="L644">
        <v>96150.26</v>
      </c>
      <c r="M644">
        <v>2500.64</v>
      </c>
      <c r="N644">
        <v>0</v>
      </c>
      <c r="O644">
        <v>93649.62</v>
      </c>
      <c r="P644" t="s">
        <v>73</v>
      </c>
      <c r="Q644" t="s">
        <v>26</v>
      </c>
    </row>
    <row r="645" spans="1:17" x14ac:dyDescent="0.25">
      <c r="A645" t="s">
        <v>762</v>
      </c>
      <c r="B645" s="1">
        <v>45964</v>
      </c>
      <c r="C645" t="s">
        <v>47</v>
      </c>
      <c r="D645" t="s">
        <v>48</v>
      </c>
      <c r="E645" t="s">
        <v>35</v>
      </c>
      <c r="F645" t="s">
        <v>84</v>
      </c>
      <c r="G645" t="s">
        <v>85</v>
      </c>
      <c r="H645" t="s">
        <v>57</v>
      </c>
      <c r="I645" t="s">
        <v>72</v>
      </c>
      <c r="J645">
        <v>9</v>
      </c>
      <c r="K645">
        <v>19757.7</v>
      </c>
      <c r="L645">
        <v>177819.3</v>
      </c>
      <c r="M645">
        <v>9026.7800000000007</v>
      </c>
      <c r="N645">
        <v>0</v>
      </c>
      <c r="O645">
        <v>168792.52</v>
      </c>
      <c r="P645" t="s">
        <v>32</v>
      </c>
      <c r="Q645" t="s">
        <v>32</v>
      </c>
    </row>
    <row r="646" spans="1:17" x14ac:dyDescent="0.25">
      <c r="A646" t="s">
        <v>763</v>
      </c>
      <c r="B646" s="1">
        <v>45965</v>
      </c>
      <c r="C646" t="s">
        <v>47</v>
      </c>
      <c r="D646" t="s">
        <v>88</v>
      </c>
      <c r="E646" t="s">
        <v>20</v>
      </c>
      <c r="F646" t="s">
        <v>62</v>
      </c>
      <c r="G646" t="s">
        <v>63</v>
      </c>
      <c r="H646" t="s">
        <v>44</v>
      </c>
      <c r="I646" t="s">
        <v>281</v>
      </c>
      <c r="J646">
        <v>31</v>
      </c>
      <c r="K646">
        <v>36803.03</v>
      </c>
      <c r="L646">
        <v>1140893.93</v>
      </c>
      <c r="M646">
        <v>0</v>
      </c>
      <c r="N646">
        <v>0</v>
      </c>
      <c r="O646">
        <v>1140893.93</v>
      </c>
      <c r="P646" t="s">
        <v>31</v>
      </c>
      <c r="Q646" t="s">
        <v>32</v>
      </c>
    </row>
    <row r="647" spans="1:17" x14ac:dyDescent="0.25">
      <c r="A647" t="s">
        <v>764</v>
      </c>
      <c r="B647" s="1">
        <v>46021</v>
      </c>
      <c r="C647" t="s">
        <v>79</v>
      </c>
      <c r="D647" t="s">
        <v>80</v>
      </c>
      <c r="E647" t="s">
        <v>49</v>
      </c>
      <c r="F647" t="s">
        <v>112</v>
      </c>
      <c r="G647" t="s">
        <v>51</v>
      </c>
      <c r="H647" t="s">
        <v>94</v>
      </c>
      <c r="I647" t="s">
        <v>177</v>
      </c>
      <c r="J647">
        <v>49</v>
      </c>
      <c r="K647">
        <v>13860.37</v>
      </c>
      <c r="L647">
        <v>679158.13</v>
      </c>
      <c r="M647">
        <v>0</v>
      </c>
      <c r="N647">
        <v>138856.46</v>
      </c>
      <c r="O647">
        <v>540301.67000000004</v>
      </c>
      <c r="P647" t="s">
        <v>31</v>
      </c>
      <c r="Q647" t="s">
        <v>32</v>
      </c>
    </row>
    <row r="648" spans="1:17" x14ac:dyDescent="0.25">
      <c r="A648" t="s">
        <v>765</v>
      </c>
      <c r="B648" s="1">
        <v>45976</v>
      </c>
      <c r="C648" t="s">
        <v>47</v>
      </c>
      <c r="D648" t="s">
        <v>48</v>
      </c>
      <c r="E648" t="s">
        <v>35</v>
      </c>
      <c r="F648" t="s">
        <v>21</v>
      </c>
      <c r="G648" t="s">
        <v>22</v>
      </c>
      <c r="H648" t="s">
        <v>44</v>
      </c>
      <c r="I648" t="s">
        <v>281</v>
      </c>
      <c r="J648">
        <v>41</v>
      </c>
      <c r="K648">
        <v>14604.63</v>
      </c>
      <c r="L648">
        <v>598789.82999999996</v>
      </c>
      <c r="M648">
        <v>68466.789999999994</v>
      </c>
      <c r="N648">
        <v>0</v>
      </c>
      <c r="O648">
        <v>530323.04</v>
      </c>
      <c r="P648" t="s">
        <v>32</v>
      </c>
      <c r="Q648" t="s">
        <v>26</v>
      </c>
    </row>
    <row r="649" spans="1:17" x14ac:dyDescent="0.25">
      <c r="A649" t="s">
        <v>766</v>
      </c>
      <c r="B649" s="1">
        <v>46031</v>
      </c>
      <c r="C649" t="s">
        <v>18</v>
      </c>
      <c r="D649" t="s">
        <v>19</v>
      </c>
      <c r="E649" t="s">
        <v>41</v>
      </c>
      <c r="F649" t="s">
        <v>62</v>
      </c>
      <c r="G649" t="s">
        <v>66</v>
      </c>
      <c r="H649" t="s">
        <v>38</v>
      </c>
      <c r="I649" t="s">
        <v>175</v>
      </c>
      <c r="J649">
        <v>12</v>
      </c>
      <c r="K649">
        <v>41531.919999999998</v>
      </c>
      <c r="L649">
        <v>498383.04</v>
      </c>
      <c r="M649">
        <v>0</v>
      </c>
      <c r="N649">
        <v>0</v>
      </c>
      <c r="O649">
        <v>498383.04</v>
      </c>
      <c r="P649" t="s">
        <v>31</v>
      </c>
      <c r="Q649" t="s">
        <v>32</v>
      </c>
    </row>
    <row r="650" spans="1:17" x14ac:dyDescent="0.25">
      <c r="A650" t="s">
        <v>767</v>
      </c>
      <c r="B650" s="1">
        <v>46037</v>
      </c>
      <c r="C650" t="s">
        <v>18</v>
      </c>
      <c r="D650" t="s">
        <v>34</v>
      </c>
      <c r="E650" t="s">
        <v>49</v>
      </c>
      <c r="F650" t="s">
        <v>42</v>
      </c>
      <c r="G650" t="s">
        <v>102</v>
      </c>
      <c r="H650" t="s">
        <v>23</v>
      </c>
      <c r="I650" t="s">
        <v>99</v>
      </c>
      <c r="J650">
        <v>16</v>
      </c>
      <c r="K650">
        <v>44566.55</v>
      </c>
      <c r="L650">
        <v>713064.8</v>
      </c>
      <c r="M650">
        <v>0</v>
      </c>
      <c r="N650">
        <v>0</v>
      </c>
      <c r="O650">
        <v>713064.8</v>
      </c>
      <c r="P650" t="s">
        <v>73</v>
      </c>
      <c r="Q650" t="s">
        <v>32</v>
      </c>
    </row>
    <row r="651" spans="1:17" x14ac:dyDescent="0.25">
      <c r="A651" t="s">
        <v>768</v>
      </c>
      <c r="B651" s="1">
        <v>46025</v>
      </c>
      <c r="C651" t="s">
        <v>79</v>
      </c>
      <c r="D651" t="s">
        <v>91</v>
      </c>
      <c r="E651" t="s">
        <v>35</v>
      </c>
      <c r="F651" t="s">
        <v>62</v>
      </c>
      <c r="G651" t="s">
        <v>51</v>
      </c>
      <c r="H651" t="s">
        <v>38</v>
      </c>
      <c r="I651" t="s">
        <v>120</v>
      </c>
      <c r="J651">
        <v>29</v>
      </c>
      <c r="K651">
        <v>44509.57</v>
      </c>
      <c r="L651">
        <v>1290777.53</v>
      </c>
      <c r="M651">
        <v>209561.4</v>
      </c>
      <c r="N651">
        <v>0</v>
      </c>
      <c r="O651">
        <v>1081216.1299999999</v>
      </c>
      <c r="P651" t="s">
        <v>25</v>
      </c>
      <c r="Q651" t="s">
        <v>128</v>
      </c>
    </row>
    <row r="652" spans="1:17" x14ac:dyDescent="0.25">
      <c r="A652" t="s">
        <v>769</v>
      </c>
      <c r="B652" s="1">
        <v>45997</v>
      </c>
      <c r="C652" t="s">
        <v>18</v>
      </c>
      <c r="D652" t="s">
        <v>19</v>
      </c>
      <c r="E652" t="s">
        <v>41</v>
      </c>
      <c r="F652" t="s">
        <v>84</v>
      </c>
      <c r="G652" t="s">
        <v>37</v>
      </c>
      <c r="H652" t="s">
        <v>44</v>
      </c>
      <c r="I652" t="s">
        <v>141</v>
      </c>
      <c r="J652">
        <v>4</v>
      </c>
      <c r="K652">
        <v>1593.83</v>
      </c>
      <c r="L652">
        <v>6375.32</v>
      </c>
      <c r="M652">
        <v>1135.55</v>
      </c>
      <c r="N652">
        <v>0</v>
      </c>
      <c r="O652">
        <v>5239.7700000000004</v>
      </c>
      <c r="P652" t="s">
        <v>73</v>
      </c>
      <c r="Q652" t="s">
        <v>32</v>
      </c>
    </row>
    <row r="653" spans="1:17" x14ac:dyDescent="0.25">
      <c r="A653" t="s">
        <v>770</v>
      </c>
      <c r="B653" s="1">
        <v>45987</v>
      </c>
      <c r="C653" t="s">
        <v>18</v>
      </c>
      <c r="D653" t="s">
        <v>75</v>
      </c>
      <c r="E653" t="s">
        <v>20</v>
      </c>
      <c r="F653" t="s">
        <v>62</v>
      </c>
      <c r="G653" t="s">
        <v>89</v>
      </c>
      <c r="H653" t="s">
        <v>67</v>
      </c>
      <c r="I653" t="s">
        <v>154</v>
      </c>
      <c r="J653">
        <v>1</v>
      </c>
      <c r="K653">
        <v>47863.040000000001</v>
      </c>
      <c r="L653">
        <v>47863.040000000001</v>
      </c>
      <c r="M653">
        <v>9284.94</v>
      </c>
      <c r="N653">
        <v>11286.7</v>
      </c>
      <c r="O653">
        <v>27291.4</v>
      </c>
      <c r="P653" t="s">
        <v>73</v>
      </c>
      <c r="Q653" t="s">
        <v>32</v>
      </c>
    </row>
    <row r="654" spans="1:17" x14ac:dyDescent="0.25">
      <c r="A654" t="s">
        <v>771</v>
      </c>
      <c r="B654" s="1">
        <v>46000</v>
      </c>
      <c r="C654" t="s">
        <v>18</v>
      </c>
      <c r="D654" t="s">
        <v>19</v>
      </c>
      <c r="E654" t="s">
        <v>35</v>
      </c>
      <c r="F654" t="s">
        <v>84</v>
      </c>
      <c r="G654" t="s">
        <v>89</v>
      </c>
      <c r="H654" t="s">
        <v>94</v>
      </c>
      <c r="I654" t="s">
        <v>95</v>
      </c>
      <c r="J654">
        <v>19</v>
      </c>
      <c r="K654">
        <v>11543.45</v>
      </c>
      <c r="L654">
        <v>219325.55</v>
      </c>
      <c r="M654">
        <v>0</v>
      </c>
      <c r="N654">
        <v>0</v>
      </c>
      <c r="O654">
        <v>219325.55</v>
      </c>
      <c r="P654" t="s">
        <v>25</v>
      </c>
      <c r="Q654" t="s">
        <v>32</v>
      </c>
    </row>
    <row r="655" spans="1:17" x14ac:dyDescent="0.25">
      <c r="A655" t="s">
        <v>772</v>
      </c>
      <c r="B655" s="1">
        <v>45960</v>
      </c>
      <c r="C655" t="s">
        <v>54</v>
      </c>
      <c r="D655" t="s">
        <v>55</v>
      </c>
      <c r="E655" t="s">
        <v>20</v>
      </c>
      <c r="F655" t="s">
        <v>42</v>
      </c>
      <c r="G655" t="s">
        <v>98</v>
      </c>
      <c r="H655" t="s">
        <v>67</v>
      </c>
      <c r="I655" t="s">
        <v>68</v>
      </c>
      <c r="J655">
        <v>28</v>
      </c>
      <c r="K655">
        <v>15243.24</v>
      </c>
      <c r="L655">
        <v>426810.72</v>
      </c>
      <c r="M655">
        <v>0</v>
      </c>
      <c r="N655">
        <v>0</v>
      </c>
      <c r="O655">
        <v>426810.72</v>
      </c>
      <c r="P655" t="s">
        <v>32</v>
      </c>
      <c r="Q655" t="s">
        <v>26</v>
      </c>
    </row>
    <row r="656" spans="1:17" x14ac:dyDescent="0.25">
      <c r="A656" t="s">
        <v>773</v>
      </c>
      <c r="B656" s="1">
        <v>46030</v>
      </c>
      <c r="C656" t="s">
        <v>18</v>
      </c>
      <c r="D656" t="s">
        <v>34</v>
      </c>
      <c r="E656" t="s">
        <v>35</v>
      </c>
      <c r="F656" t="s">
        <v>50</v>
      </c>
      <c r="G656" t="s">
        <v>43</v>
      </c>
      <c r="H656" t="s">
        <v>94</v>
      </c>
      <c r="I656" t="s">
        <v>95</v>
      </c>
      <c r="J656">
        <v>3</v>
      </c>
      <c r="K656">
        <v>49192.32</v>
      </c>
      <c r="L656">
        <v>147576.95999999999</v>
      </c>
      <c r="M656">
        <v>0</v>
      </c>
      <c r="N656">
        <v>0</v>
      </c>
      <c r="O656">
        <v>147576.95999999999</v>
      </c>
      <c r="P656" t="s">
        <v>25</v>
      </c>
      <c r="Q656" t="s">
        <v>128</v>
      </c>
    </row>
    <row r="657" spans="1:17" x14ac:dyDescent="0.25">
      <c r="A657" t="s">
        <v>774</v>
      </c>
      <c r="B657" s="1">
        <v>46023</v>
      </c>
      <c r="C657" t="s">
        <v>47</v>
      </c>
      <c r="D657" t="s">
        <v>88</v>
      </c>
      <c r="E657" t="s">
        <v>35</v>
      </c>
      <c r="F657" t="s">
        <v>71</v>
      </c>
      <c r="G657" t="s">
        <v>56</v>
      </c>
      <c r="H657" t="s">
        <v>23</v>
      </c>
      <c r="I657" t="s">
        <v>99</v>
      </c>
      <c r="J657">
        <v>44</v>
      </c>
      <c r="K657">
        <v>2408.15</v>
      </c>
      <c r="L657">
        <v>105958.6</v>
      </c>
      <c r="M657">
        <v>0</v>
      </c>
      <c r="N657">
        <v>0</v>
      </c>
      <c r="O657">
        <v>105958.6</v>
      </c>
      <c r="P657" t="s">
        <v>32</v>
      </c>
      <c r="Q657" t="s">
        <v>32</v>
      </c>
    </row>
    <row r="658" spans="1:17" x14ac:dyDescent="0.25">
      <c r="A658" t="s">
        <v>775</v>
      </c>
      <c r="B658" s="1">
        <v>45974</v>
      </c>
      <c r="C658" t="s">
        <v>47</v>
      </c>
      <c r="D658" t="s">
        <v>114</v>
      </c>
      <c r="E658" t="s">
        <v>35</v>
      </c>
      <c r="F658" t="s">
        <v>21</v>
      </c>
      <c r="G658" t="s">
        <v>85</v>
      </c>
      <c r="H658" t="s">
        <v>57</v>
      </c>
      <c r="I658" t="s">
        <v>118</v>
      </c>
      <c r="J658">
        <v>4</v>
      </c>
      <c r="K658">
        <v>45504.12</v>
      </c>
      <c r="L658">
        <v>182016.48</v>
      </c>
      <c r="M658">
        <v>20757.5</v>
      </c>
      <c r="N658">
        <v>0</v>
      </c>
      <c r="O658">
        <v>161258.98000000001</v>
      </c>
      <c r="P658" t="s">
        <v>25</v>
      </c>
      <c r="Q658" t="s">
        <v>26</v>
      </c>
    </row>
    <row r="659" spans="1:17" x14ac:dyDescent="0.25">
      <c r="A659" t="s">
        <v>776</v>
      </c>
      <c r="B659" s="1">
        <v>46019</v>
      </c>
      <c r="C659" t="s">
        <v>54</v>
      </c>
      <c r="D659" t="s">
        <v>70</v>
      </c>
      <c r="E659" t="s">
        <v>41</v>
      </c>
      <c r="F659" t="s">
        <v>137</v>
      </c>
      <c r="G659" t="s">
        <v>29</v>
      </c>
      <c r="H659" t="s">
        <v>44</v>
      </c>
      <c r="I659" t="s">
        <v>124</v>
      </c>
      <c r="J659">
        <v>2</v>
      </c>
      <c r="K659">
        <v>19909.64</v>
      </c>
      <c r="L659">
        <v>39819.279999999999</v>
      </c>
      <c r="M659">
        <v>0</v>
      </c>
      <c r="N659">
        <v>0</v>
      </c>
      <c r="O659">
        <v>39819.279999999999</v>
      </c>
      <c r="P659" t="s">
        <v>25</v>
      </c>
      <c r="Q659" t="s">
        <v>26</v>
      </c>
    </row>
    <row r="660" spans="1:17" x14ac:dyDescent="0.25">
      <c r="A660" t="s">
        <v>777</v>
      </c>
      <c r="B660" s="1">
        <v>45976</v>
      </c>
      <c r="C660" t="s">
        <v>54</v>
      </c>
      <c r="D660" t="s">
        <v>70</v>
      </c>
      <c r="E660" t="s">
        <v>49</v>
      </c>
      <c r="F660" t="s">
        <v>137</v>
      </c>
      <c r="G660" t="s">
        <v>63</v>
      </c>
      <c r="H660" t="s">
        <v>67</v>
      </c>
      <c r="I660" t="s">
        <v>77</v>
      </c>
      <c r="J660">
        <v>37</v>
      </c>
      <c r="K660">
        <v>44330.01</v>
      </c>
      <c r="L660">
        <v>1640210.37</v>
      </c>
      <c r="M660">
        <v>0</v>
      </c>
      <c r="N660">
        <v>0</v>
      </c>
      <c r="O660">
        <v>1640210.37</v>
      </c>
      <c r="P660" t="s">
        <v>31</v>
      </c>
      <c r="Q660" t="s">
        <v>32</v>
      </c>
    </row>
    <row r="661" spans="1:17" x14ac:dyDescent="0.25">
      <c r="A661" t="s">
        <v>778</v>
      </c>
      <c r="B661" s="1">
        <v>45962</v>
      </c>
      <c r="C661" t="s">
        <v>60</v>
      </c>
      <c r="D661" t="s">
        <v>65</v>
      </c>
      <c r="E661" t="s">
        <v>41</v>
      </c>
      <c r="F661" t="s">
        <v>71</v>
      </c>
      <c r="G661" t="s">
        <v>37</v>
      </c>
      <c r="H661" t="s">
        <v>94</v>
      </c>
      <c r="I661" t="s">
        <v>95</v>
      </c>
      <c r="J661">
        <v>16</v>
      </c>
      <c r="K661">
        <v>22101.97</v>
      </c>
      <c r="L661">
        <v>353631.52</v>
      </c>
      <c r="M661">
        <v>0</v>
      </c>
      <c r="N661">
        <v>57460.17</v>
      </c>
      <c r="O661">
        <v>296171.34999999998</v>
      </c>
      <c r="P661" t="s">
        <v>32</v>
      </c>
      <c r="Q661" t="s">
        <v>32</v>
      </c>
    </row>
    <row r="662" spans="1:17" x14ac:dyDescent="0.25">
      <c r="A662" t="s">
        <v>779</v>
      </c>
      <c r="B662" s="1">
        <v>46025</v>
      </c>
      <c r="C662" t="s">
        <v>54</v>
      </c>
      <c r="D662" t="s">
        <v>97</v>
      </c>
      <c r="E662" t="s">
        <v>35</v>
      </c>
      <c r="F662" t="s">
        <v>36</v>
      </c>
      <c r="G662" t="s">
        <v>43</v>
      </c>
      <c r="H662" t="s">
        <v>23</v>
      </c>
      <c r="I662" t="s">
        <v>131</v>
      </c>
      <c r="J662">
        <v>23</v>
      </c>
      <c r="K662">
        <v>2832.15</v>
      </c>
      <c r="L662">
        <v>65139.45</v>
      </c>
      <c r="M662">
        <v>7628.24</v>
      </c>
      <c r="N662">
        <v>0</v>
      </c>
      <c r="O662">
        <v>57511.21</v>
      </c>
      <c r="P662" t="s">
        <v>32</v>
      </c>
      <c r="Q662" t="s">
        <v>26</v>
      </c>
    </row>
    <row r="663" spans="1:17" x14ac:dyDescent="0.25">
      <c r="A663" t="s">
        <v>780</v>
      </c>
      <c r="B663" s="1">
        <v>45997</v>
      </c>
      <c r="C663" t="s">
        <v>47</v>
      </c>
      <c r="D663" t="s">
        <v>127</v>
      </c>
      <c r="E663" t="s">
        <v>20</v>
      </c>
      <c r="F663" t="s">
        <v>50</v>
      </c>
      <c r="G663" t="s">
        <v>56</v>
      </c>
      <c r="H663" t="s">
        <v>38</v>
      </c>
      <c r="I663" t="s">
        <v>86</v>
      </c>
      <c r="J663">
        <v>6</v>
      </c>
      <c r="K663">
        <v>11151.35</v>
      </c>
      <c r="L663">
        <v>66908.100000000006</v>
      </c>
      <c r="M663">
        <v>6075.73</v>
      </c>
      <c r="N663">
        <v>0</v>
      </c>
      <c r="O663">
        <v>60832.37</v>
      </c>
      <c r="P663" t="s">
        <v>32</v>
      </c>
      <c r="Q663" t="s">
        <v>32</v>
      </c>
    </row>
    <row r="664" spans="1:17" x14ac:dyDescent="0.25">
      <c r="A664" t="s">
        <v>781</v>
      </c>
      <c r="B664" s="1">
        <v>46023</v>
      </c>
      <c r="C664" t="s">
        <v>54</v>
      </c>
      <c r="D664" t="s">
        <v>70</v>
      </c>
      <c r="E664" t="s">
        <v>49</v>
      </c>
      <c r="F664" t="s">
        <v>50</v>
      </c>
      <c r="G664" t="s">
        <v>138</v>
      </c>
      <c r="H664" t="s">
        <v>44</v>
      </c>
      <c r="I664" t="s">
        <v>124</v>
      </c>
      <c r="J664">
        <v>22</v>
      </c>
      <c r="K664">
        <v>47816.23</v>
      </c>
      <c r="L664">
        <v>1051957.06</v>
      </c>
      <c r="M664">
        <v>24900.52</v>
      </c>
      <c r="N664">
        <v>0</v>
      </c>
      <c r="O664">
        <v>1027056.54</v>
      </c>
      <c r="P664" t="s">
        <v>73</v>
      </c>
      <c r="Q664" t="s">
        <v>32</v>
      </c>
    </row>
    <row r="665" spans="1:17" x14ac:dyDescent="0.25">
      <c r="A665" t="s">
        <v>782</v>
      </c>
      <c r="B665" s="1">
        <v>46041</v>
      </c>
      <c r="C665" t="s">
        <v>47</v>
      </c>
      <c r="D665" t="s">
        <v>88</v>
      </c>
      <c r="E665" t="s">
        <v>20</v>
      </c>
      <c r="F665" t="s">
        <v>84</v>
      </c>
      <c r="G665" t="s">
        <v>138</v>
      </c>
      <c r="H665" t="s">
        <v>38</v>
      </c>
      <c r="I665" t="s">
        <v>39</v>
      </c>
      <c r="J665">
        <v>18</v>
      </c>
      <c r="K665">
        <v>20984.400000000001</v>
      </c>
      <c r="L665">
        <v>377719.2</v>
      </c>
      <c r="M665">
        <v>73135.59</v>
      </c>
      <c r="N665">
        <v>0</v>
      </c>
      <c r="O665">
        <v>304583.61</v>
      </c>
      <c r="P665" t="s">
        <v>25</v>
      </c>
      <c r="Q665" t="s">
        <v>26</v>
      </c>
    </row>
    <row r="666" spans="1:17" x14ac:dyDescent="0.25">
      <c r="A666" t="s">
        <v>783</v>
      </c>
      <c r="B666" s="1">
        <v>46006</v>
      </c>
      <c r="C666" t="s">
        <v>79</v>
      </c>
      <c r="D666" t="s">
        <v>101</v>
      </c>
      <c r="E666" t="s">
        <v>49</v>
      </c>
      <c r="F666" t="s">
        <v>105</v>
      </c>
      <c r="G666" t="s">
        <v>98</v>
      </c>
      <c r="H666" t="s">
        <v>57</v>
      </c>
      <c r="I666" t="s">
        <v>160</v>
      </c>
      <c r="J666">
        <v>9</v>
      </c>
      <c r="K666">
        <v>11682.21</v>
      </c>
      <c r="L666">
        <v>105139.89</v>
      </c>
      <c r="M666">
        <v>8398.83</v>
      </c>
      <c r="N666">
        <v>0</v>
      </c>
      <c r="O666">
        <v>96741.06</v>
      </c>
      <c r="P666" t="s">
        <v>73</v>
      </c>
      <c r="Q666" t="s">
        <v>32</v>
      </c>
    </row>
    <row r="667" spans="1:17" x14ac:dyDescent="0.25">
      <c r="A667" t="s">
        <v>784</v>
      </c>
      <c r="B667" s="1">
        <v>45980</v>
      </c>
      <c r="C667" t="s">
        <v>54</v>
      </c>
      <c r="D667" t="s">
        <v>133</v>
      </c>
      <c r="E667" t="s">
        <v>49</v>
      </c>
      <c r="F667" t="s">
        <v>105</v>
      </c>
      <c r="G667" t="s">
        <v>140</v>
      </c>
      <c r="H667" t="s">
        <v>44</v>
      </c>
      <c r="I667" t="s">
        <v>152</v>
      </c>
      <c r="J667">
        <v>22</v>
      </c>
      <c r="K667">
        <v>22505.56</v>
      </c>
      <c r="L667">
        <v>495122.32</v>
      </c>
      <c r="M667">
        <v>38269.21</v>
      </c>
      <c r="N667">
        <v>0</v>
      </c>
      <c r="O667">
        <v>456853.11</v>
      </c>
      <c r="P667" t="s">
        <v>32</v>
      </c>
      <c r="Q667" t="s">
        <v>32</v>
      </c>
    </row>
    <row r="668" spans="1:17" x14ac:dyDescent="0.25">
      <c r="A668" t="s">
        <v>785</v>
      </c>
      <c r="B668" s="1">
        <v>45954</v>
      </c>
      <c r="C668" t="s">
        <v>60</v>
      </c>
      <c r="D668" t="s">
        <v>151</v>
      </c>
      <c r="E668" t="s">
        <v>35</v>
      </c>
      <c r="F668" t="s">
        <v>71</v>
      </c>
      <c r="G668" t="s">
        <v>89</v>
      </c>
      <c r="H668" t="s">
        <v>67</v>
      </c>
      <c r="I668" t="s">
        <v>170</v>
      </c>
      <c r="J668">
        <v>44</v>
      </c>
      <c r="K668">
        <v>13287.37</v>
      </c>
      <c r="L668">
        <v>584644.28</v>
      </c>
      <c r="M668">
        <v>109679.54</v>
      </c>
      <c r="N668">
        <v>50080.46</v>
      </c>
      <c r="O668">
        <v>424884.28</v>
      </c>
      <c r="P668" t="s">
        <v>25</v>
      </c>
      <c r="Q668" t="s">
        <v>26</v>
      </c>
    </row>
    <row r="669" spans="1:17" x14ac:dyDescent="0.25">
      <c r="A669" t="s">
        <v>786</v>
      </c>
      <c r="B669" s="1">
        <v>45960</v>
      </c>
      <c r="C669" t="s">
        <v>18</v>
      </c>
      <c r="D669" t="s">
        <v>19</v>
      </c>
      <c r="E669" t="s">
        <v>41</v>
      </c>
      <c r="F669" t="s">
        <v>137</v>
      </c>
      <c r="G669" t="s">
        <v>66</v>
      </c>
      <c r="H669" t="s">
        <v>67</v>
      </c>
      <c r="I669" t="s">
        <v>77</v>
      </c>
      <c r="J669">
        <v>21</v>
      </c>
      <c r="K669">
        <v>47419.93</v>
      </c>
      <c r="L669">
        <v>995818.53</v>
      </c>
      <c r="M669">
        <v>0</v>
      </c>
      <c r="N669">
        <v>0</v>
      </c>
      <c r="O669">
        <v>995818.53</v>
      </c>
      <c r="P669" t="s">
        <v>25</v>
      </c>
      <c r="Q669" t="s">
        <v>26</v>
      </c>
    </row>
    <row r="670" spans="1:17" x14ac:dyDescent="0.25">
      <c r="A670" t="s">
        <v>787</v>
      </c>
      <c r="B670" s="1">
        <v>46003</v>
      </c>
      <c r="C670" t="s">
        <v>18</v>
      </c>
      <c r="D670" t="s">
        <v>75</v>
      </c>
      <c r="E670" t="s">
        <v>35</v>
      </c>
      <c r="F670" t="s">
        <v>50</v>
      </c>
      <c r="G670" t="s">
        <v>140</v>
      </c>
      <c r="H670" t="s">
        <v>23</v>
      </c>
      <c r="I670" t="s">
        <v>131</v>
      </c>
      <c r="J670">
        <v>10</v>
      </c>
      <c r="K670">
        <v>34356.39</v>
      </c>
      <c r="L670">
        <v>343563.9</v>
      </c>
      <c r="M670">
        <v>24142.06</v>
      </c>
      <c r="N670">
        <v>0</v>
      </c>
      <c r="O670">
        <v>319421.84000000003</v>
      </c>
      <c r="P670" t="s">
        <v>31</v>
      </c>
      <c r="Q670" t="s">
        <v>32</v>
      </c>
    </row>
    <row r="671" spans="1:17" x14ac:dyDescent="0.25">
      <c r="A671" t="s">
        <v>788</v>
      </c>
      <c r="B671" s="1">
        <v>45999</v>
      </c>
      <c r="C671" t="s">
        <v>79</v>
      </c>
      <c r="D671" t="s">
        <v>91</v>
      </c>
      <c r="E671" t="s">
        <v>49</v>
      </c>
      <c r="F671" t="s">
        <v>42</v>
      </c>
      <c r="G671" t="s">
        <v>85</v>
      </c>
      <c r="H671" t="s">
        <v>94</v>
      </c>
      <c r="I671" t="s">
        <v>177</v>
      </c>
      <c r="J671">
        <v>14</v>
      </c>
      <c r="K671">
        <v>33798.58</v>
      </c>
      <c r="L671">
        <v>473180.12</v>
      </c>
      <c r="M671">
        <v>0</v>
      </c>
      <c r="N671">
        <v>0</v>
      </c>
      <c r="O671">
        <v>473180.12</v>
      </c>
      <c r="P671" t="s">
        <v>73</v>
      </c>
      <c r="Q671" t="s">
        <v>32</v>
      </c>
    </row>
    <row r="672" spans="1:17" x14ac:dyDescent="0.25">
      <c r="A672" t="s">
        <v>789</v>
      </c>
      <c r="B672" s="1">
        <v>46030</v>
      </c>
      <c r="C672" t="s">
        <v>18</v>
      </c>
      <c r="D672" t="s">
        <v>34</v>
      </c>
      <c r="E672" t="s">
        <v>49</v>
      </c>
      <c r="F672" t="s">
        <v>21</v>
      </c>
      <c r="G672" t="s">
        <v>89</v>
      </c>
      <c r="H672" t="s">
        <v>67</v>
      </c>
      <c r="I672" t="s">
        <v>154</v>
      </c>
      <c r="J672">
        <v>32</v>
      </c>
      <c r="K672">
        <v>5775.3</v>
      </c>
      <c r="L672">
        <v>184809.60000000001</v>
      </c>
      <c r="M672">
        <v>0</v>
      </c>
      <c r="N672">
        <v>0</v>
      </c>
      <c r="O672">
        <v>184809.60000000001</v>
      </c>
      <c r="P672" t="s">
        <v>31</v>
      </c>
      <c r="Q672" t="s">
        <v>32</v>
      </c>
    </row>
    <row r="673" spans="1:17" x14ac:dyDescent="0.25">
      <c r="A673" t="s">
        <v>790</v>
      </c>
      <c r="B673" s="1">
        <v>46033</v>
      </c>
      <c r="C673" t="s">
        <v>79</v>
      </c>
      <c r="D673" t="s">
        <v>101</v>
      </c>
      <c r="E673" t="s">
        <v>35</v>
      </c>
      <c r="F673" t="s">
        <v>36</v>
      </c>
      <c r="G673" t="s">
        <v>43</v>
      </c>
      <c r="H673" t="s">
        <v>94</v>
      </c>
      <c r="I673" t="s">
        <v>177</v>
      </c>
      <c r="J673">
        <v>6</v>
      </c>
      <c r="K673">
        <v>48560.22</v>
      </c>
      <c r="L673">
        <v>291361.32</v>
      </c>
      <c r="M673">
        <v>44670.27</v>
      </c>
      <c r="N673">
        <v>0</v>
      </c>
      <c r="O673">
        <v>246691.05</v>
      </c>
      <c r="P673" t="s">
        <v>31</v>
      </c>
      <c r="Q673" t="s">
        <v>32</v>
      </c>
    </row>
    <row r="674" spans="1:17" x14ac:dyDescent="0.25">
      <c r="A674" t="s">
        <v>791</v>
      </c>
      <c r="B674" s="1">
        <v>46019</v>
      </c>
      <c r="C674" t="s">
        <v>54</v>
      </c>
      <c r="D674" t="s">
        <v>133</v>
      </c>
      <c r="E674" t="s">
        <v>20</v>
      </c>
      <c r="F674" t="s">
        <v>71</v>
      </c>
      <c r="G674" t="s">
        <v>51</v>
      </c>
      <c r="H674" t="s">
        <v>44</v>
      </c>
      <c r="I674" t="s">
        <v>152</v>
      </c>
      <c r="J674">
        <v>36</v>
      </c>
      <c r="K674">
        <v>12395.87</v>
      </c>
      <c r="L674">
        <v>446251.32</v>
      </c>
      <c r="M674">
        <v>0</v>
      </c>
      <c r="N674">
        <v>0</v>
      </c>
      <c r="O674">
        <v>446251.32</v>
      </c>
      <c r="P674" t="s">
        <v>31</v>
      </c>
      <c r="Q674" t="s">
        <v>32</v>
      </c>
    </row>
    <row r="675" spans="1:17" x14ac:dyDescent="0.25">
      <c r="A675" t="s">
        <v>792</v>
      </c>
      <c r="B675" s="1">
        <v>46001</v>
      </c>
      <c r="C675" t="s">
        <v>47</v>
      </c>
      <c r="D675" t="s">
        <v>88</v>
      </c>
      <c r="E675" t="s">
        <v>41</v>
      </c>
      <c r="F675" t="s">
        <v>137</v>
      </c>
      <c r="G675" t="s">
        <v>51</v>
      </c>
      <c r="H675" t="s">
        <v>67</v>
      </c>
      <c r="I675" t="s">
        <v>103</v>
      </c>
      <c r="J675">
        <v>29</v>
      </c>
      <c r="K675">
        <v>33408.980000000003</v>
      </c>
      <c r="L675">
        <v>968860.42</v>
      </c>
      <c r="M675">
        <v>175242.78</v>
      </c>
      <c r="N675">
        <v>273054.93</v>
      </c>
      <c r="O675">
        <v>520562.71</v>
      </c>
      <c r="P675" t="s">
        <v>25</v>
      </c>
      <c r="Q675" t="s">
        <v>26</v>
      </c>
    </row>
    <row r="676" spans="1:17" x14ac:dyDescent="0.25">
      <c r="A676" t="s">
        <v>793</v>
      </c>
      <c r="B676" s="1">
        <v>45972</v>
      </c>
      <c r="C676" t="s">
        <v>18</v>
      </c>
      <c r="D676" t="s">
        <v>75</v>
      </c>
      <c r="E676" t="s">
        <v>35</v>
      </c>
      <c r="F676" t="s">
        <v>62</v>
      </c>
      <c r="G676" t="s">
        <v>81</v>
      </c>
      <c r="H676" t="s">
        <v>57</v>
      </c>
      <c r="I676" t="s">
        <v>118</v>
      </c>
      <c r="J676">
        <v>12</v>
      </c>
      <c r="K676">
        <v>26458.87</v>
      </c>
      <c r="L676">
        <v>317506.44</v>
      </c>
      <c r="M676">
        <v>24192.53</v>
      </c>
      <c r="N676">
        <v>54464.959999999999</v>
      </c>
      <c r="O676">
        <v>238848.95</v>
      </c>
      <c r="P676" t="s">
        <v>31</v>
      </c>
      <c r="Q676" t="s">
        <v>32</v>
      </c>
    </row>
    <row r="677" spans="1:17" x14ac:dyDescent="0.25">
      <c r="A677" t="s">
        <v>794</v>
      </c>
      <c r="B677" s="1">
        <v>45999</v>
      </c>
      <c r="C677" t="s">
        <v>79</v>
      </c>
      <c r="D677" t="s">
        <v>107</v>
      </c>
      <c r="E677" t="s">
        <v>20</v>
      </c>
      <c r="F677" t="s">
        <v>84</v>
      </c>
      <c r="G677" t="s">
        <v>63</v>
      </c>
      <c r="H677" t="s">
        <v>44</v>
      </c>
      <c r="I677" t="s">
        <v>281</v>
      </c>
      <c r="J677">
        <v>1</v>
      </c>
      <c r="K677">
        <v>26824.52</v>
      </c>
      <c r="L677">
        <v>26824.52</v>
      </c>
      <c r="M677">
        <v>0</v>
      </c>
      <c r="N677">
        <v>0</v>
      </c>
      <c r="O677">
        <v>26824.52</v>
      </c>
      <c r="P677" t="s">
        <v>32</v>
      </c>
      <c r="Q677" t="s">
        <v>26</v>
      </c>
    </row>
    <row r="678" spans="1:17" x14ac:dyDescent="0.25">
      <c r="A678" t="s">
        <v>795</v>
      </c>
      <c r="B678" s="1">
        <v>45971</v>
      </c>
      <c r="C678" t="s">
        <v>79</v>
      </c>
      <c r="D678" t="s">
        <v>91</v>
      </c>
      <c r="E678" t="s">
        <v>20</v>
      </c>
      <c r="F678" t="s">
        <v>62</v>
      </c>
      <c r="G678" t="s">
        <v>37</v>
      </c>
      <c r="H678" t="s">
        <v>38</v>
      </c>
      <c r="I678" t="s">
        <v>39</v>
      </c>
      <c r="J678">
        <v>26</v>
      </c>
      <c r="K678">
        <v>38225.56</v>
      </c>
      <c r="L678">
        <v>993864.56</v>
      </c>
      <c r="M678">
        <v>48218.53</v>
      </c>
      <c r="N678">
        <v>0</v>
      </c>
      <c r="O678">
        <v>945646.03</v>
      </c>
      <c r="P678" t="s">
        <v>31</v>
      </c>
      <c r="Q678" t="s">
        <v>32</v>
      </c>
    </row>
    <row r="679" spans="1:17" x14ac:dyDescent="0.25">
      <c r="A679" t="s">
        <v>796</v>
      </c>
      <c r="B679" s="1">
        <v>46001</v>
      </c>
      <c r="C679" t="s">
        <v>18</v>
      </c>
      <c r="D679" t="s">
        <v>75</v>
      </c>
      <c r="E679" t="s">
        <v>35</v>
      </c>
      <c r="F679" t="s">
        <v>21</v>
      </c>
      <c r="G679" t="s">
        <v>37</v>
      </c>
      <c r="H679" t="s">
        <v>57</v>
      </c>
      <c r="I679" t="s">
        <v>92</v>
      </c>
      <c r="J679">
        <v>43</v>
      </c>
      <c r="K679">
        <v>20788.96</v>
      </c>
      <c r="L679">
        <v>893925.28</v>
      </c>
      <c r="M679">
        <v>0</v>
      </c>
      <c r="N679">
        <v>0</v>
      </c>
      <c r="O679">
        <v>893925.28</v>
      </c>
      <c r="P679" t="s">
        <v>25</v>
      </c>
      <c r="Q679" t="s">
        <v>26</v>
      </c>
    </row>
    <row r="680" spans="1:17" x14ac:dyDescent="0.25">
      <c r="A680" t="s">
        <v>797</v>
      </c>
      <c r="B680" s="1">
        <v>46017</v>
      </c>
      <c r="C680" t="s">
        <v>60</v>
      </c>
      <c r="D680" t="s">
        <v>151</v>
      </c>
      <c r="E680" t="s">
        <v>49</v>
      </c>
      <c r="F680" t="s">
        <v>137</v>
      </c>
      <c r="G680" t="s">
        <v>63</v>
      </c>
      <c r="H680" t="s">
        <v>23</v>
      </c>
      <c r="I680" t="s">
        <v>131</v>
      </c>
      <c r="J680">
        <v>25</v>
      </c>
      <c r="K680">
        <v>37266.03</v>
      </c>
      <c r="L680">
        <v>931650.75</v>
      </c>
      <c r="M680">
        <v>0</v>
      </c>
      <c r="N680">
        <v>0</v>
      </c>
      <c r="O680">
        <v>931650.75</v>
      </c>
      <c r="P680" t="s">
        <v>32</v>
      </c>
      <c r="Q680" t="s">
        <v>32</v>
      </c>
    </row>
    <row r="681" spans="1:17" x14ac:dyDescent="0.25">
      <c r="A681" t="s">
        <v>798</v>
      </c>
      <c r="B681" s="1">
        <v>46020</v>
      </c>
      <c r="C681" t="s">
        <v>60</v>
      </c>
      <c r="D681" t="s">
        <v>61</v>
      </c>
      <c r="E681" t="s">
        <v>41</v>
      </c>
      <c r="F681" t="s">
        <v>71</v>
      </c>
      <c r="G681" t="s">
        <v>89</v>
      </c>
      <c r="H681" t="s">
        <v>44</v>
      </c>
      <c r="I681" t="s">
        <v>124</v>
      </c>
      <c r="J681">
        <v>35</v>
      </c>
      <c r="K681">
        <v>18317.490000000002</v>
      </c>
      <c r="L681">
        <v>641112.15</v>
      </c>
      <c r="M681">
        <v>390.29</v>
      </c>
      <c r="N681">
        <v>160061.94</v>
      </c>
      <c r="O681">
        <v>480659.92</v>
      </c>
      <c r="P681" t="s">
        <v>31</v>
      </c>
      <c r="Q681" t="s">
        <v>32</v>
      </c>
    </row>
    <row r="682" spans="1:17" x14ac:dyDescent="0.25">
      <c r="A682" t="s">
        <v>799</v>
      </c>
      <c r="B682" s="1">
        <v>45980</v>
      </c>
      <c r="C682" t="s">
        <v>18</v>
      </c>
      <c r="D682" t="s">
        <v>28</v>
      </c>
      <c r="E682" t="s">
        <v>20</v>
      </c>
      <c r="F682" t="s">
        <v>36</v>
      </c>
      <c r="G682" t="s">
        <v>51</v>
      </c>
      <c r="H682" t="s">
        <v>94</v>
      </c>
      <c r="I682" t="s">
        <v>95</v>
      </c>
      <c r="J682">
        <v>24</v>
      </c>
      <c r="K682">
        <v>16628.39</v>
      </c>
      <c r="L682">
        <v>399081.36</v>
      </c>
      <c r="M682">
        <v>0</v>
      </c>
      <c r="N682">
        <v>0</v>
      </c>
      <c r="O682">
        <v>399081.36</v>
      </c>
      <c r="P682" t="s">
        <v>32</v>
      </c>
      <c r="Q682" t="s">
        <v>26</v>
      </c>
    </row>
    <row r="683" spans="1:17" x14ac:dyDescent="0.25">
      <c r="A683" t="s">
        <v>800</v>
      </c>
      <c r="B683" s="1">
        <v>45985</v>
      </c>
      <c r="C683" t="s">
        <v>54</v>
      </c>
      <c r="D683" t="s">
        <v>97</v>
      </c>
      <c r="E683" t="s">
        <v>49</v>
      </c>
      <c r="F683" t="s">
        <v>84</v>
      </c>
      <c r="G683" t="s">
        <v>102</v>
      </c>
      <c r="H683" t="s">
        <v>94</v>
      </c>
      <c r="I683" t="s">
        <v>115</v>
      </c>
      <c r="J683">
        <v>25</v>
      </c>
      <c r="K683">
        <v>12054.48</v>
      </c>
      <c r="L683">
        <v>301362</v>
      </c>
      <c r="M683">
        <v>50266.09</v>
      </c>
      <c r="N683">
        <v>0</v>
      </c>
      <c r="O683">
        <v>251095.91</v>
      </c>
      <c r="P683" t="s">
        <v>32</v>
      </c>
      <c r="Q683" t="s">
        <v>32</v>
      </c>
    </row>
    <row r="684" spans="1:17" x14ac:dyDescent="0.25">
      <c r="A684" t="s">
        <v>801</v>
      </c>
      <c r="B684" s="1">
        <v>45997</v>
      </c>
      <c r="C684" t="s">
        <v>18</v>
      </c>
      <c r="D684" t="s">
        <v>19</v>
      </c>
      <c r="E684" t="s">
        <v>49</v>
      </c>
      <c r="F684" t="s">
        <v>71</v>
      </c>
      <c r="G684" t="s">
        <v>63</v>
      </c>
      <c r="H684" t="s">
        <v>44</v>
      </c>
      <c r="I684" t="s">
        <v>152</v>
      </c>
      <c r="J684">
        <v>41</v>
      </c>
      <c r="K684">
        <v>17623.71</v>
      </c>
      <c r="L684">
        <v>722572.11</v>
      </c>
      <c r="M684">
        <v>0</v>
      </c>
      <c r="N684">
        <v>0</v>
      </c>
      <c r="O684">
        <v>722572.11</v>
      </c>
      <c r="P684" t="s">
        <v>32</v>
      </c>
      <c r="Q684" t="s">
        <v>32</v>
      </c>
    </row>
    <row r="685" spans="1:17" x14ac:dyDescent="0.25">
      <c r="A685" t="s">
        <v>802</v>
      </c>
      <c r="B685" s="1">
        <v>45992</v>
      </c>
      <c r="C685" t="s">
        <v>60</v>
      </c>
      <c r="D685" t="s">
        <v>61</v>
      </c>
      <c r="E685" t="s">
        <v>41</v>
      </c>
      <c r="F685" t="s">
        <v>36</v>
      </c>
      <c r="G685" t="s">
        <v>29</v>
      </c>
      <c r="H685" t="s">
        <v>94</v>
      </c>
      <c r="I685" t="s">
        <v>177</v>
      </c>
      <c r="J685">
        <v>13</v>
      </c>
      <c r="K685">
        <v>41487.06</v>
      </c>
      <c r="L685">
        <v>539331.78</v>
      </c>
      <c r="M685">
        <v>53833.05</v>
      </c>
      <c r="N685">
        <v>21214.6</v>
      </c>
      <c r="O685">
        <v>464284.13</v>
      </c>
      <c r="P685" t="s">
        <v>73</v>
      </c>
      <c r="Q685" t="s">
        <v>32</v>
      </c>
    </row>
    <row r="686" spans="1:17" x14ac:dyDescent="0.25">
      <c r="A686" t="s">
        <v>803</v>
      </c>
      <c r="B686" s="1">
        <v>45999</v>
      </c>
      <c r="C686" t="s">
        <v>54</v>
      </c>
      <c r="D686" t="s">
        <v>70</v>
      </c>
      <c r="E686" t="s">
        <v>20</v>
      </c>
      <c r="F686" t="s">
        <v>62</v>
      </c>
      <c r="G686" t="s">
        <v>81</v>
      </c>
      <c r="H686" t="s">
        <v>94</v>
      </c>
      <c r="I686" t="s">
        <v>177</v>
      </c>
      <c r="J686">
        <v>12</v>
      </c>
      <c r="K686">
        <v>5339.11</v>
      </c>
      <c r="L686">
        <v>64069.32</v>
      </c>
      <c r="M686">
        <v>0</v>
      </c>
      <c r="N686">
        <v>0</v>
      </c>
      <c r="O686">
        <v>64069.32</v>
      </c>
      <c r="P686" t="s">
        <v>31</v>
      </c>
      <c r="Q686" t="s">
        <v>32</v>
      </c>
    </row>
    <row r="687" spans="1:17" x14ac:dyDescent="0.25">
      <c r="A687" t="s">
        <v>804</v>
      </c>
      <c r="B687" s="1">
        <v>45955</v>
      </c>
      <c r="C687" t="s">
        <v>79</v>
      </c>
      <c r="D687" t="s">
        <v>91</v>
      </c>
      <c r="E687" t="s">
        <v>20</v>
      </c>
      <c r="F687" t="s">
        <v>36</v>
      </c>
      <c r="G687" t="s">
        <v>85</v>
      </c>
      <c r="H687" t="s">
        <v>94</v>
      </c>
      <c r="I687" t="s">
        <v>193</v>
      </c>
      <c r="J687">
        <v>6</v>
      </c>
      <c r="K687">
        <v>12005.96</v>
      </c>
      <c r="L687">
        <v>72035.759999999995</v>
      </c>
      <c r="M687">
        <v>2799.89</v>
      </c>
      <c r="N687">
        <v>0</v>
      </c>
      <c r="O687">
        <v>69235.87</v>
      </c>
      <c r="P687" t="s">
        <v>32</v>
      </c>
      <c r="Q687" t="s">
        <v>32</v>
      </c>
    </row>
    <row r="688" spans="1:17" x14ac:dyDescent="0.25">
      <c r="A688" t="s">
        <v>805</v>
      </c>
      <c r="B688" s="1">
        <v>45982</v>
      </c>
      <c r="C688" t="s">
        <v>60</v>
      </c>
      <c r="D688" t="s">
        <v>123</v>
      </c>
      <c r="E688" t="s">
        <v>35</v>
      </c>
      <c r="F688" t="s">
        <v>84</v>
      </c>
      <c r="G688" t="s">
        <v>81</v>
      </c>
      <c r="H688" t="s">
        <v>94</v>
      </c>
      <c r="I688" t="s">
        <v>177</v>
      </c>
      <c r="J688">
        <v>11</v>
      </c>
      <c r="K688">
        <v>9072.84</v>
      </c>
      <c r="L688">
        <v>99801.24</v>
      </c>
      <c r="M688">
        <v>5221.7299999999996</v>
      </c>
      <c r="N688">
        <v>19558.03</v>
      </c>
      <c r="O688">
        <v>75021.48</v>
      </c>
      <c r="P688" t="s">
        <v>31</v>
      </c>
      <c r="Q688" t="s">
        <v>32</v>
      </c>
    </row>
    <row r="689" spans="1:17" x14ac:dyDescent="0.25">
      <c r="A689" t="s">
        <v>806</v>
      </c>
      <c r="B689" s="1">
        <v>46035</v>
      </c>
      <c r="C689" t="s">
        <v>18</v>
      </c>
      <c r="D689" t="s">
        <v>19</v>
      </c>
      <c r="E689" t="s">
        <v>20</v>
      </c>
      <c r="F689" t="s">
        <v>42</v>
      </c>
      <c r="G689" t="s">
        <v>66</v>
      </c>
      <c r="H689" t="s">
        <v>44</v>
      </c>
      <c r="I689" t="s">
        <v>152</v>
      </c>
      <c r="J689">
        <v>46</v>
      </c>
      <c r="K689">
        <v>39467.07</v>
      </c>
      <c r="L689">
        <v>1815485.22</v>
      </c>
      <c r="M689">
        <v>0</v>
      </c>
      <c r="N689">
        <v>0</v>
      </c>
      <c r="O689">
        <v>1815485.22</v>
      </c>
      <c r="P689" t="s">
        <v>25</v>
      </c>
      <c r="Q689" t="s">
        <v>32</v>
      </c>
    </row>
    <row r="690" spans="1:17" x14ac:dyDescent="0.25">
      <c r="A690" t="s">
        <v>807</v>
      </c>
      <c r="B690" s="1">
        <v>46041</v>
      </c>
      <c r="C690" t="s">
        <v>18</v>
      </c>
      <c r="D690" t="s">
        <v>28</v>
      </c>
      <c r="E690" t="s">
        <v>35</v>
      </c>
      <c r="F690" t="s">
        <v>50</v>
      </c>
      <c r="G690" t="s">
        <v>63</v>
      </c>
      <c r="H690" t="s">
        <v>38</v>
      </c>
      <c r="I690" t="s">
        <v>120</v>
      </c>
      <c r="J690">
        <v>13</v>
      </c>
      <c r="K690">
        <v>39077.449999999997</v>
      </c>
      <c r="L690">
        <v>508006.85</v>
      </c>
      <c r="M690">
        <v>0</v>
      </c>
      <c r="N690">
        <v>0</v>
      </c>
      <c r="O690">
        <v>508006.85</v>
      </c>
      <c r="P690" t="s">
        <v>25</v>
      </c>
      <c r="Q690" t="s">
        <v>26</v>
      </c>
    </row>
    <row r="691" spans="1:17" x14ac:dyDescent="0.25">
      <c r="A691" t="s">
        <v>808</v>
      </c>
      <c r="B691" s="1">
        <v>46018</v>
      </c>
      <c r="C691" t="s">
        <v>47</v>
      </c>
      <c r="D691" t="s">
        <v>88</v>
      </c>
      <c r="E691" t="s">
        <v>49</v>
      </c>
      <c r="F691" t="s">
        <v>71</v>
      </c>
      <c r="G691" t="s">
        <v>89</v>
      </c>
      <c r="H691" t="s">
        <v>38</v>
      </c>
      <c r="I691" t="s">
        <v>108</v>
      </c>
      <c r="J691">
        <v>24</v>
      </c>
      <c r="K691">
        <v>4669.0600000000004</v>
      </c>
      <c r="L691">
        <v>112057.44</v>
      </c>
      <c r="M691">
        <v>4345.25</v>
      </c>
      <c r="N691">
        <v>0</v>
      </c>
      <c r="O691">
        <v>107712.19</v>
      </c>
      <c r="P691" t="s">
        <v>25</v>
      </c>
      <c r="Q691" t="s">
        <v>32</v>
      </c>
    </row>
    <row r="692" spans="1:17" x14ac:dyDescent="0.25">
      <c r="A692" t="s">
        <v>809</v>
      </c>
      <c r="B692" s="1">
        <v>46021</v>
      </c>
      <c r="C692" t="s">
        <v>54</v>
      </c>
      <c r="D692" t="s">
        <v>97</v>
      </c>
      <c r="E692" t="s">
        <v>41</v>
      </c>
      <c r="F692" t="s">
        <v>112</v>
      </c>
      <c r="G692" t="s">
        <v>102</v>
      </c>
      <c r="H692" t="s">
        <v>94</v>
      </c>
      <c r="I692" t="s">
        <v>144</v>
      </c>
      <c r="J692">
        <v>24</v>
      </c>
      <c r="K692">
        <v>4773.92</v>
      </c>
      <c r="L692">
        <v>114574.08</v>
      </c>
      <c r="M692">
        <v>8737.24</v>
      </c>
      <c r="N692">
        <v>0</v>
      </c>
      <c r="O692">
        <v>105836.84</v>
      </c>
      <c r="P692" t="s">
        <v>31</v>
      </c>
      <c r="Q692" t="s">
        <v>32</v>
      </c>
    </row>
    <row r="693" spans="1:17" x14ac:dyDescent="0.25">
      <c r="A693" t="s">
        <v>810</v>
      </c>
      <c r="B693" s="1">
        <v>46031</v>
      </c>
      <c r="C693" t="s">
        <v>60</v>
      </c>
      <c r="D693" t="s">
        <v>61</v>
      </c>
      <c r="E693" t="s">
        <v>41</v>
      </c>
      <c r="F693" t="s">
        <v>105</v>
      </c>
      <c r="G693" t="s">
        <v>29</v>
      </c>
      <c r="H693" t="s">
        <v>44</v>
      </c>
      <c r="I693" t="s">
        <v>141</v>
      </c>
      <c r="J693">
        <v>28</v>
      </c>
      <c r="K693">
        <v>48704.28</v>
      </c>
      <c r="L693">
        <v>1363719.84</v>
      </c>
      <c r="M693">
        <v>261506.28</v>
      </c>
      <c r="N693">
        <v>0</v>
      </c>
      <c r="O693">
        <v>1102213.56</v>
      </c>
      <c r="P693" t="s">
        <v>32</v>
      </c>
      <c r="Q693" t="s">
        <v>32</v>
      </c>
    </row>
    <row r="694" spans="1:17" x14ac:dyDescent="0.25">
      <c r="A694" t="s">
        <v>811</v>
      </c>
      <c r="B694" s="1">
        <v>46035</v>
      </c>
      <c r="C694" t="s">
        <v>47</v>
      </c>
      <c r="D694" t="s">
        <v>127</v>
      </c>
      <c r="E694" t="s">
        <v>20</v>
      </c>
      <c r="F694" t="s">
        <v>137</v>
      </c>
      <c r="G694" t="s">
        <v>56</v>
      </c>
      <c r="H694" t="s">
        <v>94</v>
      </c>
      <c r="I694" t="s">
        <v>193</v>
      </c>
      <c r="J694">
        <v>10</v>
      </c>
      <c r="K694">
        <v>3195.59</v>
      </c>
      <c r="L694">
        <v>31955.9</v>
      </c>
      <c r="M694">
        <v>0</v>
      </c>
      <c r="N694">
        <v>9007.83</v>
      </c>
      <c r="O694">
        <v>22948.07</v>
      </c>
      <c r="P694" t="s">
        <v>73</v>
      </c>
      <c r="Q694" t="s">
        <v>32</v>
      </c>
    </row>
    <row r="695" spans="1:17" x14ac:dyDescent="0.25">
      <c r="A695" t="s">
        <v>812</v>
      </c>
      <c r="B695" s="1">
        <v>45991</v>
      </c>
      <c r="C695" t="s">
        <v>54</v>
      </c>
      <c r="D695" t="s">
        <v>97</v>
      </c>
      <c r="E695" t="s">
        <v>20</v>
      </c>
      <c r="F695" t="s">
        <v>84</v>
      </c>
      <c r="G695" t="s">
        <v>43</v>
      </c>
      <c r="H695" t="s">
        <v>94</v>
      </c>
      <c r="I695" t="s">
        <v>115</v>
      </c>
      <c r="J695">
        <v>37</v>
      </c>
      <c r="K695">
        <v>8203.67</v>
      </c>
      <c r="L695">
        <v>303535.78999999998</v>
      </c>
      <c r="M695">
        <v>6907.6</v>
      </c>
      <c r="N695">
        <v>90238.41</v>
      </c>
      <c r="O695">
        <v>206389.78</v>
      </c>
      <c r="P695" t="s">
        <v>32</v>
      </c>
      <c r="Q695" t="s">
        <v>26</v>
      </c>
    </row>
    <row r="696" spans="1:17" x14ac:dyDescent="0.25">
      <c r="A696" t="s">
        <v>813</v>
      </c>
      <c r="B696" s="1">
        <v>46024</v>
      </c>
      <c r="C696" t="s">
        <v>47</v>
      </c>
      <c r="D696" t="s">
        <v>127</v>
      </c>
      <c r="E696" t="s">
        <v>20</v>
      </c>
      <c r="F696" t="s">
        <v>50</v>
      </c>
      <c r="G696" t="s">
        <v>85</v>
      </c>
      <c r="H696" t="s">
        <v>23</v>
      </c>
      <c r="I696" t="s">
        <v>99</v>
      </c>
      <c r="J696">
        <v>50</v>
      </c>
      <c r="K696">
        <v>12348.19</v>
      </c>
      <c r="L696">
        <v>617409.5</v>
      </c>
      <c r="M696">
        <v>36093.31</v>
      </c>
      <c r="N696">
        <v>0</v>
      </c>
      <c r="O696">
        <v>581316.18999999994</v>
      </c>
      <c r="P696" t="s">
        <v>32</v>
      </c>
      <c r="Q696" t="s">
        <v>26</v>
      </c>
    </row>
    <row r="697" spans="1:17" x14ac:dyDescent="0.25">
      <c r="A697" t="s">
        <v>814</v>
      </c>
      <c r="B697" s="1">
        <v>46039</v>
      </c>
      <c r="C697" t="s">
        <v>60</v>
      </c>
      <c r="D697" t="s">
        <v>151</v>
      </c>
      <c r="E697" t="s">
        <v>20</v>
      </c>
      <c r="F697" t="s">
        <v>137</v>
      </c>
      <c r="G697" t="s">
        <v>85</v>
      </c>
      <c r="H697" t="s">
        <v>94</v>
      </c>
      <c r="I697" t="s">
        <v>193</v>
      </c>
      <c r="J697">
        <v>8</v>
      </c>
      <c r="K697">
        <v>30946.76</v>
      </c>
      <c r="L697">
        <v>247574.08</v>
      </c>
      <c r="M697">
        <v>34520.11</v>
      </c>
      <c r="N697">
        <v>12368.46</v>
      </c>
      <c r="O697">
        <v>200685.51</v>
      </c>
      <c r="P697" t="s">
        <v>25</v>
      </c>
      <c r="Q697" t="s">
        <v>128</v>
      </c>
    </row>
    <row r="698" spans="1:17" x14ac:dyDescent="0.25">
      <c r="A698" t="s">
        <v>815</v>
      </c>
      <c r="B698" s="1">
        <v>45975</v>
      </c>
      <c r="C698" t="s">
        <v>18</v>
      </c>
      <c r="D698" t="s">
        <v>28</v>
      </c>
      <c r="E698" t="s">
        <v>35</v>
      </c>
      <c r="F698" t="s">
        <v>84</v>
      </c>
      <c r="G698" t="s">
        <v>140</v>
      </c>
      <c r="H698" t="s">
        <v>67</v>
      </c>
      <c r="I698" t="s">
        <v>201</v>
      </c>
      <c r="J698">
        <v>39</v>
      </c>
      <c r="K698">
        <v>37879.550000000003</v>
      </c>
      <c r="L698">
        <v>1477302.45</v>
      </c>
      <c r="M698">
        <v>0</v>
      </c>
      <c r="N698">
        <v>0</v>
      </c>
      <c r="O698">
        <v>1477302.45</v>
      </c>
      <c r="P698" t="s">
        <v>32</v>
      </c>
      <c r="Q698" t="s">
        <v>32</v>
      </c>
    </row>
    <row r="699" spans="1:17" x14ac:dyDescent="0.25">
      <c r="A699" t="s">
        <v>816</v>
      </c>
      <c r="B699" s="1">
        <v>45971</v>
      </c>
      <c r="C699" t="s">
        <v>54</v>
      </c>
      <c r="D699" t="s">
        <v>55</v>
      </c>
      <c r="E699" t="s">
        <v>35</v>
      </c>
      <c r="F699" t="s">
        <v>50</v>
      </c>
      <c r="G699" t="s">
        <v>89</v>
      </c>
      <c r="H699" t="s">
        <v>38</v>
      </c>
      <c r="I699" t="s">
        <v>120</v>
      </c>
      <c r="J699">
        <v>41</v>
      </c>
      <c r="K699">
        <v>12081.9</v>
      </c>
      <c r="L699">
        <v>495357.9</v>
      </c>
      <c r="M699">
        <v>78740.240000000005</v>
      </c>
      <c r="N699">
        <v>0</v>
      </c>
      <c r="O699">
        <v>416617.66</v>
      </c>
      <c r="P699" t="s">
        <v>25</v>
      </c>
      <c r="Q699" t="s">
        <v>26</v>
      </c>
    </row>
    <row r="700" spans="1:17" x14ac:dyDescent="0.25">
      <c r="A700" t="s">
        <v>817</v>
      </c>
      <c r="B700" s="1">
        <v>45961</v>
      </c>
      <c r="C700" t="s">
        <v>79</v>
      </c>
      <c r="D700" t="s">
        <v>101</v>
      </c>
      <c r="E700" t="s">
        <v>49</v>
      </c>
      <c r="F700" t="s">
        <v>21</v>
      </c>
      <c r="G700" t="s">
        <v>51</v>
      </c>
      <c r="H700" t="s">
        <v>38</v>
      </c>
      <c r="I700" t="s">
        <v>86</v>
      </c>
      <c r="J700">
        <v>9</v>
      </c>
      <c r="K700">
        <v>38163.35</v>
      </c>
      <c r="L700">
        <v>343470.15</v>
      </c>
      <c r="M700">
        <v>0</v>
      </c>
      <c r="N700">
        <v>0</v>
      </c>
      <c r="O700">
        <v>343470.15</v>
      </c>
      <c r="P700" t="s">
        <v>31</v>
      </c>
      <c r="Q700" t="s">
        <v>32</v>
      </c>
    </row>
    <row r="701" spans="1:17" x14ac:dyDescent="0.25">
      <c r="A701" t="s">
        <v>818</v>
      </c>
      <c r="B701" s="1">
        <v>45990</v>
      </c>
      <c r="C701" t="s">
        <v>60</v>
      </c>
      <c r="D701" t="s">
        <v>61</v>
      </c>
      <c r="E701" t="s">
        <v>35</v>
      </c>
      <c r="F701" t="s">
        <v>112</v>
      </c>
      <c r="G701" t="s">
        <v>81</v>
      </c>
      <c r="H701" t="s">
        <v>23</v>
      </c>
      <c r="I701" t="s">
        <v>110</v>
      </c>
      <c r="J701">
        <v>44</v>
      </c>
      <c r="K701">
        <v>27632.69</v>
      </c>
      <c r="L701">
        <v>1215838.3600000001</v>
      </c>
      <c r="M701">
        <v>0</v>
      </c>
      <c r="N701">
        <v>0</v>
      </c>
      <c r="O701">
        <v>1215838.3600000001</v>
      </c>
      <c r="P701" t="s">
        <v>73</v>
      </c>
      <c r="Q701" t="s">
        <v>26</v>
      </c>
    </row>
    <row r="702" spans="1:17" x14ac:dyDescent="0.25">
      <c r="A702" t="s">
        <v>819</v>
      </c>
      <c r="B702" s="1">
        <v>45985</v>
      </c>
      <c r="C702" t="s">
        <v>54</v>
      </c>
      <c r="D702" t="s">
        <v>133</v>
      </c>
      <c r="E702" t="s">
        <v>35</v>
      </c>
      <c r="F702" t="s">
        <v>137</v>
      </c>
      <c r="G702" t="s">
        <v>85</v>
      </c>
      <c r="H702" t="s">
        <v>57</v>
      </c>
      <c r="I702" t="s">
        <v>160</v>
      </c>
      <c r="J702">
        <v>26</v>
      </c>
      <c r="K702">
        <v>34036.25</v>
      </c>
      <c r="L702">
        <v>884942.5</v>
      </c>
      <c r="M702">
        <v>0</v>
      </c>
      <c r="N702">
        <v>222104.48</v>
      </c>
      <c r="O702">
        <v>662838.02</v>
      </c>
      <c r="P702" t="s">
        <v>73</v>
      </c>
      <c r="Q702" t="s">
        <v>32</v>
      </c>
    </row>
    <row r="703" spans="1:17" x14ac:dyDescent="0.25">
      <c r="A703" t="s">
        <v>820</v>
      </c>
      <c r="B703" s="1">
        <v>46017</v>
      </c>
      <c r="C703" t="s">
        <v>18</v>
      </c>
      <c r="D703" t="s">
        <v>34</v>
      </c>
      <c r="E703" t="s">
        <v>20</v>
      </c>
      <c r="F703" t="s">
        <v>112</v>
      </c>
      <c r="G703" t="s">
        <v>102</v>
      </c>
      <c r="H703" t="s">
        <v>57</v>
      </c>
      <c r="I703" t="s">
        <v>118</v>
      </c>
      <c r="J703">
        <v>5</v>
      </c>
      <c r="K703">
        <v>10007.16</v>
      </c>
      <c r="L703">
        <v>50035.8</v>
      </c>
      <c r="M703">
        <v>424.31</v>
      </c>
      <c r="N703">
        <v>0</v>
      </c>
      <c r="O703">
        <v>49611.49</v>
      </c>
      <c r="P703" t="s">
        <v>32</v>
      </c>
      <c r="Q703" t="s">
        <v>32</v>
      </c>
    </row>
    <row r="704" spans="1:17" x14ac:dyDescent="0.25">
      <c r="A704" t="s">
        <v>821</v>
      </c>
      <c r="B704" s="1">
        <v>46018</v>
      </c>
      <c r="C704" t="s">
        <v>54</v>
      </c>
      <c r="D704" t="s">
        <v>97</v>
      </c>
      <c r="E704" t="s">
        <v>49</v>
      </c>
      <c r="F704" t="s">
        <v>21</v>
      </c>
      <c r="G704" t="s">
        <v>138</v>
      </c>
      <c r="H704" t="s">
        <v>67</v>
      </c>
      <c r="I704" t="s">
        <v>170</v>
      </c>
      <c r="J704">
        <v>37</v>
      </c>
      <c r="K704">
        <v>15001.76</v>
      </c>
      <c r="L704">
        <v>555065.12</v>
      </c>
      <c r="M704">
        <v>0</v>
      </c>
      <c r="N704">
        <v>0</v>
      </c>
      <c r="O704">
        <v>555065.12</v>
      </c>
      <c r="P704" t="s">
        <v>31</v>
      </c>
      <c r="Q704" t="s">
        <v>32</v>
      </c>
    </row>
    <row r="705" spans="1:17" x14ac:dyDescent="0.25">
      <c r="A705" t="s">
        <v>822</v>
      </c>
      <c r="B705" s="1">
        <v>45972</v>
      </c>
      <c r="C705" t="s">
        <v>60</v>
      </c>
      <c r="D705" t="s">
        <v>151</v>
      </c>
      <c r="E705" t="s">
        <v>35</v>
      </c>
      <c r="F705" t="s">
        <v>105</v>
      </c>
      <c r="G705" t="s">
        <v>98</v>
      </c>
      <c r="H705" t="s">
        <v>38</v>
      </c>
      <c r="I705" t="s">
        <v>108</v>
      </c>
      <c r="J705">
        <v>11</v>
      </c>
      <c r="K705">
        <v>28921</v>
      </c>
      <c r="L705">
        <v>318131</v>
      </c>
      <c r="M705">
        <v>29011.63</v>
      </c>
      <c r="N705">
        <v>0</v>
      </c>
      <c r="O705">
        <v>289119.37</v>
      </c>
      <c r="P705" t="s">
        <v>73</v>
      </c>
      <c r="Q705" t="s">
        <v>26</v>
      </c>
    </row>
    <row r="706" spans="1:17" x14ac:dyDescent="0.25">
      <c r="A706" t="s">
        <v>823</v>
      </c>
      <c r="B706" s="1">
        <v>45954</v>
      </c>
      <c r="C706" t="s">
        <v>54</v>
      </c>
      <c r="D706" t="s">
        <v>97</v>
      </c>
      <c r="E706" t="s">
        <v>41</v>
      </c>
      <c r="F706" t="s">
        <v>112</v>
      </c>
      <c r="G706" t="s">
        <v>29</v>
      </c>
      <c r="H706" t="s">
        <v>67</v>
      </c>
      <c r="I706" t="s">
        <v>77</v>
      </c>
      <c r="J706">
        <v>26</v>
      </c>
      <c r="K706">
        <v>47780.65</v>
      </c>
      <c r="L706">
        <v>1242296.8999999999</v>
      </c>
      <c r="M706">
        <v>214573.3</v>
      </c>
      <c r="N706">
        <v>0</v>
      </c>
      <c r="O706">
        <v>1027723.6</v>
      </c>
      <c r="P706" t="s">
        <v>31</v>
      </c>
      <c r="Q706" t="s">
        <v>32</v>
      </c>
    </row>
    <row r="707" spans="1:17" x14ac:dyDescent="0.25">
      <c r="A707" t="s">
        <v>824</v>
      </c>
      <c r="B707" s="1">
        <v>45986</v>
      </c>
      <c r="C707" t="s">
        <v>18</v>
      </c>
      <c r="D707" t="s">
        <v>34</v>
      </c>
      <c r="E707" t="s">
        <v>35</v>
      </c>
      <c r="F707" t="s">
        <v>50</v>
      </c>
      <c r="G707" t="s">
        <v>51</v>
      </c>
      <c r="H707" t="s">
        <v>67</v>
      </c>
      <c r="I707" t="s">
        <v>68</v>
      </c>
      <c r="J707">
        <v>15</v>
      </c>
      <c r="K707">
        <v>32722.41</v>
      </c>
      <c r="L707">
        <v>490836.15</v>
      </c>
      <c r="M707">
        <v>28632.880000000001</v>
      </c>
      <c r="N707">
        <v>0</v>
      </c>
      <c r="O707">
        <v>462203.27</v>
      </c>
      <c r="P707" t="s">
        <v>73</v>
      </c>
      <c r="Q707" t="s">
        <v>32</v>
      </c>
    </row>
    <row r="708" spans="1:17" x14ac:dyDescent="0.25">
      <c r="A708" t="s">
        <v>825</v>
      </c>
      <c r="B708" s="1">
        <v>46011</v>
      </c>
      <c r="C708" t="s">
        <v>47</v>
      </c>
      <c r="D708" t="s">
        <v>48</v>
      </c>
      <c r="E708" t="s">
        <v>41</v>
      </c>
      <c r="F708" t="s">
        <v>105</v>
      </c>
      <c r="G708" t="s">
        <v>138</v>
      </c>
      <c r="H708" t="s">
        <v>67</v>
      </c>
      <c r="I708" t="s">
        <v>103</v>
      </c>
      <c r="J708">
        <v>41</v>
      </c>
      <c r="K708">
        <v>20805.830000000002</v>
      </c>
      <c r="L708">
        <v>853039.03</v>
      </c>
      <c r="M708">
        <v>0</v>
      </c>
      <c r="N708">
        <v>94119.54</v>
      </c>
      <c r="O708">
        <v>758919.49</v>
      </c>
      <c r="P708" t="s">
        <v>25</v>
      </c>
      <c r="Q708" t="s">
        <v>128</v>
      </c>
    </row>
    <row r="709" spans="1:17" x14ac:dyDescent="0.25">
      <c r="A709" t="s">
        <v>826</v>
      </c>
      <c r="B709" s="1">
        <v>45999</v>
      </c>
      <c r="C709" t="s">
        <v>18</v>
      </c>
      <c r="D709" t="s">
        <v>34</v>
      </c>
      <c r="E709" t="s">
        <v>20</v>
      </c>
      <c r="F709" t="s">
        <v>112</v>
      </c>
      <c r="G709" t="s">
        <v>81</v>
      </c>
      <c r="H709" t="s">
        <v>38</v>
      </c>
      <c r="I709" t="s">
        <v>175</v>
      </c>
      <c r="J709">
        <v>28</v>
      </c>
      <c r="K709">
        <v>29566.15</v>
      </c>
      <c r="L709">
        <v>827852.2</v>
      </c>
      <c r="M709">
        <v>6980.02</v>
      </c>
      <c r="N709">
        <v>0</v>
      </c>
      <c r="O709">
        <v>820872.18</v>
      </c>
      <c r="P709" t="s">
        <v>73</v>
      </c>
      <c r="Q709" t="s">
        <v>32</v>
      </c>
    </row>
    <row r="710" spans="1:17" x14ac:dyDescent="0.25">
      <c r="A710" t="s">
        <v>827</v>
      </c>
      <c r="B710" s="1">
        <v>45971</v>
      </c>
      <c r="C710" t="s">
        <v>47</v>
      </c>
      <c r="D710" t="s">
        <v>48</v>
      </c>
      <c r="E710" t="s">
        <v>41</v>
      </c>
      <c r="F710" t="s">
        <v>84</v>
      </c>
      <c r="G710" t="s">
        <v>22</v>
      </c>
      <c r="H710" t="s">
        <v>57</v>
      </c>
      <c r="I710" t="s">
        <v>148</v>
      </c>
      <c r="J710">
        <v>8</v>
      </c>
      <c r="K710">
        <v>18902.14</v>
      </c>
      <c r="L710">
        <v>151217.12</v>
      </c>
      <c r="M710">
        <v>29065.79</v>
      </c>
      <c r="N710">
        <v>0</v>
      </c>
      <c r="O710">
        <v>122151.33</v>
      </c>
      <c r="P710" t="s">
        <v>73</v>
      </c>
      <c r="Q710" t="s">
        <v>32</v>
      </c>
    </row>
    <row r="711" spans="1:17" x14ac:dyDescent="0.25">
      <c r="A711" t="s">
        <v>828</v>
      </c>
      <c r="B711" s="1">
        <v>46026</v>
      </c>
      <c r="C711" t="s">
        <v>54</v>
      </c>
      <c r="D711" t="s">
        <v>70</v>
      </c>
      <c r="E711" t="s">
        <v>35</v>
      </c>
      <c r="F711" t="s">
        <v>50</v>
      </c>
      <c r="G711" t="s">
        <v>85</v>
      </c>
      <c r="H711" t="s">
        <v>94</v>
      </c>
      <c r="I711" t="s">
        <v>193</v>
      </c>
      <c r="J711">
        <v>3</v>
      </c>
      <c r="K711">
        <v>9893.0499999999993</v>
      </c>
      <c r="L711">
        <v>29679.15</v>
      </c>
      <c r="M711">
        <v>0</v>
      </c>
      <c r="N711">
        <v>0</v>
      </c>
      <c r="O711">
        <v>29679.15</v>
      </c>
      <c r="P711" t="s">
        <v>32</v>
      </c>
      <c r="Q711" t="s">
        <v>26</v>
      </c>
    </row>
    <row r="712" spans="1:17" x14ac:dyDescent="0.25">
      <c r="A712" t="s">
        <v>829</v>
      </c>
      <c r="B712" s="1">
        <v>45984</v>
      </c>
      <c r="C712" t="s">
        <v>47</v>
      </c>
      <c r="D712" t="s">
        <v>88</v>
      </c>
      <c r="E712" t="s">
        <v>49</v>
      </c>
      <c r="F712" t="s">
        <v>137</v>
      </c>
      <c r="G712" t="s">
        <v>29</v>
      </c>
      <c r="H712" t="s">
        <v>67</v>
      </c>
      <c r="I712" t="s">
        <v>68</v>
      </c>
      <c r="J712">
        <v>4</v>
      </c>
      <c r="K712">
        <v>13064.17</v>
      </c>
      <c r="L712">
        <v>52256.68</v>
      </c>
      <c r="M712">
        <v>0</v>
      </c>
      <c r="N712">
        <v>0</v>
      </c>
      <c r="O712">
        <v>52256.68</v>
      </c>
      <c r="P712" t="s">
        <v>25</v>
      </c>
      <c r="Q712" t="s">
        <v>32</v>
      </c>
    </row>
    <row r="713" spans="1:17" x14ac:dyDescent="0.25">
      <c r="A713" t="s">
        <v>830</v>
      </c>
      <c r="B713" s="1">
        <v>45976</v>
      </c>
      <c r="C713" t="s">
        <v>79</v>
      </c>
      <c r="D713" t="s">
        <v>91</v>
      </c>
      <c r="E713" t="s">
        <v>35</v>
      </c>
      <c r="F713" t="s">
        <v>137</v>
      </c>
      <c r="G713" t="s">
        <v>51</v>
      </c>
      <c r="H713" t="s">
        <v>23</v>
      </c>
      <c r="I713" t="s">
        <v>131</v>
      </c>
      <c r="J713">
        <v>16</v>
      </c>
      <c r="K713">
        <v>32516.04</v>
      </c>
      <c r="L713">
        <v>520256.64</v>
      </c>
      <c r="M713">
        <v>0</v>
      </c>
      <c r="N713">
        <v>0</v>
      </c>
      <c r="O713">
        <v>520256.64</v>
      </c>
      <c r="P713" t="s">
        <v>32</v>
      </c>
      <c r="Q713" t="s">
        <v>32</v>
      </c>
    </row>
    <row r="714" spans="1:17" x14ac:dyDescent="0.25">
      <c r="A714" t="s">
        <v>831</v>
      </c>
      <c r="B714" s="1">
        <v>45957</v>
      </c>
      <c r="C714" t="s">
        <v>47</v>
      </c>
      <c r="D714" t="s">
        <v>127</v>
      </c>
      <c r="E714" t="s">
        <v>20</v>
      </c>
      <c r="F714" t="s">
        <v>50</v>
      </c>
      <c r="G714" t="s">
        <v>85</v>
      </c>
      <c r="H714" t="s">
        <v>94</v>
      </c>
      <c r="I714" t="s">
        <v>163</v>
      </c>
      <c r="J714">
        <v>48</v>
      </c>
      <c r="K714">
        <v>36453.370000000003</v>
      </c>
      <c r="L714">
        <v>1749761.76</v>
      </c>
      <c r="M714">
        <v>20082.46</v>
      </c>
      <c r="N714">
        <v>487230.33</v>
      </c>
      <c r="O714">
        <v>1242448.97</v>
      </c>
      <c r="P714" t="s">
        <v>25</v>
      </c>
      <c r="Q714" t="s">
        <v>26</v>
      </c>
    </row>
    <row r="715" spans="1:17" x14ac:dyDescent="0.25">
      <c r="A715" t="s">
        <v>832</v>
      </c>
      <c r="B715" s="1">
        <v>46024</v>
      </c>
      <c r="C715" t="s">
        <v>18</v>
      </c>
      <c r="D715" t="s">
        <v>75</v>
      </c>
      <c r="E715" t="s">
        <v>41</v>
      </c>
      <c r="F715" t="s">
        <v>71</v>
      </c>
      <c r="G715" t="s">
        <v>89</v>
      </c>
      <c r="H715" t="s">
        <v>67</v>
      </c>
      <c r="I715" t="s">
        <v>201</v>
      </c>
      <c r="J715">
        <v>22</v>
      </c>
      <c r="K715">
        <v>45405.89</v>
      </c>
      <c r="L715">
        <v>998929.58</v>
      </c>
      <c r="M715">
        <v>0</v>
      </c>
      <c r="N715">
        <v>0</v>
      </c>
      <c r="O715">
        <v>998929.58</v>
      </c>
      <c r="P715" t="s">
        <v>73</v>
      </c>
      <c r="Q715" t="s">
        <v>32</v>
      </c>
    </row>
    <row r="716" spans="1:17" x14ac:dyDescent="0.25">
      <c r="A716" t="s">
        <v>833</v>
      </c>
      <c r="B716" s="1">
        <v>45966</v>
      </c>
      <c r="C716" t="s">
        <v>60</v>
      </c>
      <c r="D716" t="s">
        <v>61</v>
      </c>
      <c r="E716" t="s">
        <v>41</v>
      </c>
      <c r="F716" t="s">
        <v>112</v>
      </c>
      <c r="G716" t="s">
        <v>37</v>
      </c>
      <c r="H716" t="s">
        <v>94</v>
      </c>
      <c r="I716" t="s">
        <v>163</v>
      </c>
      <c r="J716">
        <v>40</v>
      </c>
      <c r="K716">
        <v>19764</v>
      </c>
      <c r="L716">
        <v>790560</v>
      </c>
      <c r="M716">
        <v>58833.18</v>
      </c>
      <c r="N716">
        <v>0</v>
      </c>
      <c r="O716">
        <v>731726.82</v>
      </c>
      <c r="P716" t="s">
        <v>73</v>
      </c>
      <c r="Q716" t="s">
        <v>32</v>
      </c>
    </row>
    <row r="717" spans="1:17" x14ac:dyDescent="0.25">
      <c r="A717" t="s">
        <v>834</v>
      </c>
      <c r="B717" s="1">
        <v>46023</v>
      </c>
      <c r="C717" t="s">
        <v>60</v>
      </c>
      <c r="D717" t="s">
        <v>151</v>
      </c>
      <c r="E717" t="s">
        <v>41</v>
      </c>
      <c r="F717" t="s">
        <v>84</v>
      </c>
      <c r="G717" t="s">
        <v>22</v>
      </c>
      <c r="H717" t="s">
        <v>44</v>
      </c>
      <c r="I717" t="s">
        <v>152</v>
      </c>
      <c r="J717">
        <v>29</v>
      </c>
      <c r="K717">
        <v>15725.91</v>
      </c>
      <c r="L717">
        <v>456051.39</v>
      </c>
      <c r="M717">
        <v>0</v>
      </c>
      <c r="N717">
        <v>0</v>
      </c>
      <c r="O717">
        <v>456051.39</v>
      </c>
      <c r="P717" t="s">
        <v>73</v>
      </c>
      <c r="Q717" t="s">
        <v>32</v>
      </c>
    </row>
    <row r="718" spans="1:17" x14ac:dyDescent="0.25">
      <c r="A718" t="s">
        <v>835</v>
      </c>
      <c r="B718" s="1">
        <v>45960</v>
      </c>
      <c r="C718" t="s">
        <v>47</v>
      </c>
      <c r="D718" t="s">
        <v>114</v>
      </c>
      <c r="E718" t="s">
        <v>41</v>
      </c>
      <c r="F718" t="s">
        <v>42</v>
      </c>
      <c r="G718" t="s">
        <v>140</v>
      </c>
      <c r="H718" t="s">
        <v>38</v>
      </c>
      <c r="I718" t="s">
        <v>86</v>
      </c>
      <c r="J718">
        <v>12</v>
      </c>
      <c r="K718">
        <v>39410.1</v>
      </c>
      <c r="L718">
        <v>472921.2</v>
      </c>
      <c r="M718">
        <v>0</v>
      </c>
      <c r="N718">
        <v>0</v>
      </c>
      <c r="O718">
        <v>472921.2</v>
      </c>
      <c r="P718" t="s">
        <v>73</v>
      </c>
      <c r="Q718" t="s">
        <v>32</v>
      </c>
    </row>
    <row r="719" spans="1:17" x14ac:dyDescent="0.25">
      <c r="A719" t="s">
        <v>836</v>
      </c>
      <c r="B719" s="1">
        <v>46031</v>
      </c>
      <c r="C719" t="s">
        <v>79</v>
      </c>
      <c r="D719" t="s">
        <v>91</v>
      </c>
      <c r="E719" t="s">
        <v>49</v>
      </c>
      <c r="F719" t="s">
        <v>36</v>
      </c>
      <c r="G719" t="s">
        <v>85</v>
      </c>
      <c r="H719" t="s">
        <v>23</v>
      </c>
      <c r="I719" t="s">
        <v>52</v>
      </c>
      <c r="J719">
        <v>40</v>
      </c>
      <c r="K719">
        <v>4502.74</v>
      </c>
      <c r="L719">
        <v>180109.6</v>
      </c>
      <c r="M719">
        <v>0</v>
      </c>
      <c r="N719">
        <v>0</v>
      </c>
      <c r="O719">
        <v>180109.6</v>
      </c>
      <c r="P719" t="s">
        <v>73</v>
      </c>
      <c r="Q719" t="s">
        <v>26</v>
      </c>
    </row>
    <row r="720" spans="1:17" x14ac:dyDescent="0.25">
      <c r="A720" t="s">
        <v>837</v>
      </c>
      <c r="B720" s="1">
        <v>45965</v>
      </c>
      <c r="C720" t="s">
        <v>18</v>
      </c>
      <c r="D720" t="s">
        <v>34</v>
      </c>
      <c r="E720" t="s">
        <v>49</v>
      </c>
      <c r="F720" t="s">
        <v>112</v>
      </c>
      <c r="G720" t="s">
        <v>66</v>
      </c>
      <c r="H720" t="s">
        <v>94</v>
      </c>
      <c r="I720" t="s">
        <v>193</v>
      </c>
      <c r="J720">
        <v>13</v>
      </c>
      <c r="K720">
        <v>30653.86</v>
      </c>
      <c r="L720">
        <v>398500.18</v>
      </c>
      <c r="M720">
        <v>7788.96</v>
      </c>
      <c r="N720">
        <v>0</v>
      </c>
      <c r="O720">
        <v>390711.22</v>
      </c>
      <c r="P720" t="s">
        <v>32</v>
      </c>
      <c r="Q720" t="s">
        <v>26</v>
      </c>
    </row>
    <row r="721" spans="1:17" x14ac:dyDescent="0.25">
      <c r="A721" t="s">
        <v>838</v>
      </c>
      <c r="B721" s="1">
        <v>45968</v>
      </c>
      <c r="C721" t="s">
        <v>79</v>
      </c>
      <c r="D721" t="s">
        <v>101</v>
      </c>
      <c r="E721" t="s">
        <v>41</v>
      </c>
      <c r="F721" t="s">
        <v>50</v>
      </c>
      <c r="G721" t="s">
        <v>22</v>
      </c>
      <c r="H721" t="s">
        <v>23</v>
      </c>
      <c r="I721" t="s">
        <v>131</v>
      </c>
      <c r="J721">
        <v>41</v>
      </c>
      <c r="K721">
        <v>43873.02</v>
      </c>
      <c r="L721">
        <v>1798793.82</v>
      </c>
      <c r="M721">
        <v>194706.95</v>
      </c>
      <c r="N721">
        <v>0</v>
      </c>
      <c r="O721">
        <v>1604086.87</v>
      </c>
      <c r="P721" t="s">
        <v>31</v>
      </c>
      <c r="Q721" t="s">
        <v>32</v>
      </c>
    </row>
    <row r="722" spans="1:17" x14ac:dyDescent="0.25">
      <c r="A722" t="s">
        <v>839</v>
      </c>
      <c r="B722" s="1">
        <v>46018</v>
      </c>
      <c r="C722" t="s">
        <v>60</v>
      </c>
      <c r="D722" t="s">
        <v>61</v>
      </c>
      <c r="E722" t="s">
        <v>20</v>
      </c>
      <c r="F722" t="s">
        <v>137</v>
      </c>
      <c r="G722" t="s">
        <v>66</v>
      </c>
      <c r="H722" t="s">
        <v>44</v>
      </c>
      <c r="I722" t="s">
        <v>281</v>
      </c>
      <c r="J722">
        <v>42</v>
      </c>
      <c r="K722">
        <v>33273.19</v>
      </c>
      <c r="L722">
        <v>1397473.98</v>
      </c>
      <c r="M722">
        <v>0</v>
      </c>
      <c r="N722">
        <v>0</v>
      </c>
      <c r="O722">
        <v>1397473.98</v>
      </c>
      <c r="P722" t="s">
        <v>32</v>
      </c>
      <c r="Q722" t="s">
        <v>32</v>
      </c>
    </row>
    <row r="723" spans="1:17" x14ac:dyDescent="0.25">
      <c r="A723" t="s">
        <v>840</v>
      </c>
      <c r="B723" s="1">
        <v>45975</v>
      </c>
      <c r="C723" t="s">
        <v>79</v>
      </c>
      <c r="D723" t="s">
        <v>107</v>
      </c>
      <c r="E723" t="s">
        <v>49</v>
      </c>
      <c r="F723" t="s">
        <v>42</v>
      </c>
      <c r="G723" t="s">
        <v>63</v>
      </c>
      <c r="H723" t="s">
        <v>94</v>
      </c>
      <c r="I723" t="s">
        <v>144</v>
      </c>
      <c r="J723">
        <v>43</v>
      </c>
      <c r="K723">
        <v>18850.240000000002</v>
      </c>
      <c r="L723">
        <v>810560.32</v>
      </c>
      <c r="M723">
        <v>0</v>
      </c>
      <c r="N723">
        <v>0</v>
      </c>
      <c r="O723">
        <v>810560.32</v>
      </c>
      <c r="P723" t="s">
        <v>32</v>
      </c>
      <c r="Q723" t="s">
        <v>32</v>
      </c>
    </row>
    <row r="724" spans="1:17" x14ac:dyDescent="0.25">
      <c r="A724" t="s">
        <v>841</v>
      </c>
      <c r="B724" s="1">
        <v>45963</v>
      </c>
      <c r="C724" t="s">
        <v>54</v>
      </c>
      <c r="D724" t="s">
        <v>97</v>
      </c>
      <c r="E724" t="s">
        <v>41</v>
      </c>
      <c r="F724" t="s">
        <v>71</v>
      </c>
      <c r="G724" t="s">
        <v>66</v>
      </c>
      <c r="H724" t="s">
        <v>23</v>
      </c>
      <c r="I724" t="s">
        <v>30</v>
      </c>
      <c r="J724">
        <v>3</v>
      </c>
      <c r="K724">
        <v>45773.7</v>
      </c>
      <c r="L724">
        <v>137321.1</v>
      </c>
      <c r="M724">
        <v>1499.77</v>
      </c>
      <c r="N724">
        <v>0</v>
      </c>
      <c r="O724">
        <v>135821.32999999999</v>
      </c>
      <c r="P724" t="s">
        <v>73</v>
      </c>
      <c r="Q724" t="s">
        <v>26</v>
      </c>
    </row>
    <row r="725" spans="1:17" x14ac:dyDescent="0.25">
      <c r="A725" t="s">
        <v>842</v>
      </c>
      <c r="B725" s="1">
        <v>46007</v>
      </c>
      <c r="C725" t="s">
        <v>54</v>
      </c>
      <c r="D725" t="s">
        <v>133</v>
      </c>
      <c r="E725" t="s">
        <v>41</v>
      </c>
      <c r="F725" t="s">
        <v>62</v>
      </c>
      <c r="G725" t="s">
        <v>85</v>
      </c>
      <c r="H725" t="s">
        <v>94</v>
      </c>
      <c r="I725" t="s">
        <v>163</v>
      </c>
      <c r="J725">
        <v>38</v>
      </c>
      <c r="K725">
        <v>1318.54</v>
      </c>
      <c r="L725">
        <v>50104.52</v>
      </c>
      <c r="M725">
        <v>9456.5400000000009</v>
      </c>
      <c r="N725">
        <v>0</v>
      </c>
      <c r="O725">
        <v>40647.980000000003</v>
      </c>
      <c r="P725" t="s">
        <v>31</v>
      </c>
      <c r="Q725" t="s">
        <v>32</v>
      </c>
    </row>
    <row r="726" spans="1:17" x14ac:dyDescent="0.25">
      <c r="A726" t="s">
        <v>843</v>
      </c>
      <c r="B726" s="1">
        <v>46028</v>
      </c>
      <c r="C726" t="s">
        <v>60</v>
      </c>
      <c r="D726" t="s">
        <v>123</v>
      </c>
      <c r="E726" t="s">
        <v>41</v>
      </c>
      <c r="F726" t="s">
        <v>84</v>
      </c>
      <c r="G726" t="s">
        <v>98</v>
      </c>
      <c r="H726" t="s">
        <v>67</v>
      </c>
      <c r="I726" t="s">
        <v>201</v>
      </c>
      <c r="J726">
        <v>15</v>
      </c>
      <c r="K726">
        <v>7145.27</v>
      </c>
      <c r="L726">
        <v>107179.05</v>
      </c>
      <c r="M726">
        <v>0</v>
      </c>
      <c r="N726">
        <v>0</v>
      </c>
      <c r="O726">
        <v>107179.05</v>
      </c>
      <c r="P726" t="s">
        <v>73</v>
      </c>
      <c r="Q726" t="s">
        <v>32</v>
      </c>
    </row>
    <row r="727" spans="1:17" x14ac:dyDescent="0.25">
      <c r="A727" t="s">
        <v>844</v>
      </c>
      <c r="B727" s="1">
        <v>46035</v>
      </c>
      <c r="C727" t="s">
        <v>18</v>
      </c>
      <c r="D727" t="s">
        <v>75</v>
      </c>
      <c r="E727" t="s">
        <v>49</v>
      </c>
      <c r="F727" t="s">
        <v>71</v>
      </c>
      <c r="G727" t="s">
        <v>85</v>
      </c>
      <c r="H727" t="s">
        <v>23</v>
      </c>
      <c r="I727" t="s">
        <v>110</v>
      </c>
      <c r="J727">
        <v>41</v>
      </c>
      <c r="K727">
        <v>22400.92</v>
      </c>
      <c r="L727">
        <v>918437.72</v>
      </c>
      <c r="M727">
        <v>0</v>
      </c>
      <c r="N727">
        <v>0</v>
      </c>
      <c r="O727">
        <v>918437.72</v>
      </c>
      <c r="P727" t="s">
        <v>25</v>
      </c>
      <c r="Q727" t="s">
        <v>26</v>
      </c>
    </row>
    <row r="728" spans="1:17" x14ac:dyDescent="0.25">
      <c r="A728" t="s">
        <v>845</v>
      </c>
      <c r="B728" s="1">
        <v>45967</v>
      </c>
      <c r="C728" t="s">
        <v>60</v>
      </c>
      <c r="D728" t="s">
        <v>151</v>
      </c>
      <c r="E728" t="s">
        <v>49</v>
      </c>
      <c r="F728" t="s">
        <v>112</v>
      </c>
      <c r="G728" t="s">
        <v>85</v>
      </c>
      <c r="H728" t="s">
        <v>94</v>
      </c>
      <c r="I728" t="s">
        <v>177</v>
      </c>
      <c r="J728">
        <v>38</v>
      </c>
      <c r="K728">
        <v>8180.84</v>
      </c>
      <c r="L728">
        <v>310871.92</v>
      </c>
      <c r="M728">
        <v>0</v>
      </c>
      <c r="N728">
        <v>0</v>
      </c>
      <c r="O728">
        <v>310871.92</v>
      </c>
      <c r="P728" t="s">
        <v>73</v>
      </c>
      <c r="Q728" t="s">
        <v>32</v>
      </c>
    </row>
    <row r="729" spans="1:17" x14ac:dyDescent="0.25">
      <c r="A729" t="s">
        <v>846</v>
      </c>
      <c r="B729" s="1">
        <v>46036</v>
      </c>
      <c r="C729" t="s">
        <v>54</v>
      </c>
      <c r="D729" t="s">
        <v>133</v>
      </c>
      <c r="E729" t="s">
        <v>49</v>
      </c>
      <c r="F729" t="s">
        <v>42</v>
      </c>
      <c r="G729" t="s">
        <v>29</v>
      </c>
      <c r="H729" t="s">
        <v>44</v>
      </c>
      <c r="I729" t="s">
        <v>152</v>
      </c>
      <c r="J729">
        <v>25</v>
      </c>
      <c r="K729">
        <v>13804.2</v>
      </c>
      <c r="L729">
        <v>345105</v>
      </c>
      <c r="M729">
        <v>38775.03</v>
      </c>
      <c r="N729">
        <v>0</v>
      </c>
      <c r="O729">
        <v>306329.96999999997</v>
      </c>
      <c r="P729" t="s">
        <v>25</v>
      </c>
      <c r="Q729" t="s">
        <v>26</v>
      </c>
    </row>
    <row r="730" spans="1:17" x14ac:dyDescent="0.25">
      <c r="A730" t="s">
        <v>847</v>
      </c>
      <c r="B730" s="1">
        <v>45995</v>
      </c>
      <c r="C730" t="s">
        <v>79</v>
      </c>
      <c r="D730" t="s">
        <v>80</v>
      </c>
      <c r="E730" t="s">
        <v>35</v>
      </c>
      <c r="F730" t="s">
        <v>36</v>
      </c>
      <c r="G730" t="s">
        <v>29</v>
      </c>
      <c r="H730" t="s">
        <v>44</v>
      </c>
      <c r="I730" t="s">
        <v>281</v>
      </c>
      <c r="J730">
        <v>16</v>
      </c>
      <c r="K730">
        <v>17485.75</v>
      </c>
      <c r="L730">
        <v>279772</v>
      </c>
      <c r="M730">
        <v>2615.02</v>
      </c>
      <c r="N730">
        <v>5710.43</v>
      </c>
      <c r="O730">
        <v>271446.55</v>
      </c>
      <c r="P730" t="s">
        <v>73</v>
      </c>
      <c r="Q730" t="s">
        <v>32</v>
      </c>
    </row>
    <row r="731" spans="1:17" x14ac:dyDescent="0.25">
      <c r="A731" t="s">
        <v>848</v>
      </c>
      <c r="B731" s="1">
        <v>46015</v>
      </c>
      <c r="C731" t="s">
        <v>47</v>
      </c>
      <c r="D731" t="s">
        <v>114</v>
      </c>
      <c r="E731" t="s">
        <v>20</v>
      </c>
      <c r="F731" t="s">
        <v>36</v>
      </c>
      <c r="G731" t="s">
        <v>56</v>
      </c>
      <c r="H731" t="s">
        <v>94</v>
      </c>
      <c r="I731" t="s">
        <v>95</v>
      </c>
      <c r="J731">
        <v>2</v>
      </c>
      <c r="K731">
        <v>40307.120000000003</v>
      </c>
      <c r="L731">
        <v>80614.240000000005</v>
      </c>
      <c r="M731">
        <v>0</v>
      </c>
      <c r="N731">
        <v>0</v>
      </c>
      <c r="O731">
        <v>80614.240000000005</v>
      </c>
      <c r="P731" t="s">
        <v>32</v>
      </c>
      <c r="Q731" t="s">
        <v>32</v>
      </c>
    </row>
    <row r="732" spans="1:17" x14ac:dyDescent="0.25">
      <c r="A732" t="s">
        <v>849</v>
      </c>
      <c r="B732" s="1">
        <v>46021</v>
      </c>
      <c r="C732" t="s">
        <v>47</v>
      </c>
      <c r="D732" t="s">
        <v>114</v>
      </c>
      <c r="E732" t="s">
        <v>41</v>
      </c>
      <c r="F732" t="s">
        <v>42</v>
      </c>
      <c r="G732" t="s">
        <v>56</v>
      </c>
      <c r="H732" t="s">
        <v>67</v>
      </c>
      <c r="I732" t="s">
        <v>103</v>
      </c>
      <c r="J732">
        <v>50</v>
      </c>
      <c r="K732">
        <v>44193.14</v>
      </c>
      <c r="L732">
        <v>2209657</v>
      </c>
      <c r="M732">
        <v>246526.07</v>
      </c>
      <c r="N732">
        <v>0</v>
      </c>
      <c r="O732">
        <v>1963130.93</v>
      </c>
      <c r="P732" t="s">
        <v>32</v>
      </c>
      <c r="Q732" t="s">
        <v>32</v>
      </c>
    </row>
    <row r="733" spans="1:17" x14ac:dyDescent="0.25">
      <c r="A733" t="s">
        <v>850</v>
      </c>
      <c r="B733" s="1">
        <v>46009</v>
      </c>
      <c r="C733" t="s">
        <v>60</v>
      </c>
      <c r="D733" t="s">
        <v>123</v>
      </c>
      <c r="E733" t="s">
        <v>20</v>
      </c>
      <c r="F733" t="s">
        <v>50</v>
      </c>
      <c r="G733" t="s">
        <v>138</v>
      </c>
      <c r="H733" t="s">
        <v>57</v>
      </c>
      <c r="I733" t="s">
        <v>72</v>
      </c>
      <c r="J733">
        <v>44</v>
      </c>
      <c r="K733">
        <v>23975.66</v>
      </c>
      <c r="L733">
        <v>1054929.04</v>
      </c>
      <c r="M733">
        <v>151883.42000000001</v>
      </c>
      <c r="N733">
        <v>0</v>
      </c>
      <c r="O733">
        <v>903045.62</v>
      </c>
      <c r="P733" t="s">
        <v>32</v>
      </c>
      <c r="Q733" t="s">
        <v>32</v>
      </c>
    </row>
    <row r="734" spans="1:17" x14ac:dyDescent="0.25">
      <c r="A734" t="s">
        <v>851</v>
      </c>
      <c r="B734" s="1">
        <v>45997</v>
      </c>
      <c r="C734" t="s">
        <v>47</v>
      </c>
      <c r="D734" t="s">
        <v>88</v>
      </c>
      <c r="E734" t="s">
        <v>41</v>
      </c>
      <c r="F734" t="s">
        <v>84</v>
      </c>
      <c r="G734" t="s">
        <v>29</v>
      </c>
      <c r="H734" t="s">
        <v>38</v>
      </c>
      <c r="I734" t="s">
        <v>120</v>
      </c>
      <c r="J734">
        <v>15</v>
      </c>
      <c r="K734">
        <v>5708.18</v>
      </c>
      <c r="L734">
        <v>85622.7</v>
      </c>
      <c r="M734">
        <v>0</v>
      </c>
      <c r="N734">
        <v>0</v>
      </c>
      <c r="O734">
        <v>85622.7</v>
      </c>
      <c r="P734" t="s">
        <v>25</v>
      </c>
      <c r="Q734" t="s">
        <v>26</v>
      </c>
    </row>
    <row r="735" spans="1:17" x14ac:dyDescent="0.25">
      <c r="A735" t="s">
        <v>852</v>
      </c>
      <c r="B735" s="1">
        <v>45979</v>
      </c>
      <c r="C735" t="s">
        <v>47</v>
      </c>
      <c r="D735" t="s">
        <v>88</v>
      </c>
      <c r="E735" t="s">
        <v>20</v>
      </c>
      <c r="F735" t="s">
        <v>71</v>
      </c>
      <c r="G735" t="s">
        <v>29</v>
      </c>
      <c r="H735" t="s">
        <v>67</v>
      </c>
      <c r="I735" t="s">
        <v>103</v>
      </c>
      <c r="J735">
        <v>49</v>
      </c>
      <c r="K735">
        <v>25808.35</v>
      </c>
      <c r="L735">
        <v>1264609.1499999999</v>
      </c>
      <c r="M735">
        <v>0</v>
      </c>
      <c r="N735">
        <v>0</v>
      </c>
      <c r="O735">
        <v>1264609.1499999999</v>
      </c>
      <c r="P735" t="s">
        <v>32</v>
      </c>
      <c r="Q735" t="s">
        <v>32</v>
      </c>
    </row>
    <row r="736" spans="1:17" x14ac:dyDescent="0.25">
      <c r="A736" t="s">
        <v>853</v>
      </c>
      <c r="B736" s="1">
        <v>45974</v>
      </c>
      <c r="C736" t="s">
        <v>60</v>
      </c>
      <c r="D736" t="s">
        <v>65</v>
      </c>
      <c r="E736" t="s">
        <v>49</v>
      </c>
      <c r="F736" t="s">
        <v>50</v>
      </c>
      <c r="G736" t="s">
        <v>37</v>
      </c>
      <c r="H736" t="s">
        <v>44</v>
      </c>
      <c r="I736" t="s">
        <v>152</v>
      </c>
      <c r="J736">
        <v>28</v>
      </c>
      <c r="K736">
        <v>22299.439999999999</v>
      </c>
      <c r="L736">
        <v>624384.31999999995</v>
      </c>
      <c r="M736">
        <v>0</v>
      </c>
      <c r="N736">
        <v>0</v>
      </c>
      <c r="O736">
        <v>624384.31999999995</v>
      </c>
      <c r="P736" t="s">
        <v>73</v>
      </c>
      <c r="Q736" t="s">
        <v>32</v>
      </c>
    </row>
    <row r="737" spans="1:17" x14ac:dyDescent="0.25">
      <c r="A737" t="s">
        <v>854</v>
      </c>
      <c r="B737" s="1">
        <v>46043</v>
      </c>
      <c r="C737" t="s">
        <v>54</v>
      </c>
      <c r="D737" t="s">
        <v>70</v>
      </c>
      <c r="E737" t="s">
        <v>49</v>
      </c>
      <c r="F737" t="s">
        <v>50</v>
      </c>
      <c r="G737" t="s">
        <v>63</v>
      </c>
      <c r="H737" t="s">
        <v>44</v>
      </c>
      <c r="I737" t="s">
        <v>124</v>
      </c>
      <c r="J737">
        <v>11</v>
      </c>
      <c r="K737">
        <v>32621.3</v>
      </c>
      <c r="L737">
        <v>358834.3</v>
      </c>
      <c r="M737">
        <v>70913.48</v>
      </c>
      <c r="N737">
        <v>0</v>
      </c>
      <c r="O737">
        <v>287920.82</v>
      </c>
      <c r="P737" t="s">
        <v>31</v>
      </c>
      <c r="Q737" t="s">
        <v>32</v>
      </c>
    </row>
    <row r="738" spans="1:17" x14ac:dyDescent="0.25">
      <c r="A738" t="s">
        <v>855</v>
      </c>
      <c r="B738" s="1">
        <v>46045</v>
      </c>
      <c r="C738" t="s">
        <v>54</v>
      </c>
      <c r="D738" t="s">
        <v>133</v>
      </c>
      <c r="E738" t="s">
        <v>20</v>
      </c>
      <c r="F738" t="s">
        <v>112</v>
      </c>
      <c r="G738" t="s">
        <v>29</v>
      </c>
      <c r="H738" t="s">
        <v>44</v>
      </c>
      <c r="I738" t="s">
        <v>45</v>
      </c>
      <c r="J738">
        <v>40</v>
      </c>
      <c r="K738">
        <v>39420.339999999997</v>
      </c>
      <c r="L738">
        <v>1576813.6</v>
      </c>
      <c r="M738">
        <v>123578.87</v>
      </c>
      <c r="N738">
        <v>0</v>
      </c>
      <c r="O738">
        <v>1453234.73</v>
      </c>
      <c r="P738" t="s">
        <v>25</v>
      </c>
      <c r="Q738" t="s">
        <v>26</v>
      </c>
    </row>
    <row r="739" spans="1:17" x14ac:dyDescent="0.25">
      <c r="A739" t="s">
        <v>856</v>
      </c>
      <c r="B739" s="1">
        <v>46022</v>
      </c>
      <c r="C739" t="s">
        <v>79</v>
      </c>
      <c r="D739" t="s">
        <v>80</v>
      </c>
      <c r="E739" t="s">
        <v>41</v>
      </c>
      <c r="F739" t="s">
        <v>36</v>
      </c>
      <c r="G739" t="s">
        <v>89</v>
      </c>
      <c r="H739" t="s">
        <v>57</v>
      </c>
      <c r="I739" t="s">
        <v>118</v>
      </c>
      <c r="J739">
        <v>34</v>
      </c>
      <c r="K739">
        <v>27604.71</v>
      </c>
      <c r="L739">
        <v>938560.14</v>
      </c>
      <c r="M739">
        <v>0</v>
      </c>
      <c r="N739">
        <v>0</v>
      </c>
      <c r="O739">
        <v>938560.14</v>
      </c>
      <c r="P739" t="s">
        <v>25</v>
      </c>
      <c r="Q739" t="s">
        <v>26</v>
      </c>
    </row>
    <row r="740" spans="1:17" x14ac:dyDescent="0.25">
      <c r="A740" t="s">
        <v>857</v>
      </c>
      <c r="B740" s="1">
        <v>46045</v>
      </c>
      <c r="C740" t="s">
        <v>47</v>
      </c>
      <c r="D740" t="s">
        <v>48</v>
      </c>
      <c r="E740" t="s">
        <v>35</v>
      </c>
      <c r="F740" t="s">
        <v>137</v>
      </c>
      <c r="G740" t="s">
        <v>138</v>
      </c>
      <c r="H740" t="s">
        <v>44</v>
      </c>
      <c r="I740" t="s">
        <v>124</v>
      </c>
      <c r="J740">
        <v>11</v>
      </c>
      <c r="K740">
        <v>28537.279999999999</v>
      </c>
      <c r="L740">
        <v>313910.08</v>
      </c>
      <c r="M740">
        <v>0</v>
      </c>
      <c r="N740">
        <v>73696.84</v>
      </c>
      <c r="O740">
        <v>240213.24</v>
      </c>
      <c r="P740" t="s">
        <v>32</v>
      </c>
      <c r="Q740" t="s">
        <v>32</v>
      </c>
    </row>
    <row r="741" spans="1:17" x14ac:dyDescent="0.25">
      <c r="A741" t="s">
        <v>858</v>
      </c>
      <c r="B741" s="1">
        <v>45970</v>
      </c>
      <c r="C741" t="s">
        <v>54</v>
      </c>
      <c r="D741" t="s">
        <v>133</v>
      </c>
      <c r="E741" t="s">
        <v>49</v>
      </c>
      <c r="F741" t="s">
        <v>105</v>
      </c>
      <c r="G741" t="s">
        <v>43</v>
      </c>
      <c r="H741" t="s">
        <v>57</v>
      </c>
      <c r="I741" t="s">
        <v>92</v>
      </c>
      <c r="J741">
        <v>50</v>
      </c>
      <c r="K741">
        <v>20303.330000000002</v>
      </c>
      <c r="L741">
        <v>1015166.5</v>
      </c>
      <c r="M741">
        <v>0</v>
      </c>
      <c r="N741">
        <v>0</v>
      </c>
      <c r="O741">
        <v>1015166.5</v>
      </c>
      <c r="P741" t="s">
        <v>32</v>
      </c>
      <c r="Q741" t="s">
        <v>26</v>
      </c>
    </row>
    <row r="742" spans="1:17" x14ac:dyDescent="0.25">
      <c r="A742" t="s">
        <v>859</v>
      </c>
      <c r="B742" s="1">
        <v>45995</v>
      </c>
      <c r="C742" t="s">
        <v>54</v>
      </c>
      <c r="D742" t="s">
        <v>55</v>
      </c>
      <c r="E742" t="s">
        <v>41</v>
      </c>
      <c r="F742" t="s">
        <v>71</v>
      </c>
      <c r="G742" t="s">
        <v>81</v>
      </c>
      <c r="H742" t="s">
        <v>94</v>
      </c>
      <c r="I742" t="s">
        <v>163</v>
      </c>
      <c r="J742">
        <v>48</v>
      </c>
      <c r="K742">
        <v>7208.35</v>
      </c>
      <c r="L742">
        <v>346000.8</v>
      </c>
      <c r="M742">
        <v>29846.720000000001</v>
      </c>
      <c r="N742">
        <v>0</v>
      </c>
      <c r="O742">
        <v>316154.08</v>
      </c>
      <c r="P742" t="s">
        <v>25</v>
      </c>
      <c r="Q742" t="s">
        <v>32</v>
      </c>
    </row>
    <row r="743" spans="1:17" x14ac:dyDescent="0.25">
      <c r="A743" t="s">
        <v>860</v>
      </c>
      <c r="B743" s="1">
        <v>46030</v>
      </c>
      <c r="C743" t="s">
        <v>18</v>
      </c>
      <c r="D743" t="s">
        <v>19</v>
      </c>
      <c r="E743" t="s">
        <v>35</v>
      </c>
      <c r="F743" t="s">
        <v>21</v>
      </c>
      <c r="G743" t="s">
        <v>29</v>
      </c>
      <c r="H743" t="s">
        <v>57</v>
      </c>
      <c r="I743" t="s">
        <v>118</v>
      </c>
      <c r="J743">
        <v>2</v>
      </c>
      <c r="K743">
        <v>6320.5</v>
      </c>
      <c r="L743">
        <v>12641</v>
      </c>
      <c r="M743">
        <v>555.66999999999996</v>
      </c>
      <c r="N743">
        <v>0</v>
      </c>
      <c r="O743">
        <v>12085.33</v>
      </c>
      <c r="P743" t="s">
        <v>31</v>
      </c>
      <c r="Q743" t="s">
        <v>32</v>
      </c>
    </row>
    <row r="744" spans="1:17" x14ac:dyDescent="0.25">
      <c r="A744" t="s">
        <v>861</v>
      </c>
      <c r="B744" s="1">
        <v>45999</v>
      </c>
      <c r="C744" t="s">
        <v>18</v>
      </c>
      <c r="D744" t="s">
        <v>75</v>
      </c>
      <c r="E744" t="s">
        <v>35</v>
      </c>
      <c r="F744" t="s">
        <v>71</v>
      </c>
      <c r="G744" t="s">
        <v>29</v>
      </c>
      <c r="H744" t="s">
        <v>38</v>
      </c>
      <c r="I744" t="s">
        <v>120</v>
      </c>
      <c r="J744">
        <v>27</v>
      </c>
      <c r="K744">
        <v>30781.21</v>
      </c>
      <c r="L744">
        <v>831092.67</v>
      </c>
      <c r="M744">
        <v>0</v>
      </c>
      <c r="N744">
        <v>0</v>
      </c>
      <c r="O744">
        <v>831092.67</v>
      </c>
      <c r="P744" t="s">
        <v>73</v>
      </c>
      <c r="Q744" t="s">
        <v>26</v>
      </c>
    </row>
    <row r="745" spans="1:17" x14ac:dyDescent="0.25">
      <c r="A745" t="s">
        <v>862</v>
      </c>
      <c r="B745" s="1">
        <v>45995</v>
      </c>
      <c r="C745" t="s">
        <v>47</v>
      </c>
      <c r="D745" t="s">
        <v>127</v>
      </c>
      <c r="E745" t="s">
        <v>41</v>
      </c>
      <c r="F745" t="s">
        <v>71</v>
      </c>
      <c r="G745" t="s">
        <v>140</v>
      </c>
      <c r="H745" t="s">
        <v>67</v>
      </c>
      <c r="I745" t="s">
        <v>170</v>
      </c>
      <c r="J745">
        <v>5</v>
      </c>
      <c r="K745">
        <v>41675.360000000001</v>
      </c>
      <c r="L745">
        <v>208376.8</v>
      </c>
      <c r="M745">
        <v>27242.639999999999</v>
      </c>
      <c r="N745">
        <v>0</v>
      </c>
      <c r="O745">
        <v>181134.16</v>
      </c>
      <c r="P745" t="s">
        <v>73</v>
      </c>
      <c r="Q745" t="s">
        <v>32</v>
      </c>
    </row>
    <row r="746" spans="1:17" x14ac:dyDescent="0.25">
      <c r="A746" t="s">
        <v>863</v>
      </c>
      <c r="B746" s="1">
        <v>46035</v>
      </c>
      <c r="C746" t="s">
        <v>47</v>
      </c>
      <c r="D746" t="s">
        <v>127</v>
      </c>
      <c r="E746" t="s">
        <v>49</v>
      </c>
      <c r="F746" t="s">
        <v>21</v>
      </c>
      <c r="G746" t="s">
        <v>37</v>
      </c>
      <c r="H746" t="s">
        <v>94</v>
      </c>
      <c r="I746" t="s">
        <v>177</v>
      </c>
      <c r="J746">
        <v>11</v>
      </c>
      <c r="K746">
        <v>28990.01</v>
      </c>
      <c r="L746">
        <v>318890.11</v>
      </c>
      <c r="M746">
        <v>0</v>
      </c>
      <c r="N746">
        <v>0</v>
      </c>
      <c r="O746">
        <v>318890.11</v>
      </c>
      <c r="P746" t="s">
        <v>25</v>
      </c>
      <c r="Q746" t="s">
        <v>26</v>
      </c>
    </row>
    <row r="747" spans="1:17" x14ac:dyDescent="0.25">
      <c r="A747" t="s">
        <v>864</v>
      </c>
      <c r="B747" s="1">
        <v>46025</v>
      </c>
      <c r="C747" t="s">
        <v>60</v>
      </c>
      <c r="D747" t="s">
        <v>61</v>
      </c>
      <c r="E747" t="s">
        <v>20</v>
      </c>
      <c r="F747" t="s">
        <v>71</v>
      </c>
      <c r="G747" t="s">
        <v>138</v>
      </c>
      <c r="H747" t="s">
        <v>38</v>
      </c>
      <c r="I747" t="s">
        <v>82</v>
      </c>
      <c r="J747">
        <v>30</v>
      </c>
      <c r="K747">
        <v>47506.11</v>
      </c>
      <c r="L747">
        <v>1425183.3</v>
      </c>
      <c r="M747">
        <v>0</v>
      </c>
      <c r="N747">
        <v>256868.34</v>
      </c>
      <c r="O747">
        <v>1168314.96</v>
      </c>
      <c r="P747" t="s">
        <v>25</v>
      </c>
      <c r="Q747" t="s">
        <v>26</v>
      </c>
    </row>
    <row r="748" spans="1:17" x14ac:dyDescent="0.25">
      <c r="A748" t="s">
        <v>865</v>
      </c>
      <c r="B748" s="1">
        <v>45962</v>
      </c>
      <c r="C748" t="s">
        <v>60</v>
      </c>
      <c r="D748" t="s">
        <v>151</v>
      </c>
      <c r="E748" t="s">
        <v>41</v>
      </c>
      <c r="F748" t="s">
        <v>36</v>
      </c>
      <c r="G748" t="s">
        <v>66</v>
      </c>
      <c r="H748" t="s">
        <v>57</v>
      </c>
      <c r="I748" t="s">
        <v>58</v>
      </c>
      <c r="J748">
        <v>46</v>
      </c>
      <c r="K748">
        <v>45577.26</v>
      </c>
      <c r="L748">
        <v>2096553.96</v>
      </c>
      <c r="M748">
        <v>0</v>
      </c>
      <c r="N748">
        <v>0</v>
      </c>
      <c r="O748">
        <v>2096553.96</v>
      </c>
      <c r="P748" t="s">
        <v>32</v>
      </c>
      <c r="Q748" t="s">
        <v>32</v>
      </c>
    </row>
    <row r="749" spans="1:17" x14ac:dyDescent="0.25">
      <c r="A749" t="s">
        <v>866</v>
      </c>
      <c r="B749" s="1">
        <v>46012</v>
      </c>
      <c r="C749" t="s">
        <v>79</v>
      </c>
      <c r="D749" t="s">
        <v>91</v>
      </c>
      <c r="E749" t="s">
        <v>41</v>
      </c>
      <c r="F749" t="s">
        <v>50</v>
      </c>
      <c r="G749" t="s">
        <v>102</v>
      </c>
      <c r="H749" t="s">
        <v>23</v>
      </c>
      <c r="I749" t="s">
        <v>24</v>
      </c>
      <c r="J749">
        <v>35</v>
      </c>
      <c r="K749">
        <v>38676.78</v>
      </c>
      <c r="L749">
        <v>1353687.3</v>
      </c>
      <c r="M749">
        <v>21797.1</v>
      </c>
      <c r="N749">
        <v>0</v>
      </c>
      <c r="O749">
        <v>1331890.2</v>
      </c>
      <c r="P749" t="s">
        <v>25</v>
      </c>
      <c r="Q749" t="s">
        <v>26</v>
      </c>
    </row>
    <row r="750" spans="1:17" x14ac:dyDescent="0.25">
      <c r="A750" t="s">
        <v>867</v>
      </c>
      <c r="B750" s="1">
        <v>46023</v>
      </c>
      <c r="C750" t="s">
        <v>18</v>
      </c>
      <c r="D750" t="s">
        <v>28</v>
      </c>
      <c r="E750" t="s">
        <v>20</v>
      </c>
      <c r="F750" t="s">
        <v>21</v>
      </c>
      <c r="G750" t="s">
        <v>98</v>
      </c>
      <c r="H750" t="s">
        <v>23</v>
      </c>
      <c r="I750" t="s">
        <v>110</v>
      </c>
      <c r="J750">
        <v>49</v>
      </c>
      <c r="K750">
        <v>13880.13</v>
      </c>
      <c r="L750">
        <v>680126.37</v>
      </c>
      <c r="M750">
        <v>0</v>
      </c>
      <c r="N750">
        <v>0</v>
      </c>
      <c r="O750">
        <v>680126.37</v>
      </c>
      <c r="P750" t="s">
        <v>25</v>
      </c>
      <c r="Q750" t="s">
        <v>26</v>
      </c>
    </row>
    <row r="751" spans="1:17" x14ac:dyDescent="0.25">
      <c r="A751" t="s">
        <v>868</v>
      </c>
      <c r="B751" s="1">
        <v>45970</v>
      </c>
      <c r="C751" t="s">
        <v>47</v>
      </c>
      <c r="D751" t="s">
        <v>127</v>
      </c>
      <c r="E751" t="s">
        <v>20</v>
      </c>
      <c r="F751" t="s">
        <v>84</v>
      </c>
      <c r="G751" t="s">
        <v>43</v>
      </c>
      <c r="H751" t="s">
        <v>44</v>
      </c>
      <c r="I751" t="s">
        <v>135</v>
      </c>
      <c r="J751">
        <v>37</v>
      </c>
      <c r="K751">
        <v>2474.98</v>
      </c>
      <c r="L751">
        <v>91574.26</v>
      </c>
      <c r="M751">
        <v>0</v>
      </c>
      <c r="N751">
        <v>17711.490000000002</v>
      </c>
      <c r="O751">
        <v>73862.77</v>
      </c>
      <c r="P751" t="s">
        <v>31</v>
      </c>
      <c r="Q751" t="s">
        <v>32</v>
      </c>
    </row>
    <row r="752" spans="1:17" x14ac:dyDescent="0.25">
      <c r="A752" t="s">
        <v>869</v>
      </c>
      <c r="B752" s="1">
        <v>46000</v>
      </c>
      <c r="C752" t="s">
        <v>18</v>
      </c>
      <c r="D752" t="s">
        <v>19</v>
      </c>
      <c r="E752" t="s">
        <v>49</v>
      </c>
      <c r="F752" t="s">
        <v>42</v>
      </c>
      <c r="G752" t="s">
        <v>29</v>
      </c>
      <c r="H752" t="s">
        <v>67</v>
      </c>
      <c r="I752" t="s">
        <v>103</v>
      </c>
      <c r="J752">
        <v>9</v>
      </c>
      <c r="K752">
        <v>28456.09</v>
      </c>
      <c r="L752">
        <v>256104.81</v>
      </c>
      <c r="M752">
        <v>13882.49</v>
      </c>
      <c r="N752">
        <v>0</v>
      </c>
      <c r="O752">
        <v>242222.32</v>
      </c>
      <c r="P752" t="s">
        <v>31</v>
      </c>
      <c r="Q752" t="s">
        <v>32</v>
      </c>
    </row>
    <row r="753" spans="1:17" x14ac:dyDescent="0.25">
      <c r="A753" t="s">
        <v>870</v>
      </c>
      <c r="B753" s="1">
        <v>45977</v>
      </c>
      <c r="C753" t="s">
        <v>60</v>
      </c>
      <c r="D753" t="s">
        <v>123</v>
      </c>
      <c r="E753" t="s">
        <v>41</v>
      </c>
      <c r="F753" t="s">
        <v>105</v>
      </c>
      <c r="G753" t="s">
        <v>102</v>
      </c>
      <c r="H753" t="s">
        <v>44</v>
      </c>
      <c r="I753" t="s">
        <v>141</v>
      </c>
      <c r="J753">
        <v>20</v>
      </c>
      <c r="K753">
        <v>32130.99</v>
      </c>
      <c r="L753">
        <v>642619.80000000005</v>
      </c>
      <c r="M753">
        <v>19362.07</v>
      </c>
      <c r="N753">
        <v>0</v>
      </c>
      <c r="O753">
        <v>623257.73</v>
      </c>
      <c r="P753" t="s">
        <v>73</v>
      </c>
      <c r="Q753" t="s">
        <v>32</v>
      </c>
    </row>
    <row r="754" spans="1:17" x14ac:dyDescent="0.25">
      <c r="A754" t="s">
        <v>871</v>
      </c>
      <c r="B754" s="1">
        <v>46008</v>
      </c>
      <c r="C754" t="s">
        <v>47</v>
      </c>
      <c r="D754" t="s">
        <v>48</v>
      </c>
      <c r="E754" t="s">
        <v>49</v>
      </c>
      <c r="F754" t="s">
        <v>137</v>
      </c>
      <c r="G754" t="s">
        <v>102</v>
      </c>
      <c r="H754" t="s">
        <v>38</v>
      </c>
      <c r="I754" t="s">
        <v>82</v>
      </c>
      <c r="J754">
        <v>50</v>
      </c>
      <c r="K754">
        <v>33387.910000000003</v>
      </c>
      <c r="L754">
        <v>1669395.5</v>
      </c>
      <c r="M754">
        <v>148555.41</v>
      </c>
      <c r="N754">
        <v>232207.86</v>
      </c>
      <c r="O754">
        <v>1288632.23</v>
      </c>
      <c r="P754" t="s">
        <v>32</v>
      </c>
      <c r="Q754" t="s">
        <v>32</v>
      </c>
    </row>
    <row r="755" spans="1:17" x14ac:dyDescent="0.25">
      <c r="A755" t="s">
        <v>872</v>
      </c>
      <c r="B755" s="1">
        <v>45987</v>
      </c>
      <c r="C755" t="s">
        <v>60</v>
      </c>
      <c r="D755" t="s">
        <v>151</v>
      </c>
      <c r="E755" t="s">
        <v>49</v>
      </c>
      <c r="F755" t="s">
        <v>137</v>
      </c>
      <c r="G755" t="s">
        <v>43</v>
      </c>
      <c r="H755" t="s">
        <v>23</v>
      </c>
      <c r="I755" t="s">
        <v>110</v>
      </c>
      <c r="J755">
        <v>15</v>
      </c>
      <c r="K755">
        <v>49526.79</v>
      </c>
      <c r="L755">
        <v>742901.85</v>
      </c>
      <c r="M755">
        <v>85423.22</v>
      </c>
      <c r="N755">
        <v>0</v>
      </c>
      <c r="O755">
        <v>657478.63</v>
      </c>
      <c r="P755" t="s">
        <v>25</v>
      </c>
      <c r="Q755" t="s">
        <v>26</v>
      </c>
    </row>
    <row r="756" spans="1:17" x14ac:dyDescent="0.25">
      <c r="A756" t="s">
        <v>873</v>
      </c>
      <c r="B756" s="1">
        <v>46026</v>
      </c>
      <c r="C756" t="s">
        <v>54</v>
      </c>
      <c r="D756" t="s">
        <v>133</v>
      </c>
      <c r="E756" t="s">
        <v>35</v>
      </c>
      <c r="F756" t="s">
        <v>42</v>
      </c>
      <c r="G756" t="s">
        <v>138</v>
      </c>
      <c r="H756" t="s">
        <v>44</v>
      </c>
      <c r="I756" t="s">
        <v>135</v>
      </c>
      <c r="J756">
        <v>48</v>
      </c>
      <c r="K756">
        <v>40768.400000000001</v>
      </c>
      <c r="L756">
        <v>1956883.2</v>
      </c>
      <c r="M756">
        <v>0</v>
      </c>
      <c r="N756">
        <v>0</v>
      </c>
      <c r="O756">
        <v>1956883.2</v>
      </c>
      <c r="P756" t="s">
        <v>31</v>
      </c>
      <c r="Q756" t="s">
        <v>32</v>
      </c>
    </row>
    <row r="757" spans="1:17" x14ac:dyDescent="0.25">
      <c r="A757" t="s">
        <v>874</v>
      </c>
      <c r="B757" s="1">
        <v>46010</v>
      </c>
      <c r="C757" t="s">
        <v>47</v>
      </c>
      <c r="D757" t="s">
        <v>88</v>
      </c>
      <c r="E757" t="s">
        <v>20</v>
      </c>
      <c r="F757" t="s">
        <v>105</v>
      </c>
      <c r="G757" t="s">
        <v>63</v>
      </c>
      <c r="H757" t="s">
        <v>38</v>
      </c>
      <c r="I757" t="s">
        <v>175</v>
      </c>
      <c r="J757">
        <v>16</v>
      </c>
      <c r="K757">
        <v>41217.599999999999</v>
      </c>
      <c r="L757">
        <v>659481.59999999998</v>
      </c>
      <c r="M757">
        <v>0</v>
      </c>
      <c r="N757">
        <v>0</v>
      </c>
      <c r="O757">
        <v>659481.59999999998</v>
      </c>
      <c r="P757" t="s">
        <v>31</v>
      </c>
      <c r="Q757" t="s">
        <v>32</v>
      </c>
    </row>
    <row r="758" spans="1:17" x14ac:dyDescent="0.25">
      <c r="A758" t="s">
        <v>875</v>
      </c>
      <c r="B758" s="1">
        <v>46044</v>
      </c>
      <c r="C758" t="s">
        <v>60</v>
      </c>
      <c r="D758" t="s">
        <v>61</v>
      </c>
      <c r="E758" t="s">
        <v>35</v>
      </c>
      <c r="F758" t="s">
        <v>137</v>
      </c>
      <c r="G758" t="s">
        <v>56</v>
      </c>
      <c r="H758" t="s">
        <v>44</v>
      </c>
      <c r="I758" t="s">
        <v>45</v>
      </c>
      <c r="J758">
        <v>40</v>
      </c>
      <c r="K758">
        <v>17890.490000000002</v>
      </c>
      <c r="L758">
        <v>715619.6</v>
      </c>
      <c r="M758">
        <v>0</v>
      </c>
      <c r="N758">
        <v>0</v>
      </c>
      <c r="O758">
        <v>715619.6</v>
      </c>
      <c r="P758" t="s">
        <v>25</v>
      </c>
      <c r="Q758" t="s">
        <v>26</v>
      </c>
    </row>
    <row r="759" spans="1:17" x14ac:dyDescent="0.25">
      <c r="A759" t="s">
        <v>876</v>
      </c>
      <c r="B759" s="1">
        <v>45961</v>
      </c>
      <c r="C759" t="s">
        <v>47</v>
      </c>
      <c r="D759" t="s">
        <v>48</v>
      </c>
      <c r="E759" t="s">
        <v>41</v>
      </c>
      <c r="F759" t="s">
        <v>105</v>
      </c>
      <c r="G759" t="s">
        <v>37</v>
      </c>
      <c r="H759" t="s">
        <v>44</v>
      </c>
      <c r="I759" t="s">
        <v>135</v>
      </c>
      <c r="J759">
        <v>50</v>
      </c>
      <c r="K759">
        <v>20033.57</v>
      </c>
      <c r="L759">
        <v>1001678.5</v>
      </c>
      <c r="M759">
        <v>0</v>
      </c>
      <c r="N759">
        <v>234671.52</v>
      </c>
      <c r="O759">
        <v>767006.98</v>
      </c>
      <c r="P759" t="s">
        <v>25</v>
      </c>
      <c r="Q759" t="s">
        <v>26</v>
      </c>
    </row>
    <row r="760" spans="1:17" x14ac:dyDescent="0.25">
      <c r="A760" t="s">
        <v>877</v>
      </c>
      <c r="B760" s="1">
        <v>46007</v>
      </c>
      <c r="C760" t="s">
        <v>18</v>
      </c>
      <c r="D760" t="s">
        <v>34</v>
      </c>
      <c r="E760" t="s">
        <v>41</v>
      </c>
      <c r="F760" t="s">
        <v>36</v>
      </c>
      <c r="G760" t="s">
        <v>51</v>
      </c>
      <c r="H760" t="s">
        <v>23</v>
      </c>
      <c r="I760" t="s">
        <v>99</v>
      </c>
      <c r="J760">
        <v>4</v>
      </c>
      <c r="K760">
        <v>16499.25</v>
      </c>
      <c r="L760">
        <v>65997</v>
      </c>
      <c r="M760">
        <v>7245.98</v>
      </c>
      <c r="N760">
        <v>3460.52</v>
      </c>
      <c r="O760">
        <v>55290.5</v>
      </c>
      <c r="P760" t="s">
        <v>25</v>
      </c>
      <c r="Q760" t="s">
        <v>26</v>
      </c>
    </row>
    <row r="761" spans="1:17" x14ac:dyDescent="0.25">
      <c r="A761" t="s">
        <v>878</v>
      </c>
      <c r="B761" s="1">
        <v>46013</v>
      </c>
      <c r="C761" t="s">
        <v>47</v>
      </c>
      <c r="D761" t="s">
        <v>48</v>
      </c>
      <c r="E761" t="s">
        <v>20</v>
      </c>
      <c r="F761" t="s">
        <v>21</v>
      </c>
      <c r="G761" t="s">
        <v>81</v>
      </c>
      <c r="H761" t="s">
        <v>44</v>
      </c>
      <c r="I761" t="s">
        <v>281</v>
      </c>
      <c r="J761">
        <v>15</v>
      </c>
      <c r="K761">
        <v>35640.65</v>
      </c>
      <c r="L761">
        <v>534609.75</v>
      </c>
      <c r="M761">
        <v>34096.080000000002</v>
      </c>
      <c r="N761">
        <v>0</v>
      </c>
      <c r="O761">
        <v>500513.67</v>
      </c>
      <c r="P761" t="s">
        <v>25</v>
      </c>
      <c r="Q761" t="s">
        <v>26</v>
      </c>
    </row>
    <row r="762" spans="1:17" x14ac:dyDescent="0.25">
      <c r="A762" t="s">
        <v>879</v>
      </c>
      <c r="B762" s="1">
        <v>45983</v>
      </c>
      <c r="C762" t="s">
        <v>79</v>
      </c>
      <c r="D762" t="s">
        <v>80</v>
      </c>
      <c r="E762" t="s">
        <v>41</v>
      </c>
      <c r="F762" t="s">
        <v>84</v>
      </c>
      <c r="G762" t="s">
        <v>140</v>
      </c>
      <c r="H762" t="s">
        <v>67</v>
      </c>
      <c r="I762" t="s">
        <v>201</v>
      </c>
      <c r="J762">
        <v>40</v>
      </c>
      <c r="K762">
        <v>10031.31</v>
      </c>
      <c r="L762">
        <v>401252.4</v>
      </c>
      <c r="M762">
        <v>0</v>
      </c>
      <c r="N762">
        <v>109344.59</v>
      </c>
      <c r="O762">
        <v>291907.81</v>
      </c>
      <c r="P762" t="s">
        <v>25</v>
      </c>
      <c r="Q762" t="s">
        <v>26</v>
      </c>
    </row>
    <row r="763" spans="1:17" x14ac:dyDescent="0.25">
      <c r="A763" t="s">
        <v>880</v>
      </c>
      <c r="B763" s="1">
        <v>46039</v>
      </c>
      <c r="C763" t="s">
        <v>18</v>
      </c>
      <c r="D763" t="s">
        <v>28</v>
      </c>
      <c r="E763" t="s">
        <v>20</v>
      </c>
      <c r="F763" t="s">
        <v>21</v>
      </c>
      <c r="G763" t="s">
        <v>56</v>
      </c>
      <c r="H763" t="s">
        <v>38</v>
      </c>
      <c r="I763" t="s">
        <v>39</v>
      </c>
      <c r="J763">
        <v>23</v>
      </c>
      <c r="K763">
        <v>45954.99</v>
      </c>
      <c r="L763">
        <v>1056964.77</v>
      </c>
      <c r="M763">
        <v>0</v>
      </c>
      <c r="N763">
        <v>0</v>
      </c>
      <c r="O763">
        <v>1056964.77</v>
      </c>
      <c r="P763" t="s">
        <v>25</v>
      </c>
      <c r="Q763" t="s">
        <v>26</v>
      </c>
    </row>
    <row r="764" spans="1:17" x14ac:dyDescent="0.25">
      <c r="A764" t="s">
        <v>881</v>
      </c>
      <c r="B764" s="1">
        <v>45999</v>
      </c>
      <c r="C764" t="s">
        <v>60</v>
      </c>
      <c r="D764" t="s">
        <v>123</v>
      </c>
      <c r="E764" t="s">
        <v>35</v>
      </c>
      <c r="F764" t="s">
        <v>71</v>
      </c>
      <c r="G764" t="s">
        <v>37</v>
      </c>
      <c r="H764" t="s">
        <v>23</v>
      </c>
      <c r="I764" t="s">
        <v>99</v>
      </c>
      <c r="J764">
        <v>34</v>
      </c>
      <c r="K764">
        <v>22031.49</v>
      </c>
      <c r="L764">
        <v>749070.66</v>
      </c>
      <c r="M764">
        <v>57419.74</v>
      </c>
      <c r="N764">
        <v>0</v>
      </c>
      <c r="O764">
        <v>691650.92</v>
      </c>
      <c r="P764" t="s">
        <v>73</v>
      </c>
      <c r="Q764" t="s">
        <v>32</v>
      </c>
    </row>
    <row r="765" spans="1:17" x14ac:dyDescent="0.25">
      <c r="A765" t="s">
        <v>882</v>
      </c>
      <c r="B765" s="1">
        <v>46005</v>
      </c>
      <c r="C765" t="s">
        <v>18</v>
      </c>
      <c r="D765" t="s">
        <v>75</v>
      </c>
      <c r="E765" t="s">
        <v>49</v>
      </c>
      <c r="F765" t="s">
        <v>112</v>
      </c>
      <c r="G765" t="s">
        <v>63</v>
      </c>
      <c r="H765" t="s">
        <v>44</v>
      </c>
      <c r="I765" t="s">
        <v>135</v>
      </c>
      <c r="J765">
        <v>33</v>
      </c>
      <c r="K765">
        <v>49187.54</v>
      </c>
      <c r="L765">
        <v>1623188.82</v>
      </c>
      <c r="M765">
        <v>137256.24</v>
      </c>
      <c r="N765">
        <v>0</v>
      </c>
      <c r="O765">
        <v>1485932.58</v>
      </c>
      <c r="P765" t="s">
        <v>31</v>
      </c>
      <c r="Q765" t="s">
        <v>32</v>
      </c>
    </row>
    <row r="766" spans="1:17" x14ac:dyDescent="0.25">
      <c r="A766" t="s">
        <v>883</v>
      </c>
      <c r="B766" s="1">
        <v>45966</v>
      </c>
      <c r="C766" t="s">
        <v>79</v>
      </c>
      <c r="D766" t="s">
        <v>80</v>
      </c>
      <c r="E766" t="s">
        <v>35</v>
      </c>
      <c r="F766" t="s">
        <v>36</v>
      </c>
      <c r="G766" t="s">
        <v>89</v>
      </c>
      <c r="H766" t="s">
        <v>94</v>
      </c>
      <c r="I766" t="s">
        <v>177</v>
      </c>
      <c r="J766">
        <v>37</v>
      </c>
      <c r="K766">
        <v>22374.55</v>
      </c>
      <c r="L766">
        <v>827858.35</v>
      </c>
      <c r="M766">
        <v>0</v>
      </c>
      <c r="N766">
        <v>0</v>
      </c>
      <c r="O766">
        <v>827858.35</v>
      </c>
      <c r="P766" t="s">
        <v>32</v>
      </c>
      <c r="Q766" t="s">
        <v>32</v>
      </c>
    </row>
    <row r="767" spans="1:17" x14ac:dyDescent="0.25">
      <c r="A767" t="s">
        <v>884</v>
      </c>
      <c r="B767" s="1">
        <v>46011</v>
      </c>
      <c r="C767" t="s">
        <v>47</v>
      </c>
      <c r="D767" t="s">
        <v>114</v>
      </c>
      <c r="E767" t="s">
        <v>35</v>
      </c>
      <c r="F767" t="s">
        <v>137</v>
      </c>
      <c r="G767" t="s">
        <v>56</v>
      </c>
      <c r="H767" t="s">
        <v>44</v>
      </c>
      <c r="I767" t="s">
        <v>45</v>
      </c>
      <c r="J767">
        <v>43</v>
      </c>
      <c r="K767">
        <v>28641.03</v>
      </c>
      <c r="L767">
        <v>1231564.29</v>
      </c>
      <c r="M767">
        <v>0</v>
      </c>
      <c r="N767">
        <v>0</v>
      </c>
      <c r="O767">
        <v>1231564.29</v>
      </c>
      <c r="P767" t="s">
        <v>73</v>
      </c>
      <c r="Q767" t="s">
        <v>32</v>
      </c>
    </row>
    <row r="768" spans="1:17" x14ac:dyDescent="0.25">
      <c r="A768" t="s">
        <v>885</v>
      </c>
      <c r="B768" s="1">
        <v>45991</v>
      </c>
      <c r="C768" t="s">
        <v>60</v>
      </c>
      <c r="D768" t="s">
        <v>65</v>
      </c>
      <c r="E768" t="s">
        <v>41</v>
      </c>
      <c r="F768" t="s">
        <v>50</v>
      </c>
      <c r="G768" t="s">
        <v>138</v>
      </c>
      <c r="H768" t="s">
        <v>57</v>
      </c>
      <c r="I768" t="s">
        <v>160</v>
      </c>
      <c r="J768">
        <v>6</v>
      </c>
      <c r="K768">
        <v>39898.83</v>
      </c>
      <c r="L768">
        <v>239392.98</v>
      </c>
      <c r="M768">
        <v>41751.97</v>
      </c>
      <c r="N768">
        <v>0</v>
      </c>
      <c r="O768">
        <v>197641.01</v>
      </c>
      <c r="P768" t="s">
        <v>25</v>
      </c>
      <c r="Q768" t="s">
        <v>26</v>
      </c>
    </row>
    <row r="769" spans="1:17" x14ac:dyDescent="0.25">
      <c r="A769" t="s">
        <v>886</v>
      </c>
      <c r="B769" s="1">
        <v>46019</v>
      </c>
      <c r="C769" t="s">
        <v>54</v>
      </c>
      <c r="D769" t="s">
        <v>70</v>
      </c>
      <c r="E769" t="s">
        <v>20</v>
      </c>
      <c r="F769" t="s">
        <v>42</v>
      </c>
      <c r="G769" t="s">
        <v>51</v>
      </c>
      <c r="H769" t="s">
        <v>57</v>
      </c>
      <c r="I769" t="s">
        <v>92</v>
      </c>
      <c r="J769">
        <v>14</v>
      </c>
      <c r="K769">
        <v>27923.4</v>
      </c>
      <c r="L769">
        <v>390927.6</v>
      </c>
      <c r="M769">
        <v>71086.42</v>
      </c>
      <c r="N769">
        <v>0</v>
      </c>
      <c r="O769">
        <v>319841.18</v>
      </c>
      <c r="P769" t="s">
        <v>25</v>
      </c>
      <c r="Q769" t="s">
        <v>32</v>
      </c>
    </row>
    <row r="770" spans="1:17" x14ac:dyDescent="0.25">
      <c r="A770" t="s">
        <v>887</v>
      </c>
      <c r="B770" s="1">
        <v>46028</v>
      </c>
      <c r="C770" t="s">
        <v>18</v>
      </c>
      <c r="D770" t="s">
        <v>34</v>
      </c>
      <c r="E770" t="s">
        <v>49</v>
      </c>
      <c r="F770" t="s">
        <v>21</v>
      </c>
      <c r="G770" t="s">
        <v>37</v>
      </c>
      <c r="H770" t="s">
        <v>44</v>
      </c>
      <c r="I770" t="s">
        <v>281</v>
      </c>
      <c r="J770">
        <v>4</v>
      </c>
      <c r="K770">
        <v>25468.799999999999</v>
      </c>
      <c r="L770">
        <v>101875.2</v>
      </c>
      <c r="M770">
        <v>0</v>
      </c>
      <c r="N770">
        <v>0</v>
      </c>
      <c r="O770">
        <v>101875.2</v>
      </c>
      <c r="P770" t="s">
        <v>32</v>
      </c>
      <c r="Q770" t="s">
        <v>32</v>
      </c>
    </row>
    <row r="771" spans="1:17" x14ac:dyDescent="0.25">
      <c r="A771" t="s">
        <v>888</v>
      </c>
      <c r="B771" s="1">
        <v>46015</v>
      </c>
      <c r="C771" t="s">
        <v>60</v>
      </c>
      <c r="D771" t="s">
        <v>61</v>
      </c>
      <c r="E771" t="s">
        <v>20</v>
      </c>
      <c r="F771" t="s">
        <v>137</v>
      </c>
      <c r="G771" t="s">
        <v>56</v>
      </c>
      <c r="H771" t="s">
        <v>67</v>
      </c>
      <c r="I771" t="s">
        <v>77</v>
      </c>
      <c r="J771">
        <v>47</v>
      </c>
      <c r="K771">
        <v>33046.49</v>
      </c>
      <c r="L771">
        <v>1553185.03</v>
      </c>
      <c r="M771">
        <v>65386.03</v>
      </c>
      <c r="N771">
        <v>0</v>
      </c>
      <c r="O771">
        <v>1487799</v>
      </c>
      <c r="P771" t="s">
        <v>32</v>
      </c>
      <c r="Q771" t="s">
        <v>32</v>
      </c>
    </row>
    <row r="772" spans="1:17" x14ac:dyDescent="0.25">
      <c r="A772" t="s">
        <v>889</v>
      </c>
      <c r="B772" s="1">
        <v>45994</v>
      </c>
      <c r="C772" t="s">
        <v>60</v>
      </c>
      <c r="D772" t="s">
        <v>61</v>
      </c>
      <c r="E772" t="s">
        <v>41</v>
      </c>
      <c r="F772" t="s">
        <v>71</v>
      </c>
      <c r="G772" t="s">
        <v>102</v>
      </c>
      <c r="H772" t="s">
        <v>57</v>
      </c>
      <c r="I772" t="s">
        <v>92</v>
      </c>
      <c r="J772">
        <v>31</v>
      </c>
      <c r="K772">
        <v>12874.47</v>
      </c>
      <c r="L772">
        <v>399108.57</v>
      </c>
      <c r="M772">
        <v>37087.18</v>
      </c>
      <c r="N772">
        <v>0</v>
      </c>
      <c r="O772">
        <v>362021.39</v>
      </c>
      <c r="P772" t="s">
        <v>31</v>
      </c>
      <c r="Q772" t="s">
        <v>32</v>
      </c>
    </row>
    <row r="773" spans="1:17" x14ac:dyDescent="0.25">
      <c r="A773" t="s">
        <v>890</v>
      </c>
      <c r="B773" s="1">
        <v>45955</v>
      </c>
      <c r="C773" t="s">
        <v>54</v>
      </c>
      <c r="D773" t="s">
        <v>70</v>
      </c>
      <c r="E773" t="s">
        <v>20</v>
      </c>
      <c r="F773" t="s">
        <v>137</v>
      </c>
      <c r="G773" t="s">
        <v>89</v>
      </c>
      <c r="H773" t="s">
        <v>57</v>
      </c>
      <c r="I773" t="s">
        <v>118</v>
      </c>
      <c r="J773">
        <v>46</v>
      </c>
      <c r="K773">
        <v>20653.59</v>
      </c>
      <c r="L773">
        <v>950065.14</v>
      </c>
      <c r="M773">
        <v>0</v>
      </c>
      <c r="N773">
        <v>174146.73</v>
      </c>
      <c r="O773">
        <v>775918.41</v>
      </c>
      <c r="P773" t="s">
        <v>73</v>
      </c>
      <c r="Q773" t="s">
        <v>26</v>
      </c>
    </row>
    <row r="774" spans="1:17" x14ac:dyDescent="0.25">
      <c r="A774" t="s">
        <v>891</v>
      </c>
      <c r="B774" s="1">
        <v>46000</v>
      </c>
      <c r="C774" t="s">
        <v>54</v>
      </c>
      <c r="D774" t="s">
        <v>97</v>
      </c>
      <c r="E774" t="s">
        <v>41</v>
      </c>
      <c r="F774" t="s">
        <v>71</v>
      </c>
      <c r="G774" t="s">
        <v>43</v>
      </c>
      <c r="H774" t="s">
        <v>57</v>
      </c>
      <c r="I774" t="s">
        <v>160</v>
      </c>
      <c r="J774">
        <v>9</v>
      </c>
      <c r="K774">
        <v>42532.959999999999</v>
      </c>
      <c r="L774">
        <v>382796.64</v>
      </c>
      <c r="M774">
        <v>70210.960000000006</v>
      </c>
      <c r="N774">
        <v>0</v>
      </c>
      <c r="O774">
        <v>312585.68</v>
      </c>
      <c r="P774" t="s">
        <v>73</v>
      </c>
      <c r="Q774" t="s">
        <v>32</v>
      </c>
    </row>
    <row r="775" spans="1:17" x14ac:dyDescent="0.25">
      <c r="A775" t="s">
        <v>892</v>
      </c>
      <c r="B775" s="1">
        <v>45980</v>
      </c>
      <c r="C775" t="s">
        <v>60</v>
      </c>
      <c r="D775" t="s">
        <v>123</v>
      </c>
      <c r="E775" t="s">
        <v>35</v>
      </c>
      <c r="F775" t="s">
        <v>21</v>
      </c>
      <c r="G775" t="s">
        <v>51</v>
      </c>
      <c r="H775" t="s">
        <v>38</v>
      </c>
      <c r="I775" t="s">
        <v>175</v>
      </c>
      <c r="J775">
        <v>8</v>
      </c>
      <c r="K775">
        <v>37474.129999999997</v>
      </c>
      <c r="L775">
        <v>299793.03999999998</v>
      </c>
      <c r="M775">
        <v>4635.5600000000004</v>
      </c>
      <c r="N775">
        <v>0</v>
      </c>
      <c r="O775">
        <v>295157.48</v>
      </c>
      <c r="P775" t="s">
        <v>32</v>
      </c>
      <c r="Q775" t="s">
        <v>32</v>
      </c>
    </row>
    <row r="776" spans="1:17" x14ac:dyDescent="0.25">
      <c r="A776" t="s">
        <v>893</v>
      </c>
      <c r="B776" s="1">
        <v>46001</v>
      </c>
      <c r="C776" t="s">
        <v>60</v>
      </c>
      <c r="D776" t="s">
        <v>123</v>
      </c>
      <c r="E776" t="s">
        <v>35</v>
      </c>
      <c r="F776" t="s">
        <v>50</v>
      </c>
      <c r="G776" t="s">
        <v>138</v>
      </c>
      <c r="H776" t="s">
        <v>38</v>
      </c>
      <c r="I776" t="s">
        <v>175</v>
      </c>
      <c r="J776">
        <v>27</v>
      </c>
      <c r="K776">
        <v>47068.93</v>
      </c>
      <c r="L776">
        <v>1270861.1100000001</v>
      </c>
      <c r="M776">
        <v>171525.44</v>
      </c>
      <c r="N776">
        <v>0</v>
      </c>
      <c r="O776">
        <v>1099335.67</v>
      </c>
      <c r="P776" t="s">
        <v>32</v>
      </c>
      <c r="Q776" t="s">
        <v>32</v>
      </c>
    </row>
    <row r="777" spans="1:17" x14ac:dyDescent="0.25">
      <c r="A777" t="s">
        <v>894</v>
      </c>
      <c r="B777" s="1">
        <v>45971</v>
      </c>
      <c r="C777" t="s">
        <v>60</v>
      </c>
      <c r="D777" t="s">
        <v>151</v>
      </c>
      <c r="E777" t="s">
        <v>49</v>
      </c>
      <c r="F777" t="s">
        <v>62</v>
      </c>
      <c r="G777" t="s">
        <v>138</v>
      </c>
      <c r="H777" t="s">
        <v>94</v>
      </c>
      <c r="I777" t="s">
        <v>163</v>
      </c>
      <c r="J777">
        <v>46</v>
      </c>
      <c r="K777">
        <v>35098.1</v>
      </c>
      <c r="L777">
        <v>1614512.6</v>
      </c>
      <c r="M777">
        <v>0</v>
      </c>
      <c r="N777">
        <v>0</v>
      </c>
      <c r="O777">
        <v>1614512.6</v>
      </c>
      <c r="P777" t="s">
        <v>31</v>
      </c>
      <c r="Q777" t="s">
        <v>32</v>
      </c>
    </row>
    <row r="778" spans="1:17" x14ac:dyDescent="0.25">
      <c r="A778" t="s">
        <v>895</v>
      </c>
      <c r="B778" s="1">
        <v>46001</v>
      </c>
      <c r="C778" t="s">
        <v>47</v>
      </c>
      <c r="D778" t="s">
        <v>114</v>
      </c>
      <c r="E778" t="s">
        <v>35</v>
      </c>
      <c r="F778" t="s">
        <v>105</v>
      </c>
      <c r="G778" t="s">
        <v>22</v>
      </c>
      <c r="H778" t="s">
        <v>94</v>
      </c>
      <c r="I778" t="s">
        <v>177</v>
      </c>
      <c r="J778">
        <v>14</v>
      </c>
      <c r="K778">
        <v>33344.129999999997</v>
      </c>
      <c r="L778">
        <v>466817.82</v>
      </c>
      <c r="M778">
        <v>12999.26</v>
      </c>
      <c r="N778">
        <v>0</v>
      </c>
      <c r="O778">
        <v>453818.56</v>
      </c>
      <c r="P778" t="s">
        <v>31</v>
      </c>
      <c r="Q778" t="s">
        <v>32</v>
      </c>
    </row>
    <row r="779" spans="1:17" x14ac:dyDescent="0.25">
      <c r="A779" t="s">
        <v>896</v>
      </c>
      <c r="B779" s="1">
        <v>46036</v>
      </c>
      <c r="C779" t="s">
        <v>60</v>
      </c>
      <c r="D779" t="s">
        <v>151</v>
      </c>
      <c r="E779" t="s">
        <v>20</v>
      </c>
      <c r="F779" t="s">
        <v>137</v>
      </c>
      <c r="G779" t="s">
        <v>63</v>
      </c>
      <c r="H779" t="s">
        <v>23</v>
      </c>
      <c r="I779" t="s">
        <v>30</v>
      </c>
      <c r="J779">
        <v>18</v>
      </c>
      <c r="K779">
        <v>10876.68</v>
      </c>
      <c r="L779">
        <v>195780.24</v>
      </c>
      <c r="M779">
        <v>0</v>
      </c>
      <c r="N779">
        <v>0</v>
      </c>
      <c r="O779">
        <v>195780.24</v>
      </c>
      <c r="P779" t="s">
        <v>25</v>
      </c>
      <c r="Q779" t="s">
        <v>26</v>
      </c>
    </row>
    <row r="780" spans="1:17" x14ac:dyDescent="0.25">
      <c r="A780" t="s">
        <v>897</v>
      </c>
      <c r="B780" s="1">
        <v>45979</v>
      </c>
      <c r="C780" t="s">
        <v>60</v>
      </c>
      <c r="D780" t="s">
        <v>123</v>
      </c>
      <c r="E780" t="s">
        <v>20</v>
      </c>
      <c r="F780" t="s">
        <v>112</v>
      </c>
      <c r="G780" t="s">
        <v>56</v>
      </c>
      <c r="H780" t="s">
        <v>38</v>
      </c>
      <c r="I780" t="s">
        <v>86</v>
      </c>
      <c r="J780">
        <v>31</v>
      </c>
      <c r="K780">
        <v>22771.61</v>
      </c>
      <c r="L780">
        <v>705919.91</v>
      </c>
      <c r="M780">
        <v>40093.730000000003</v>
      </c>
      <c r="N780">
        <v>0</v>
      </c>
      <c r="O780">
        <v>665826.18000000005</v>
      </c>
      <c r="P780" t="s">
        <v>31</v>
      </c>
      <c r="Q780" t="s">
        <v>32</v>
      </c>
    </row>
    <row r="781" spans="1:17" x14ac:dyDescent="0.25">
      <c r="A781" t="s">
        <v>898</v>
      </c>
      <c r="B781" s="1">
        <v>46011</v>
      </c>
      <c r="C781" t="s">
        <v>47</v>
      </c>
      <c r="D781" t="s">
        <v>48</v>
      </c>
      <c r="E781" t="s">
        <v>20</v>
      </c>
      <c r="F781" t="s">
        <v>112</v>
      </c>
      <c r="G781" t="s">
        <v>29</v>
      </c>
      <c r="H781" t="s">
        <v>67</v>
      </c>
      <c r="I781" t="s">
        <v>154</v>
      </c>
      <c r="J781">
        <v>2</v>
      </c>
      <c r="K781">
        <v>3064.98</v>
      </c>
      <c r="L781">
        <v>6129.96</v>
      </c>
      <c r="M781">
        <v>1173.71</v>
      </c>
      <c r="N781">
        <v>0</v>
      </c>
      <c r="O781">
        <v>4956.25</v>
      </c>
      <c r="P781" t="s">
        <v>31</v>
      </c>
      <c r="Q781" t="s">
        <v>32</v>
      </c>
    </row>
    <row r="782" spans="1:17" x14ac:dyDescent="0.25">
      <c r="A782" t="s">
        <v>899</v>
      </c>
      <c r="B782" s="1">
        <v>45965</v>
      </c>
      <c r="C782" t="s">
        <v>79</v>
      </c>
      <c r="D782" t="s">
        <v>107</v>
      </c>
      <c r="E782" t="s">
        <v>20</v>
      </c>
      <c r="F782" t="s">
        <v>112</v>
      </c>
      <c r="G782" t="s">
        <v>102</v>
      </c>
      <c r="H782" t="s">
        <v>44</v>
      </c>
      <c r="I782" t="s">
        <v>124</v>
      </c>
      <c r="J782">
        <v>3</v>
      </c>
      <c r="K782">
        <v>38097.279999999999</v>
      </c>
      <c r="L782">
        <v>114291.84</v>
      </c>
      <c r="M782">
        <v>7618.68</v>
      </c>
      <c r="N782">
        <v>0</v>
      </c>
      <c r="O782">
        <v>106673.16</v>
      </c>
      <c r="P782" t="s">
        <v>31</v>
      </c>
      <c r="Q782" t="s">
        <v>32</v>
      </c>
    </row>
    <row r="783" spans="1:17" x14ac:dyDescent="0.25">
      <c r="A783" t="s">
        <v>900</v>
      </c>
      <c r="B783" s="1">
        <v>45968</v>
      </c>
      <c r="C783" t="s">
        <v>18</v>
      </c>
      <c r="D783" t="s">
        <v>75</v>
      </c>
      <c r="E783" t="s">
        <v>35</v>
      </c>
      <c r="F783" t="s">
        <v>84</v>
      </c>
      <c r="G783" t="s">
        <v>85</v>
      </c>
      <c r="H783" t="s">
        <v>23</v>
      </c>
      <c r="I783" t="s">
        <v>24</v>
      </c>
      <c r="J783">
        <v>37</v>
      </c>
      <c r="K783">
        <v>3730.39</v>
      </c>
      <c r="L783">
        <v>138024.43</v>
      </c>
      <c r="M783">
        <v>20828.55</v>
      </c>
      <c r="N783">
        <v>0</v>
      </c>
      <c r="O783">
        <v>117195.88</v>
      </c>
      <c r="P783" t="s">
        <v>32</v>
      </c>
      <c r="Q783" t="s">
        <v>32</v>
      </c>
    </row>
    <row r="784" spans="1:17" x14ac:dyDescent="0.25">
      <c r="A784" t="s">
        <v>901</v>
      </c>
      <c r="B784" s="1">
        <v>45961</v>
      </c>
      <c r="C784" t="s">
        <v>54</v>
      </c>
      <c r="D784" t="s">
        <v>70</v>
      </c>
      <c r="E784" t="s">
        <v>41</v>
      </c>
      <c r="F784" t="s">
        <v>137</v>
      </c>
      <c r="G784" t="s">
        <v>89</v>
      </c>
      <c r="H784" t="s">
        <v>94</v>
      </c>
      <c r="I784" t="s">
        <v>95</v>
      </c>
      <c r="J784">
        <v>29</v>
      </c>
      <c r="K784">
        <v>20592.47</v>
      </c>
      <c r="L784">
        <v>597181.63</v>
      </c>
      <c r="M784">
        <v>0</v>
      </c>
      <c r="N784">
        <v>0</v>
      </c>
      <c r="O784">
        <v>597181.63</v>
      </c>
      <c r="P784" t="s">
        <v>31</v>
      </c>
      <c r="Q784" t="s">
        <v>32</v>
      </c>
    </row>
    <row r="785" spans="1:17" x14ac:dyDescent="0.25">
      <c r="A785" t="s">
        <v>902</v>
      </c>
      <c r="B785" s="1">
        <v>46027</v>
      </c>
      <c r="C785" t="s">
        <v>79</v>
      </c>
      <c r="D785" t="s">
        <v>80</v>
      </c>
      <c r="E785" t="s">
        <v>41</v>
      </c>
      <c r="F785" t="s">
        <v>84</v>
      </c>
      <c r="G785" t="s">
        <v>29</v>
      </c>
      <c r="H785" t="s">
        <v>23</v>
      </c>
      <c r="I785" t="s">
        <v>30</v>
      </c>
      <c r="J785">
        <v>6</v>
      </c>
      <c r="K785">
        <v>22027.46</v>
      </c>
      <c r="L785">
        <v>132164.76</v>
      </c>
      <c r="M785">
        <v>5196.34</v>
      </c>
      <c r="N785">
        <v>0</v>
      </c>
      <c r="O785">
        <v>126968.42</v>
      </c>
      <c r="P785" t="s">
        <v>31</v>
      </c>
      <c r="Q785" t="s">
        <v>32</v>
      </c>
    </row>
    <row r="786" spans="1:17" x14ac:dyDescent="0.25">
      <c r="A786" t="s">
        <v>903</v>
      </c>
      <c r="B786" s="1">
        <v>45974</v>
      </c>
      <c r="C786" t="s">
        <v>79</v>
      </c>
      <c r="D786" t="s">
        <v>107</v>
      </c>
      <c r="E786" t="s">
        <v>41</v>
      </c>
      <c r="F786" t="s">
        <v>105</v>
      </c>
      <c r="G786" t="s">
        <v>140</v>
      </c>
      <c r="H786" t="s">
        <v>94</v>
      </c>
      <c r="I786" t="s">
        <v>144</v>
      </c>
      <c r="J786">
        <v>43</v>
      </c>
      <c r="K786">
        <v>38048.69</v>
      </c>
      <c r="L786">
        <v>1636093.67</v>
      </c>
      <c r="M786">
        <v>106773.86</v>
      </c>
      <c r="N786">
        <v>352161.32</v>
      </c>
      <c r="O786">
        <v>1177158.49</v>
      </c>
      <c r="P786" t="s">
        <v>25</v>
      </c>
      <c r="Q786" t="s">
        <v>26</v>
      </c>
    </row>
    <row r="787" spans="1:17" x14ac:dyDescent="0.25">
      <c r="A787" t="s">
        <v>904</v>
      </c>
      <c r="B787" s="1">
        <v>45995</v>
      </c>
      <c r="C787" t="s">
        <v>47</v>
      </c>
      <c r="D787" t="s">
        <v>88</v>
      </c>
      <c r="E787" t="s">
        <v>35</v>
      </c>
      <c r="F787" t="s">
        <v>21</v>
      </c>
      <c r="G787" t="s">
        <v>102</v>
      </c>
      <c r="H787" t="s">
        <v>44</v>
      </c>
      <c r="I787" t="s">
        <v>141</v>
      </c>
      <c r="J787">
        <v>46</v>
      </c>
      <c r="K787">
        <v>39288.379999999997</v>
      </c>
      <c r="L787">
        <v>1807265.48</v>
      </c>
      <c r="M787">
        <v>0</v>
      </c>
      <c r="N787">
        <v>0</v>
      </c>
      <c r="O787">
        <v>1807265.48</v>
      </c>
      <c r="P787" t="s">
        <v>31</v>
      </c>
      <c r="Q787" t="s">
        <v>32</v>
      </c>
    </row>
    <row r="788" spans="1:17" x14ac:dyDescent="0.25">
      <c r="A788" t="s">
        <v>905</v>
      </c>
      <c r="B788" s="1">
        <v>46043</v>
      </c>
      <c r="C788" t="s">
        <v>79</v>
      </c>
      <c r="D788" t="s">
        <v>101</v>
      </c>
      <c r="E788" t="s">
        <v>20</v>
      </c>
      <c r="F788" t="s">
        <v>42</v>
      </c>
      <c r="G788" t="s">
        <v>29</v>
      </c>
      <c r="H788" t="s">
        <v>23</v>
      </c>
      <c r="I788" t="s">
        <v>99</v>
      </c>
      <c r="J788">
        <v>48</v>
      </c>
      <c r="K788">
        <v>5527.1</v>
      </c>
      <c r="L788">
        <v>265300.8</v>
      </c>
      <c r="M788">
        <v>48939.8</v>
      </c>
      <c r="N788">
        <v>0</v>
      </c>
      <c r="O788">
        <v>216361</v>
      </c>
      <c r="P788" t="s">
        <v>25</v>
      </c>
      <c r="Q788" t="s">
        <v>26</v>
      </c>
    </row>
    <row r="789" spans="1:17" x14ac:dyDescent="0.25">
      <c r="A789" t="s">
        <v>906</v>
      </c>
      <c r="B789" s="1">
        <v>46022</v>
      </c>
      <c r="C789" t="s">
        <v>47</v>
      </c>
      <c r="D789" t="s">
        <v>114</v>
      </c>
      <c r="E789" t="s">
        <v>41</v>
      </c>
      <c r="F789" t="s">
        <v>62</v>
      </c>
      <c r="G789" t="s">
        <v>22</v>
      </c>
      <c r="H789" t="s">
        <v>57</v>
      </c>
      <c r="I789" t="s">
        <v>148</v>
      </c>
      <c r="J789">
        <v>26</v>
      </c>
      <c r="K789">
        <v>11383.88</v>
      </c>
      <c r="L789">
        <v>295980.88</v>
      </c>
      <c r="M789">
        <v>46938.39</v>
      </c>
      <c r="N789">
        <v>0</v>
      </c>
      <c r="O789">
        <v>249042.49</v>
      </c>
      <c r="P789" t="s">
        <v>73</v>
      </c>
      <c r="Q789" t="s">
        <v>32</v>
      </c>
    </row>
    <row r="790" spans="1:17" x14ac:dyDescent="0.25">
      <c r="A790" t="s">
        <v>907</v>
      </c>
      <c r="B790" s="1">
        <v>45995</v>
      </c>
      <c r="C790" t="s">
        <v>47</v>
      </c>
      <c r="D790" t="s">
        <v>48</v>
      </c>
      <c r="E790" t="s">
        <v>20</v>
      </c>
      <c r="F790" t="s">
        <v>137</v>
      </c>
      <c r="G790" t="s">
        <v>51</v>
      </c>
      <c r="H790" t="s">
        <v>44</v>
      </c>
      <c r="I790" t="s">
        <v>141</v>
      </c>
      <c r="J790">
        <v>15</v>
      </c>
      <c r="K790">
        <v>20258</v>
      </c>
      <c r="L790">
        <v>303870</v>
      </c>
      <c r="M790">
        <v>175.51</v>
      </c>
      <c r="N790">
        <v>0</v>
      </c>
      <c r="O790">
        <v>303694.49</v>
      </c>
      <c r="P790" t="s">
        <v>25</v>
      </c>
      <c r="Q790" t="s">
        <v>26</v>
      </c>
    </row>
    <row r="791" spans="1:17" x14ac:dyDescent="0.25">
      <c r="A791" t="s">
        <v>908</v>
      </c>
      <c r="B791" s="1">
        <v>45963</v>
      </c>
      <c r="C791" t="s">
        <v>79</v>
      </c>
      <c r="D791" t="s">
        <v>91</v>
      </c>
      <c r="E791" t="s">
        <v>20</v>
      </c>
      <c r="F791" t="s">
        <v>42</v>
      </c>
      <c r="G791" t="s">
        <v>102</v>
      </c>
      <c r="H791" t="s">
        <v>38</v>
      </c>
      <c r="I791" t="s">
        <v>108</v>
      </c>
      <c r="J791">
        <v>9</v>
      </c>
      <c r="K791">
        <v>27059.03</v>
      </c>
      <c r="L791">
        <v>243531.27</v>
      </c>
      <c r="M791">
        <v>15312.78</v>
      </c>
      <c r="N791">
        <v>0</v>
      </c>
      <c r="O791">
        <v>228218.49</v>
      </c>
      <c r="P791" t="s">
        <v>25</v>
      </c>
      <c r="Q791" t="s">
        <v>26</v>
      </c>
    </row>
    <row r="792" spans="1:17" x14ac:dyDescent="0.25">
      <c r="A792" t="s">
        <v>909</v>
      </c>
      <c r="B792" s="1">
        <v>45985</v>
      </c>
      <c r="C792" t="s">
        <v>47</v>
      </c>
      <c r="D792" t="s">
        <v>114</v>
      </c>
      <c r="E792" t="s">
        <v>35</v>
      </c>
      <c r="F792" t="s">
        <v>42</v>
      </c>
      <c r="G792" t="s">
        <v>56</v>
      </c>
      <c r="H792" t="s">
        <v>23</v>
      </c>
      <c r="I792" t="s">
        <v>52</v>
      </c>
      <c r="J792">
        <v>36</v>
      </c>
      <c r="K792">
        <v>23899.47</v>
      </c>
      <c r="L792">
        <v>860380.92</v>
      </c>
      <c r="M792">
        <v>102384.93</v>
      </c>
      <c r="N792">
        <v>0</v>
      </c>
      <c r="O792">
        <v>757995.99</v>
      </c>
      <c r="P792" t="s">
        <v>32</v>
      </c>
      <c r="Q792" t="s">
        <v>26</v>
      </c>
    </row>
    <row r="793" spans="1:17" x14ac:dyDescent="0.25">
      <c r="A793" t="s">
        <v>910</v>
      </c>
      <c r="B793" s="1">
        <v>46037</v>
      </c>
      <c r="C793" t="s">
        <v>60</v>
      </c>
      <c r="D793" t="s">
        <v>61</v>
      </c>
      <c r="E793" t="s">
        <v>49</v>
      </c>
      <c r="F793" t="s">
        <v>112</v>
      </c>
      <c r="G793" t="s">
        <v>85</v>
      </c>
      <c r="H793" t="s">
        <v>67</v>
      </c>
      <c r="I793" t="s">
        <v>77</v>
      </c>
      <c r="J793">
        <v>2</v>
      </c>
      <c r="K793">
        <v>15495.38</v>
      </c>
      <c r="L793">
        <v>30990.76</v>
      </c>
      <c r="M793">
        <v>0</v>
      </c>
      <c r="N793">
        <v>1315.62</v>
      </c>
      <c r="O793">
        <v>29675.14</v>
      </c>
      <c r="P793" t="s">
        <v>31</v>
      </c>
      <c r="Q793" t="s">
        <v>32</v>
      </c>
    </row>
    <row r="794" spans="1:17" x14ac:dyDescent="0.25">
      <c r="A794" t="s">
        <v>911</v>
      </c>
      <c r="B794" s="1">
        <v>45979</v>
      </c>
      <c r="C794" t="s">
        <v>18</v>
      </c>
      <c r="D794" t="s">
        <v>75</v>
      </c>
      <c r="E794" t="s">
        <v>20</v>
      </c>
      <c r="F794" t="s">
        <v>71</v>
      </c>
      <c r="G794" t="s">
        <v>43</v>
      </c>
      <c r="H794" t="s">
        <v>94</v>
      </c>
      <c r="I794" t="s">
        <v>177</v>
      </c>
      <c r="J794">
        <v>35</v>
      </c>
      <c r="K794">
        <v>33583.29</v>
      </c>
      <c r="L794">
        <v>1175415.1499999999</v>
      </c>
      <c r="M794">
        <v>0</v>
      </c>
      <c r="N794">
        <v>0</v>
      </c>
      <c r="O794">
        <v>1175415.1499999999</v>
      </c>
      <c r="P794" t="s">
        <v>32</v>
      </c>
      <c r="Q794" t="s">
        <v>32</v>
      </c>
    </row>
    <row r="795" spans="1:17" x14ac:dyDescent="0.25">
      <c r="A795" t="s">
        <v>912</v>
      </c>
      <c r="B795" s="1">
        <v>45961</v>
      </c>
      <c r="C795" t="s">
        <v>18</v>
      </c>
      <c r="D795" t="s">
        <v>34</v>
      </c>
      <c r="E795" t="s">
        <v>49</v>
      </c>
      <c r="F795" t="s">
        <v>84</v>
      </c>
      <c r="G795" t="s">
        <v>140</v>
      </c>
      <c r="H795" t="s">
        <v>44</v>
      </c>
      <c r="I795" t="s">
        <v>124</v>
      </c>
      <c r="J795">
        <v>18</v>
      </c>
      <c r="K795">
        <v>33383.99</v>
      </c>
      <c r="L795">
        <v>600911.81999999995</v>
      </c>
      <c r="M795">
        <v>0</v>
      </c>
      <c r="N795">
        <v>0</v>
      </c>
      <c r="O795">
        <v>600911.81999999995</v>
      </c>
      <c r="P795" t="s">
        <v>31</v>
      </c>
      <c r="Q795" t="s">
        <v>32</v>
      </c>
    </row>
    <row r="796" spans="1:17" x14ac:dyDescent="0.25">
      <c r="A796" t="s">
        <v>913</v>
      </c>
      <c r="B796" s="1">
        <v>45979</v>
      </c>
      <c r="C796" t="s">
        <v>18</v>
      </c>
      <c r="D796" t="s">
        <v>75</v>
      </c>
      <c r="E796" t="s">
        <v>41</v>
      </c>
      <c r="F796" t="s">
        <v>62</v>
      </c>
      <c r="G796" t="s">
        <v>81</v>
      </c>
      <c r="H796" t="s">
        <v>67</v>
      </c>
      <c r="I796" t="s">
        <v>170</v>
      </c>
      <c r="J796">
        <v>28</v>
      </c>
      <c r="K796">
        <v>22953.64</v>
      </c>
      <c r="L796">
        <v>642701.92000000004</v>
      </c>
      <c r="M796">
        <v>0</v>
      </c>
      <c r="N796">
        <v>0</v>
      </c>
      <c r="O796">
        <v>642701.92000000004</v>
      </c>
      <c r="P796" t="s">
        <v>32</v>
      </c>
      <c r="Q796" t="s">
        <v>32</v>
      </c>
    </row>
    <row r="797" spans="1:17" x14ac:dyDescent="0.25">
      <c r="A797" t="s">
        <v>914</v>
      </c>
      <c r="B797" s="1">
        <v>46000</v>
      </c>
      <c r="C797" t="s">
        <v>79</v>
      </c>
      <c r="D797" t="s">
        <v>101</v>
      </c>
      <c r="E797" t="s">
        <v>20</v>
      </c>
      <c r="F797" t="s">
        <v>105</v>
      </c>
      <c r="G797" t="s">
        <v>37</v>
      </c>
      <c r="H797" t="s">
        <v>38</v>
      </c>
      <c r="I797" t="s">
        <v>120</v>
      </c>
      <c r="J797">
        <v>17</v>
      </c>
      <c r="K797">
        <v>39865.120000000003</v>
      </c>
      <c r="L797">
        <v>677707.04</v>
      </c>
      <c r="M797">
        <v>89126.74</v>
      </c>
      <c r="N797">
        <v>0</v>
      </c>
      <c r="O797">
        <v>588580.30000000005</v>
      </c>
      <c r="P797" t="s">
        <v>32</v>
      </c>
      <c r="Q797" t="s">
        <v>32</v>
      </c>
    </row>
    <row r="798" spans="1:17" x14ac:dyDescent="0.25">
      <c r="A798" t="s">
        <v>915</v>
      </c>
      <c r="B798" s="1">
        <v>46014</v>
      </c>
      <c r="C798" t="s">
        <v>60</v>
      </c>
      <c r="D798" t="s">
        <v>151</v>
      </c>
      <c r="E798" t="s">
        <v>35</v>
      </c>
      <c r="F798" t="s">
        <v>62</v>
      </c>
      <c r="G798" t="s">
        <v>66</v>
      </c>
      <c r="H798" t="s">
        <v>94</v>
      </c>
      <c r="I798" t="s">
        <v>177</v>
      </c>
      <c r="J798">
        <v>23</v>
      </c>
      <c r="K798">
        <v>16495.52</v>
      </c>
      <c r="L798">
        <v>379396.96</v>
      </c>
      <c r="M798">
        <v>0</v>
      </c>
      <c r="N798">
        <v>0</v>
      </c>
      <c r="O798">
        <v>379396.96</v>
      </c>
      <c r="P798" t="s">
        <v>73</v>
      </c>
      <c r="Q798" t="s">
        <v>32</v>
      </c>
    </row>
    <row r="799" spans="1:17" x14ac:dyDescent="0.25">
      <c r="A799" t="s">
        <v>916</v>
      </c>
      <c r="B799" s="1">
        <v>46003</v>
      </c>
      <c r="C799" t="s">
        <v>47</v>
      </c>
      <c r="D799" t="s">
        <v>48</v>
      </c>
      <c r="E799" t="s">
        <v>20</v>
      </c>
      <c r="F799" t="s">
        <v>62</v>
      </c>
      <c r="G799" t="s">
        <v>81</v>
      </c>
      <c r="H799" t="s">
        <v>23</v>
      </c>
      <c r="I799" t="s">
        <v>24</v>
      </c>
      <c r="J799">
        <v>6</v>
      </c>
      <c r="K799">
        <v>28766.2</v>
      </c>
      <c r="L799">
        <v>172597.2</v>
      </c>
      <c r="M799">
        <v>31477.33</v>
      </c>
      <c r="N799">
        <v>0</v>
      </c>
      <c r="O799">
        <v>141119.87</v>
      </c>
      <c r="P799" t="s">
        <v>25</v>
      </c>
      <c r="Q799" t="s">
        <v>26</v>
      </c>
    </row>
    <row r="800" spans="1:17" x14ac:dyDescent="0.25">
      <c r="A800" t="s">
        <v>917</v>
      </c>
      <c r="B800" s="1">
        <v>46011</v>
      </c>
      <c r="C800" t="s">
        <v>18</v>
      </c>
      <c r="D800" t="s">
        <v>75</v>
      </c>
      <c r="E800" t="s">
        <v>49</v>
      </c>
      <c r="F800" t="s">
        <v>42</v>
      </c>
      <c r="G800" t="s">
        <v>56</v>
      </c>
      <c r="H800" t="s">
        <v>94</v>
      </c>
      <c r="I800" t="s">
        <v>193</v>
      </c>
      <c r="J800">
        <v>33</v>
      </c>
      <c r="K800">
        <v>19894.97</v>
      </c>
      <c r="L800">
        <v>656534.01</v>
      </c>
      <c r="M800">
        <v>25160.62</v>
      </c>
      <c r="N800">
        <v>170570.67</v>
      </c>
      <c r="O800">
        <v>460802.72</v>
      </c>
      <c r="P800" t="s">
        <v>25</v>
      </c>
      <c r="Q800" t="s">
        <v>26</v>
      </c>
    </row>
    <row r="801" spans="1:17" x14ac:dyDescent="0.25">
      <c r="A801" t="s">
        <v>918</v>
      </c>
      <c r="B801" s="1">
        <v>46012</v>
      </c>
      <c r="C801" t="s">
        <v>18</v>
      </c>
      <c r="D801" t="s">
        <v>34</v>
      </c>
      <c r="E801" t="s">
        <v>20</v>
      </c>
      <c r="F801" t="s">
        <v>112</v>
      </c>
      <c r="G801" t="s">
        <v>98</v>
      </c>
      <c r="H801" t="s">
        <v>57</v>
      </c>
      <c r="I801" t="s">
        <v>72</v>
      </c>
      <c r="J801">
        <v>6</v>
      </c>
      <c r="K801">
        <v>2733.77</v>
      </c>
      <c r="L801">
        <v>16402.62</v>
      </c>
      <c r="M801">
        <v>1610.02</v>
      </c>
      <c r="N801">
        <v>0</v>
      </c>
      <c r="O801">
        <v>14792.6</v>
      </c>
      <c r="P801" t="s">
        <v>31</v>
      </c>
      <c r="Q801" t="s">
        <v>32</v>
      </c>
    </row>
    <row r="802" spans="1:17" x14ac:dyDescent="0.25">
      <c r="A802" t="s">
        <v>919</v>
      </c>
      <c r="B802" s="1">
        <v>46040</v>
      </c>
      <c r="C802" t="s">
        <v>79</v>
      </c>
      <c r="D802" t="s">
        <v>101</v>
      </c>
      <c r="E802" t="s">
        <v>49</v>
      </c>
      <c r="F802" t="s">
        <v>112</v>
      </c>
      <c r="G802" t="s">
        <v>56</v>
      </c>
      <c r="H802" t="s">
        <v>23</v>
      </c>
      <c r="I802" t="s">
        <v>99</v>
      </c>
      <c r="J802">
        <v>2</v>
      </c>
      <c r="K802">
        <v>30412.59</v>
      </c>
      <c r="L802">
        <v>60825.18</v>
      </c>
      <c r="M802">
        <v>6007.9</v>
      </c>
      <c r="N802">
        <v>0</v>
      </c>
      <c r="O802">
        <v>54817.279999999999</v>
      </c>
      <c r="P802" t="s">
        <v>31</v>
      </c>
      <c r="Q802" t="s">
        <v>32</v>
      </c>
    </row>
    <row r="803" spans="1:17" x14ac:dyDescent="0.25">
      <c r="A803" t="s">
        <v>920</v>
      </c>
      <c r="B803" s="1">
        <v>45955</v>
      </c>
      <c r="C803" t="s">
        <v>47</v>
      </c>
      <c r="D803" t="s">
        <v>88</v>
      </c>
      <c r="E803" t="s">
        <v>20</v>
      </c>
      <c r="F803" t="s">
        <v>112</v>
      </c>
      <c r="G803" t="s">
        <v>102</v>
      </c>
      <c r="H803" t="s">
        <v>57</v>
      </c>
      <c r="I803" t="s">
        <v>118</v>
      </c>
      <c r="J803">
        <v>4</v>
      </c>
      <c r="K803">
        <v>3670.56</v>
      </c>
      <c r="L803">
        <v>14682.24</v>
      </c>
      <c r="M803">
        <v>2267.4499999999998</v>
      </c>
      <c r="N803">
        <v>0</v>
      </c>
      <c r="O803">
        <v>12414.79</v>
      </c>
      <c r="P803" t="s">
        <v>73</v>
      </c>
      <c r="Q803" t="s">
        <v>26</v>
      </c>
    </row>
    <row r="804" spans="1:17" x14ac:dyDescent="0.25">
      <c r="A804" t="s">
        <v>921</v>
      </c>
      <c r="B804" s="1">
        <v>45981</v>
      </c>
      <c r="C804" t="s">
        <v>79</v>
      </c>
      <c r="D804" t="s">
        <v>80</v>
      </c>
      <c r="E804" t="s">
        <v>41</v>
      </c>
      <c r="F804" t="s">
        <v>71</v>
      </c>
      <c r="G804" t="s">
        <v>43</v>
      </c>
      <c r="H804" t="s">
        <v>57</v>
      </c>
      <c r="I804" t="s">
        <v>118</v>
      </c>
      <c r="J804">
        <v>20</v>
      </c>
      <c r="K804">
        <v>28488.36</v>
      </c>
      <c r="L804">
        <v>569767.19999999995</v>
      </c>
      <c r="M804">
        <v>0</v>
      </c>
      <c r="N804">
        <v>0</v>
      </c>
      <c r="O804">
        <v>569767.19999999995</v>
      </c>
      <c r="P804" t="s">
        <v>25</v>
      </c>
      <c r="Q804" t="s">
        <v>26</v>
      </c>
    </row>
    <row r="805" spans="1:17" x14ac:dyDescent="0.25">
      <c r="A805" t="s">
        <v>922</v>
      </c>
      <c r="B805" s="1">
        <v>46019</v>
      </c>
      <c r="C805" t="s">
        <v>79</v>
      </c>
      <c r="D805" t="s">
        <v>91</v>
      </c>
      <c r="E805" t="s">
        <v>35</v>
      </c>
      <c r="F805" t="s">
        <v>84</v>
      </c>
      <c r="G805" t="s">
        <v>37</v>
      </c>
      <c r="H805" t="s">
        <v>23</v>
      </c>
      <c r="I805" t="s">
        <v>110</v>
      </c>
      <c r="J805">
        <v>43</v>
      </c>
      <c r="K805">
        <v>40203.550000000003</v>
      </c>
      <c r="L805">
        <v>1728752.65</v>
      </c>
      <c r="M805">
        <v>32404.31</v>
      </c>
      <c r="N805">
        <v>0</v>
      </c>
      <c r="O805">
        <v>1696348.34</v>
      </c>
      <c r="P805" t="s">
        <v>73</v>
      </c>
      <c r="Q805" t="s">
        <v>26</v>
      </c>
    </row>
    <row r="806" spans="1:17" x14ac:dyDescent="0.25">
      <c r="A806" t="s">
        <v>923</v>
      </c>
      <c r="B806" s="1">
        <v>45995</v>
      </c>
      <c r="C806" t="s">
        <v>60</v>
      </c>
      <c r="D806" t="s">
        <v>65</v>
      </c>
      <c r="E806" t="s">
        <v>20</v>
      </c>
      <c r="F806" t="s">
        <v>36</v>
      </c>
      <c r="G806" t="s">
        <v>98</v>
      </c>
      <c r="H806" t="s">
        <v>44</v>
      </c>
      <c r="I806" t="s">
        <v>124</v>
      </c>
      <c r="J806">
        <v>49</v>
      </c>
      <c r="K806">
        <v>35101.74</v>
      </c>
      <c r="L806">
        <v>1719985.26</v>
      </c>
      <c r="M806">
        <v>0</v>
      </c>
      <c r="N806">
        <v>333361.73</v>
      </c>
      <c r="O806">
        <v>1386623.53</v>
      </c>
      <c r="P806" t="s">
        <v>31</v>
      </c>
      <c r="Q806" t="s">
        <v>32</v>
      </c>
    </row>
    <row r="807" spans="1:17" x14ac:dyDescent="0.25">
      <c r="A807" t="s">
        <v>924</v>
      </c>
      <c r="B807" s="1">
        <v>46041</v>
      </c>
      <c r="C807" t="s">
        <v>54</v>
      </c>
      <c r="D807" t="s">
        <v>97</v>
      </c>
      <c r="E807" t="s">
        <v>20</v>
      </c>
      <c r="F807" t="s">
        <v>36</v>
      </c>
      <c r="G807" t="s">
        <v>63</v>
      </c>
      <c r="H807" t="s">
        <v>94</v>
      </c>
      <c r="I807" t="s">
        <v>95</v>
      </c>
      <c r="J807">
        <v>47</v>
      </c>
      <c r="K807">
        <v>9905.02</v>
      </c>
      <c r="L807">
        <v>465535.94</v>
      </c>
      <c r="M807">
        <v>0</v>
      </c>
      <c r="N807">
        <v>0</v>
      </c>
      <c r="O807">
        <v>465535.94</v>
      </c>
      <c r="P807" t="s">
        <v>73</v>
      </c>
      <c r="Q807" t="s">
        <v>26</v>
      </c>
    </row>
    <row r="808" spans="1:17" x14ac:dyDescent="0.25">
      <c r="A808" t="s">
        <v>925</v>
      </c>
      <c r="B808" s="1">
        <v>46031</v>
      </c>
      <c r="C808" t="s">
        <v>54</v>
      </c>
      <c r="D808" t="s">
        <v>97</v>
      </c>
      <c r="E808" t="s">
        <v>41</v>
      </c>
      <c r="F808" t="s">
        <v>137</v>
      </c>
      <c r="G808" t="s">
        <v>140</v>
      </c>
      <c r="H808" t="s">
        <v>94</v>
      </c>
      <c r="I808" t="s">
        <v>177</v>
      </c>
      <c r="J808">
        <v>5</v>
      </c>
      <c r="K808">
        <v>41317.25</v>
      </c>
      <c r="L808">
        <v>206586.25</v>
      </c>
      <c r="M808">
        <v>32328.51</v>
      </c>
      <c r="N808">
        <v>0</v>
      </c>
      <c r="O808">
        <v>174257.74</v>
      </c>
      <c r="P808" t="s">
        <v>25</v>
      </c>
      <c r="Q808" t="s">
        <v>26</v>
      </c>
    </row>
    <row r="809" spans="1:17" x14ac:dyDescent="0.25">
      <c r="A809" t="s">
        <v>926</v>
      </c>
      <c r="B809" s="1">
        <v>46006</v>
      </c>
      <c r="C809" t="s">
        <v>60</v>
      </c>
      <c r="D809" t="s">
        <v>65</v>
      </c>
      <c r="E809" t="s">
        <v>35</v>
      </c>
      <c r="F809" t="s">
        <v>36</v>
      </c>
      <c r="G809" t="s">
        <v>81</v>
      </c>
      <c r="H809" t="s">
        <v>57</v>
      </c>
      <c r="I809" t="s">
        <v>148</v>
      </c>
      <c r="J809">
        <v>15</v>
      </c>
      <c r="K809">
        <v>5238.68</v>
      </c>
      <c r="L809">
        <v>78580.2</v>
      </c>
      <c r="M809">
        <v>0</v>
      </c>
      <c r="N809">
        <v>0</v>
      </c>
      <c r="O809">
        <v>78580.2</v>
      </c>
      <c r="P809" t="s">
        <v>31</v>
      </c>
      <c r="Q809" t="s">
        <v>32</v>
      </c>
    </row>
    <row r="810" spans="1:17" x14ac:dyDescent="0.25">
      <c r="A810" t="s">
        <v>927</v>
      </c>
      <c r="B810" s="1">
        <v>46022</v>
      </c>
      <c r="C810" t="s">
        <v>54</v>
      </c>
      <c r="D810" t="s">
        <v>70</v>
      </c>
      <c r="E810" t="s">
        <v>35</v>
      </c>
      <c r="F810" t="s">
        <v>50</v>
      </c>
      <c r="G810" t="s">
        <v>140</v>
      </c>
      <c r="H810" t="s">
        <v>44</v>
      </c>
      <c r="I810" t="s">
        <v>124</v>
      </c>
      <c r="J810">
        <v>21</v>
      </c>
      <c r="K810">
        <v>8807.07</v>
      </c>
      <c r="L810">
        <v>184948.47</v>
      </c>
      <c r="M810">
        <v>2462.09</v>
      </c>
      <c r="N810">
        <v>0</v>
      </c>
      <c r="O810">
        <v>182486.38</v>
      </c>
      <c r="P810" t="s">
        <v>31</v>
      </c>
      <c r="Q810" t="s">
        <v>32</v>
      </c>
    </row>
    <row r="811" spans="1:17" x14ac:dyDescent="0.25">
      <c r="A811" t="s">
        <v>928</v>
      </c>
      <c r="B811" s="1">
        <v>46003</v>
      </c>
      <c r="C811" t="s">
        <v>18</v>
      </c>
      <c r="D811" t="s">
        <v>28</v>
      </c>
      <c r="E811" t="s">
        <v>49</v>
      </c>
      <c r="F811" t="s">
        <v>42</v>
      </c>
      <c r="G811" t="s">
        <v>43</v>
      </c>
      <c r="H811" t="s">
        <v>67</v>
      </c>
      <c r="I811" t="s">
        <v>154</v>
      </c>
      <c r="J811">
        <v>23</v>
      </c>
      <c r="K811">
        <v>45242.13</v>
      </c>
      <c r="L811">
        <v>1040568.99</v>
      </c>
      <c r="M811">
        <v>0</v>
      </c>
      <c r="N811">
        <v>0</v>
      </c>
      <c r="O811">
        <v>1040568.99</v>
      </c>
      <c r="P811" t="s">
        <v>25</v>
      </c>
      <c r="Q811" t="s">
        <v>26</v>
      </c>
    </row>
    <row r="812" spans="1:17" x14ac:dyDescent="0.25">
      <c r="A812" t="s">
        <v>929</v>
      </c>
      <c r="B812" s="1">
        <v>45974</v>
      </c>
      <c r="C812" t="s">
        <v>18</v>
      </c>
      <c r="D812" t="s">
        <v>34</v>
      </c>
      <c r="E812" t="s">
        <v>49</v>
      </c>
      <c r="F812" t="s">
        <v>112</v>
      </c>
      <c r="G812" t="s">
        <v>43</v>
      </c>
      <c r="H812" t="s">
        <v>44</v>
      </c>
      <c r="I812" t="s">
        <v>45</v>
      </c>
      <c r="J812">
        <v>41</v>
      </c>
      <c r="K812">
        <v>12134.4</v>
      </c>
      <c r="L812">
        <v>497510.40000000002</v>
      </c>
      <c r="M812">
        <v>0</v>
      </c>
      <c r="N812">
        <v>0</v>
      </c>
      <c r="O812">
        <v>497510.40000000002</v>
      </c>
      <c r="P812" t="s">
        <v>31</v>
      </c>
      <c r="Q812" t="s">
        <v>32</v>
      </c>
    </row>
    <row r="813" spans="1:17" x14ac:dyDescent="0.25">
      <c r="A813" t="s">
        <v>930</v>
      </c>
      <c r="B813" s="1">
        <v>46027</v>
      </c>
      <c r="C813" t="s">
        <v>47</v>
      </c>
      <c r="D813" t="s">
        <v>127</v>
      </c>
      <c r="E813" t="s">
        <v>49</v>
      </c>
      <c r="F813" t="s">
        <v>62</v>
      </c>
      <c r="G813" t="s">
        <v>66</v>
      </c>
      <c r="H813" t="s">
        <v>38</v>
      </c>
      <c r="I813" t="s">
        <v>175</v>
      </c>
      <c r="J813">
        <v>17</v>
      </c>
      <c r="K813">
        <v>41173.599999999999</v>
      </c>
      <c r="L813">
        <v>699951.2</v>
      </c>
      <c r="M813">
        <v>129714.47</v>
      </c>
      <c r="N813">
        <v>0</v>
      </c>
      <c r="O813">
        <v>570236.73</v>
      </c>
      <c r="P813" t="s">
        <v>73</v>
      </c>
      <c r="Q813" t="s">
        <v>32</v>
      </c>
    </row>
    <row r="814" spans="1:17" x14ac:dyDescent="0.25">
      <c r="A814" t="s">
        <v>931</v>
      </c>
      <c r="B814" s="1">
        <v>46044</v>
      </c>
      <c r="C814" t="s">
        <v>79</v>
      </c>
      <c r="D814" t="s">
        <v>91</v>
      </c>
      <c r="E814" t="s">
        <v>20</v>
      </c>
      <c r="F814" t="s">
        <v>50</v>
      </c>
      <c r="G814" t="s">
        <v>85</v>
      </c>
      <c r="H814" t="s">
        <v>57</v>
      </c>
      <c r="I814" t="s">
        <v>118</v>
      </c>
      <c r="J814">
        <v>47</v>
      </c>
      <c r="K814">
        <v>17499.919999999998</v>
      </c>
      <c r="L814">
        <v>822496.24</v>
      </c>
      <c r="M814">
        <v>107091.71</v>
      </c>
      <c r="N814">
        <v>0</v>
      </c>
      <c r="O814">
        <v>715404.53</v>
      </c>
      <c r="P814" t="s">
        <v>31</v>
      </c>
      <c r="Q814" t="s">
        <v>32</v>
      </c>
    </row>
    <row r="815" spans="1:17" x14ac:dyDescent="0.25">
      <c r="A815" t="s">
        <v>932</v>
      </c>
      <c r="B815" s="1">
        <v>45988</v>
      </c>
      <c r="C815" t="s">
        <v>60</v>
      </c>
      <c r="D815" t="s">
        <v>61</v>
      </c>
      <c r="E815" t="s">
        <v>41</v>
      </c>
      <c r="F815" t="s">
        <v>42</v>
      </c>
      <c r="G815" t="s">
        <v>56</v>
      </c>
      <c r="H815" t="s">
        <v>44</v>
      </c>
      <c r="I815" t="s">
        <v>152</v>
      </c>
      <c r="J815">
        <v>9</v>
      </c>
      <c r="K815">
        <v>35474.14</v>
      </c>
      <c r="L815">
        <v>319267.26</v>
      </c>
      <c r="M815">
        <v>0</v>
      </c>
      <c r="N815">
        <v>81514.16</v>
      </c>
      <c r="O815">
        <v>237753.1</v>
      </c>
      <c r="P815" t="s">
        <v>31</v>
      </c>
      <c r="Q815" t="s">
        <v>32</v>
      </c>
    </row>
    <row r="816" spans="1:17" x14ac:dyDescent="0.25">
      <c r="A816" t="s">
        <v>933</v>
      </c>
      <c r="B816" s="1">
        <v>46014</v>
      </c>
      <c r="C816" t="s">
        <v>54</v>
      </c>
      <c r="D816" t="s">
        <v>97</v>
      </c>
      <c r="E816" t="s">
        <v>35</v>
      </c>
      <c r="F816" t="s">
        <v>112</v>
      </c>
      <c r="G816" t="s">
        <v>66</v>
      </c>
      <c r="H816" t="s">
        <v>67</v>
      </c>
      <c r="I816" t="s">
        <v>103</v>
      </c>
      <c r="J816">
        <v>15</v>
      </c>
      <c r="K816">
        <v>7095.81</v>
      </c>
      <c r="L816">
        <v>106437.15</v>
      </c>
      <c r="M816">
        <v>0</v>
      </c>
      <c r="N816">
        <v>0</v>
      </c>
      <c r="O816">
        <v>106437.15</v>
      </c>
      <c r="P816" t="s">
        <v>32</v>
      </c>
      <c r="Q816" t="s">
        <v>32</v>
      </c>
    </row>
    <row r="817" spans="1:17" x14ac:dyDescent="0.25">
      <c r="A817" t="s">
        <v>934</v>
      </c>
      <c r="B817" s="1">
        <v>45970</v>
      </c>
      <c r="C817" t="s">
        <v>47</v>
      </c>
      <c r="D817" t="s">
        <v>114</v>
      </c>
      <c r="E817" t="s">
        <v>41</v>
      </c>
      <c r="F817" t="s">
        <v>137</v>
      </c>
      <c r="G817" t="s">
        <v>140</v>
      </c>
      <c r="H817" t="s">
        <v>44</v>
      </c>
      <c r="I817" t="s">
        <v>152</v>
      </c>
      <c r="J817">
        <v>30</v>
      </c>
      <c r="K817">
        <v>26382.22</v>
      </c>
      <c r="L817">
        <v>791466.6</v>
      </c>
      <c r="M817">
        <v>0</v>
      </c>
      <c r="N817">
        <v>108073.73</v>
      </c>
      <c r="O817">
        <v>683392.87</v>
      </c>
      <c r="P817" t="s">
        <v>32</v>
      </c>
      <c r="Q817" t="s">
        <v>32</v>
      </c>
    </row>
    <row r="818" spans="1:17" x14ac:dyDescent="0.25">
      <c r="A818" t="s">
        <v>935</v>
      </c>
      <c r="B818" s="1">
        <v>45974</v>
      </c>
      <c r="C818" t="s">
        <v>47</v>
      </c>
      <c r="D818" t="s">
        <v>114</v>
      </c>
      <c r="E818" t="s">
        <v>20</v>
      </c>
      <c r="F818" t="s">
        <v>112</v>
      </c>
      <c r="G818" t="s">
        <v>29</v>
      </c>
      <c r="H818" t="s">
        <v>44</v>
      </c>
      <c r="I818" t="s">
        <v>135</v>
      </c>
      <c r="J818">
        <v>9</v>
      </c>
      <c r="K818">
        <v>39968.14</v>
      </c>
      <c r="L818">
        <v>359713.26</v>
      </c>
      <c r="M818">
        <v>0</v>
      </c>
      <c r="N818">
        <v>87172.01</v>
      </c>
      <c r="O818">
        <v>272541.25</v>
      </c>
      <c r="P818" t="s">
        <v>32</v>
      </c>
      <c r="Q818" t="s">
        <v>32</v>
      </c>
    </row>
    <row r="819" spans="1:17" x14ac:dyDescent="0.25">
      <c r="A819" t="s">
        <v>936</v>
      </c>
      <c r="B819" s="1">
        <v>46025</v>
      </c>
      <c r="C819" t="s">
        <v>79</v>
      </c>
      <c r="D819" t="s">
        <v>101</v>
      </c>
      <c r="E819" t="s">
        <v>20</v>
      </c>
      <c r="F819" t="s">
        <v>112</v>
      </c>
      <c r="G819" t="s">
        <v>66</v>
      </c>
      <c r="H819" t="s">
        <v>94</v>
      </c>
      <c r="I819" t="s">
        <v>177</v>
      </c>
      <c r="J819">
        <v>35</v>
      </c>
      <c r="K819">
        <v>11303.97</v>
      </c>
      <c r="L819">
        <v>395638.95</v>
      </c>
      <c r="M819">
        <v>0</v>
      </c>
      <c r="N819">
        <v>0</v>
      </c>
      <c r="O819">
        <v>395638.95</v>
      </c>
      <c r="P819" t="s">
        <v>32</v>
      </c>
      <c r="Q819" t="s">
        <v>26</v>
      </c>
    </row>
    <row r="820" spans="1:17" x14ac:dyDescent="0.25">
      <c r="A820" t="s">
        <v>937</v>
      </c>
      <c r="B820" s="1">
        <v>45989</v>
      </c>
      <c r="C820" t="s">
        <v>79</v>
      </c>
      <c r="D820" t="s">
        <v>91</v>
      </c>
      <c r="E820" t="s">
        <v>35</v>
      </c>
      <c r="F820" t="s">
        <v>137</v>
      </c>
      <c r="G820" t="s">
        <v>66</v>
      </c>
      <c r="H820" t="s">
        <v>57</v>
      </c>
      <c r="I820" t="s">
        <v>118</v>
      </c>
      <c r="J820">
        <v>45</v>
      </c>
      <c r="K820">
        <v>44486.12</v>
      </c>
      <c r="L820">
        <v>2001875.4</v>
      </c>
      <c r="M820">
        <v>231209.7</v>
      </c>
      <c r="N820">
        <v>0</v>
      </c>
      <c r="O820">
        <v>1770665.7</v>
      </c>
      <c r="P820" t="s">
        <v>25</v>
      </c>
      <c r="Q820" t="s">
        <v>128</v>
      </c>
    </row>
    <row r="821" spans="1:17" x14ac:dyDescent="0.25">
      <c r="A821" t="s">
        <v>938</v>
      </c>
      <c r="B821" s="1">
        <v>45975</v>
      </c>
      <c r="C821" t="s">
        <v>79</v>
      </c>
      <c r="D821" t="s">
        <v>107</v>
      </c>
      <c r="E821" t="s">
        <v>20</v>
      </c>
      <c r="F821" t="s">
        <v>112</v>
      </c>
      <c r="G821" t="s">
        <v>51</v>
      </c>
      <c r="H821" t="s">
        <v>38</v>
      </c>
      <c r="I821" t="s">
        <v>39</v>
      </c>
      <c r="J821">
        <v>21</v>
      </c>
      <c r="K821">
        <v>25952.95</v>
      </c>
      <c r="L821">
        <v>545011.94999999995</v>
      </c>
      <c r="M821">
        <v>78062.070000000007</v>
      </c>
      <c r="N821">
        <v>0</v>
      </c>
      <c r="O821">
        <v>466949.88</v>
      </c>
      <c r="P821" t="s">
        <v>31</v>
      </c>
      <c r="Q821" t="s">
        <v>32</v>
      </c>
    </row>
    <row r="822" spans="1:17" x14ac:dyDescent="0.25">
      <c r="A822" t="s">
        <v>939</v>
      </c>
      <c r="B822" s="1">
        <v>46002</v>
      </c>
      <c r="C822" t="s">
        <v>60</v>
      </c>
      <c r="D822" t="s">
        <v>61</v>
      </c>
      <c r="E822" t="s">
        <v>35</v>
      </c>
      <c r="F822" t="s">
        <v>42</v>
      </c>
      <c r="G822" t="s">
        <v>37</v>
      </c>
      <c r="H822" t="s">
        <v>38</v>
      </c>
      <c r="I822" t="s">
        <v>175</v>
      </c>
      <c r="J822">
        <v>22</v>
      </c>
      <c r="K822">
        <v>32490.71</v>
      </c>
      <c r="L822">
        <v>714795.62</v>
      </c>
      <c r="M822">
        <v>0</v>
      </c>
      <c r="N822">
        <v>0</v>
      </c>
      <c r="O822">
        <v>714795.62</v>
      </c>
      <c r="P822" t="s">
        <v>25</v>
      </c>
      <c r="Q822" t="s">
        <v>26</v>
      </c>
    </row>
    <row r="823" spans="1:17" x14ac:dyDescent="0.25">
      <c r="A823" t="s">
        <v>940</v>
      </c>
      <c r="B823" s="1">
        <v>46002</v>
      </c>
      <c r="C823" t="s">
        <v>79</v>
      </c>
      <c r="D823" t="s">
        <v>101</v>
      </c>
      <c r="E823" t="s">
        <v>49</v>
      </c>
      <c r="F823" t="s">
        <v>50</v>
      </c>
      <c r="G823" t="s">
        <v>81</v>
      </c>
      <c r="H823" t="s">
        <v>67</v>
      </c>
      <c r="I823" t="s">
        <v>201</v>
      </c>
      <c r="J823">
        <v>13</v>
      </c>
      <c r="K823">
        <v>7832.62</v>
      </c>
      <c r="L823">
        <v>101824.06</v>
      </c>
      <c r="M823">
        <v>0</v>
      </c>
      <c r="N823">
        <v>0</v>
      </c>
      <c r="O823">
        <v>101824.06</v>
      </c>
      <c r="P823" t="s">
        <v>32</v>
      </c>
      <c r="Q823" t="s">
        <v>26</v>
      </c>
    </row>
    <row r="824" spans="1:17" x14ac:dyDescent="0.25">
      <c r="A824" t="s">
        <v>941</v>
      </c>
      <c r="B824" s="1">
        <v>45967</v>
      </c>
      <c r="C824" t="s">
        <v>18</v>
      </c>
      <c r="D824" t="s">
        <v>75</v>
      </c>
      <c r="E824" t="s">
        <v>49</v>
      </c>
      <c r="F824" t="s">
        <v>84</v>
      </c>
      <c r="G824" t="s">
        <v>63</v>
      </c>
      <c r="H824" t="s">
        <v>67</v>
      </c>
      <c r="I824" t="s">
        <v>201</v>
      </c>
      <c r="J824">
        <v>17</v>
      </c>
      <c r="K824">
        <v>10561.7</v>
      </c>
      <c r="L824">
        <v>179548.9</v>
      </c>
      <c r="M824">
        <v>6519.8</v>
      </c>
      <c r="N824">
        <v>0</v>
      </c>
      <c r="O824">
        <v>173029.1</v>
      </c>
      <c r="P824" t="s">
        <v>31</v>
      </c>
      <c r="Q824" t="s">
        <v>32</v>
      </c>
    </row>
    <row r="825" spans="1:17" x14ac:dyDescent="0.25">
      <c r="A825" t="s">
        <v>942</v>
      </c>
      <c r="B825" s="1">
        <v>46020</v>
      </c>
      <c r="C825" t="s">
        <v>18</v>
      </c>
      <c r="D825" t="s">
        <v>34</v>
      </c>
      <c r="E825" t="s">
        <v>41</v>
      </c>
      <c r="F825" t="s">
        <v>112</v>
      </c>
      <c r="G825" t="s">
        <v>43</v>
      </c>
      <c r="H825" t="s">
        <v>38</v>
      </c>
      <c r="I825" t="s">
        <v>108</v>
      </c>
      <c r="J825">
        <v>5</v>
      </c>
      <c r="K825">
        <v>23497.96</v>
      </c>
      <c r="L825">
        <v>117489.8</v>
      </c>
      <c r="M825">
        <v>18595.84</v>
      </c>
      <c r="N825">
        <v>0</v>
      </c>
      <c r="O825">
        <v>98893.96</v>
      </c>
      <c r="P825" t="s">
        <v>73</v>
      </c>
      <c r="Q825" t="s">
        <v>32</v>
      </c>
    </row>
    <row r="826" spans="1:17" x14ac:dyDescent="0.25">
      <c r="A826" t="s">
        <v>943</v>
      </c>
      <c r="B826" s="1">
        <v>46038</v>
      </c>
      <c r="C826" t="s">
        <v>79</v>
      </c>
      <c r="D826" t="s">
        <v>101</v>
      </c>
      <c r="E826" t="s">
        <v>41</v>
      </c>
      <c r="F826" t="s">
        <v>42</v>
      </c>
      <c r="G826" t="s">
        <v>51</v>
      </c>
      <c r="H826" t="s">
        <v>67</v>
      </c>
      <c r="I826" t="s">
        <v>201</v>
      </c>
      <c r="J826">
        <v>16</v>
      </c>
      <c r="K826">
        <v>13670.89</v>
      </c>
      <c r="L826">
        <v>218734.24</v>
      </c>
      <c r="M826">
        <v>0</v>
      </c>
      <c r="N826">
        <v>0</v>
      </c>
      <c r="O826">
        <v>218734.24</v>
      </c>
      <c r="P826" t="s">
        <v>31</v>
      </c>
      <c r="Q826" t="s">
        <v>32</v>
      </c>
    </row>
    <row r="827" spans="1:17" x14ac:dyDescent="0.25">
      <c r="A827" t="s">
        <v>944</v>
      </c>
      <c r="B827" s="1">
        <v>46044</v>
      </c>
      <c r="C827" t="s">
        <v>47</v>
      </c>
      <c r="D827" t="s">
        <v>114</v>
      </c>
      <c r="E827" t="s">
        <v>41</v>
      </c>
      <c r="F827" t="s">
        <v>50</v>
      </c>
      <c r="G827" t="s">
        <v>43</v>
      </c>
      <c r="H827" t="s">
        <v>38</v>
      </c>
      <c r="I827" t="s">
        <v>108</v>
      </c>
      <c r="J827">
        <v>24</v>
      </c>
      <c r="K827">
        <v>8930.17</v>
      </c>
      <c r="L827">
        <v>214324.08</v>
      </c>
      <c r="M827">
        <v>0</v>
      </c>
      <c r="N827">
        <v>52399.4</v>
      </c>
      <c r="O827">
        <v>161924.68</v>
      </c>
      <c r="P827" t="s">
        <v>32</v>
      </c>
      <c r="Q827" t="s">
        <v>32</v>
      </c>
    </row>
    <row r="828" spans="1:17" x14ac:dyDescent="0.25">
      <c r="A828" t="s">
        <v>945</v>
      </c>
      <c r="B828" s="1">
        <v>45979</v>
      </c>
      <c r="C828" t="s">
        <v>60</v>
      </c>
      <c r="D828" t="s">
        <v>65</v>
      </c>
      <c r="E828" t="s">
        <v>35</v>
      </c>
      <c r="F828" t="s">
        <v>62</v>
      </c>
      <c r="G828" t="s">
        <v>29</v>
      </c>
      <c r="H828" t="s">
        <v>57</v>
      </c>
      <c r="I828" t="s">
        <v>58</v>
      </c>
      <c r="J828">
        <v>13</v>
      </c>
      <c r="K828">
        <v>15510.7</v>
      </c>
      <c r="L828">
        <v>201639.1</v>
      </c>
      <c r="M828">
        <v>0</v>
      </c>
      <c r="N828">
        <v>0</v>
      </c>
      <c r="O828">
        <v>201639.1</v>
      </c>
      <c r="P828" t="s">
        <v>73</v>
      </c>
      <c r="Q828" t="s">
        <v>32</v>
      </c>
    </row>
    <row r="829" spans="1:17" x14ac:dyDescent="0.25">
      <c r="A829" t="s">
        <v>946</v>
      </c>
      <c r="B829" s="1">
        <v>46005</v>
      </c>
      <c r="C829" t="s">
        <v>54</v>
      </c>
      <c r="D829" t="s">
        <v>133</v>
      </c>
      <c r="E829" t="s">
        <v>35</v>
      </c>
      <c r="F829" t="s">
        <v>50</v>
      </c>
      <c r="G829" t="s">
        <v>138</v>
      </c>
      <c r="H829" t="s">
        <v>44</v>
      </c>
      <c r="I829" t="s">
        <v>281</v>
      </c>
      <c r="J829">
        <v>46</v>
      </c>
      <c r="K829">
        <v>3293.92</v>
      </c>
      <c r="L829">
        <v>151520.32000000001</v>
      </c>
      <c r="M829">
        <v>10682.89</v>
      </c>
      <c r="N829">
        <v>0</v>
      </c>
      <c r="O829">
        <v>140837.43</v>
      </c>
      <c r="P829" t="s">
        <v>25</v>
      </c>
      <c r="Q829" t="s">
        <v>26</v>
      </c>
    </row>
    <row r="830" spans="1:17" x14ac:dyDescent="0.25">
      <c r="A830" t="s">
        <v>947</v>
      </c>
      <c r="B830" s="1">
        <v>45957</v>
      </c>
      <c r="C830" t="s">
        <v>54</v>
      </c>
      <c r="D830" t="s">
        <v>55</v>
      </c>
      <c r="E830" t="s">
        <v>41</v>
      </c>
      <c r="F830" t="s">
        <v>105</v>
      </c>
      <c r="G830" t="s">
        <v>85</v>
      </c>
      <c r="H830" t="s">
        <v>44</v>
      </c>
      <c r="I830" t="s">
        <v>124</v>
      </c>
      <c r="J830">
        <v>47</v>
      </c>
      <c r="K830">
        <v>34939.57</v>
      </c>
      <c r="L830">
        <v>1642159.79</v>
      </c>
      <c r="M830">
        <v>317915.67</v>
      </c>
      <c r="N830">
        <v>0</v>
      </c>
      <c r="O830">
        <v>1324244.1200000001</v>
      </c>
      <c r="P830" t="s">
        <v>32</v>
      </c>
      <c r="Q830" t="s">
        <v>26</v>
      </c>
    </row>
    <row r="831" spans="1:17" x14ac:dyDescent="0.25">
      <c r="A831" t="s">
        <v>948</v>
      </c>
      <c r="B831" s="1">
        <v>46023</v>
      </c>
      <c r="C831" t="s">
        <v>47</v>
      </c>
      <c r="D831" t="s">
        <v>127</v>
      </c>
      <c r="E831" t="s">
        <v>41</v>
      </c>
      <c r="F831" t="s">
        <v>62</v>
      </c>
      <c r="G831" t="s">
        <v>102</v>
      </c>
      <c r="H831" t="s">
        <v>57</v>
      </c>
      <c r="I831" t="s">
        <v>92</v>
      </c>
      <c r="J831">
        <v>25</v>
      </c>
      <c r="K831">
        <v>4079.4</v>
      </c>
      <c r="L831">
        <v>101985</v>
      </c>
      <c r="M831">
        <v>1515.24</v>
      </c>
      <c r="N831">
        <v>7103.59</v>
      </c>
      <c r="O831">
        <v>93366.17</v>
      </c>
      <c r="P831" t="s">
        <v>32</v>
      </c>
      <c r="Q831" t="s">
        <v>32</v>
      </c>
    </row>
    <row r="832" spans="1:17" x14ac:dyDescent="0.25">
      <c r="A832" t="s">
        <v>949</v>
      </c>
      <c r="B832" s="1">
        <v>46012</v>
      </c>
      <c r="C832" t="s">
        <v>47</v>
      </c>
      <c r="D832" t="s">
        <v>114</v>
      </c>
      <c r="E832" t="s">
        <v>20</v>
      </c>
      <c r="F832" t="s">
        <v>21</v>
      </c>
      <c r="G832" t="s">
        <v>102</v>
      </c>
      <c r="H832" t="s">
        <v>23</v>
      </c>
      <c r="I832" t="s">
        <v>99</v>
      </c>
      <c r="J832">
        <v>19</v>
      </c>
      <c r="K832">
        <v>42635.78</v>
      </c>
      <c r="L832">
        <v>810079.82</v>
      </c>
      <c r="M832">
        <v>33195.49</v>
      </c>
      <c r="N832">
        <v>0</v>
      </c>
      <c r="O832">
        <v>776884.33</v>
      </c>
      <c r="P832" t="s">
        <v>73</v>
      </c>
      <c r="Q832" t="s">
        <v>26</v>
      </c>
    </row>
    <row r="833" spans="1:17" x14ac:dyDescent="0.25">
      <c r="A833" t="s">
        <v>950</v>
      </c>
      <c r="B833" s="1">
        <v>46030</v>
      </c>
      <c r="C833" t="s">
        <v>54</v>
      </c>
      <c r="D833" t="s">
        <v>55</v>
      </c>
      <c r="E833" t="s">
        <v>41</v>
      </c>
      <c r="F833" t="s">
        <v>42</v>
      </c>
      <c r="G833" t="s">
        <v>63</v>
      </c>
      <c r="H833" t="s">
        <v>44</v>
      </c>
      <c r="I833" t="s">
        <v>124</v>
      </c>
      <c r="J833">
        <v>41</v>
      </c>
      <c r="K833">
        <v>29996.63</v>
      </c>
      <c r="L833">
        <v>1229861.83</v>
      </c>
      <c r="M833">
        <v>227835.62</v>
      </c>
      <c r="N833">
        <v>104751.63</v>
      </c>
      <c r="O833">
        <v>897274.58</v>
      </c>
      <c r="P833" t="s">
        <v>73</v>
      </c>
      <c r="Q833" t="s">
        <v>32</v>
      </c>
    </row>
    <row r="834" spans="1:17" x14ac:dyDescent="0.25">
      <c r="A834" t="s">
        <v>951</v>
      </c>
      <c r="B834" s="1">
        <v>46013</v>
      </c>
      <c r="C834" t="s">
        <v>60</v>
      </c>
      <c r="D834" t="s">
        <v>123</v>
      </c>
      <c r="E834" t="s">
        <v>35</v>
      </c>
      <c r="F834" t="s">
        <v>62</v>
      </c>
      <c r="G834" t="s">
        <v>37</v>
      </c>
      <c r="H834" t="s">
        <v>94</v>
      </c>
      <c r="I834" t="s">
        <v>193</v>
      </c>
      <c r="J834">
        <v>50</v>
      </c>
      <c r="K834">
        <v>8348.25</v>
      </c>
      <c r="L834">
        <v>417412.5</v>
      </c>
      <c r="M834">
        <v>0</v>
      </c>
      <c r="N834">
        <v>0</v>
      </c>
      <c r="O834">
        <v>417412.5</v>
      </c>
      <c r="P834" t="s">
        <v>32</v>
      </c>
      <c r="Q834" t="s">
        <v>32</v>
      </c>
    </row>
    <row r="835" spans="1:17" x14ac:dyDescent="0.25">
      <c r="A835" t="s">
        <v>952</v>
      </c>
      <c r="B835" s="1">
        <v>46036</v>
      </c>
      <c r="C835" t="s">
        <v>79</v>
      </c>
      <c r="D835" t="s">
        <v>101</v>
      </c>
      <c r="E835" t="s">
        <v>20</v>
      </c>
      <c r="F835" t="s">
        <v>62</v>
      </c>
      <c r="G835" t="s">
        <v>89</v>
      </c>
      <c r="H835" t="s">
        <v>94</v>
      </c>
      <c r="I835" t="s">
        <v>115</v>
      </c>
      <c r="J835">
        <v>4</v>
      </c>
      <c r="K835">
        <v>4392.4799999999996</v>
      </c>
      <c r="L835">
        <v>17569.919999999998</v>
      </c>
      <c r="M835">
        <v>1641.43</v>
      </c>
      <c r="N835">
        <v>0</v>
      </c>
      <c r="O835">
        <v>15928.49</v>
      </c>
      <c r="P835" t="s">
        <v>73</v>
      </c>
      <c r="Q835" t="s">
        <v>32</v>
      </c>
    </row>
    <row r="836" spans="1:17" x14ac:dyDescent="0.25">
      <c r="A836" t="s">
        <v>953</v>
      </c>
      <c r="B836" s="1">
        <v>45957</v>
      </c>
      <c r="C836" t="s">
        <v>47</v>
      </c>
      <c r="D836" t="s">
        <v>88</v>
      </c>
      <c r="E836" t="s">
        <v>20</v>
      </c>
      <c r="F836" t="s">
        <v>62</v>
      </c>
      <c r="G836" t="s">
        <v>37</v>
      </c>
      <c r="H836" t="s">
        <v>67</v>
      </c>
      <c r="I836" t="s">
        <v>103</v>
      </c>
      <c r="J836">
        <v>4</v>
      </c>
      <c r="K836">
        <v>24714.09</v>
      </c>
      <c r="L836">
        <v>98856.36</v>
      </c>
      <c r="M836">
        <v>8990.2099999999991</v>
      </c>
      <c r="N836">
        <v>0</v>
      </c>
      <c r="O836">
        <v>89866.15</v>
      </c>
      <c r="P836" t="s">
        <v>25</v>
      </c>
      <c r="Q836" t="s">
        <v>32</v>
      </c>
    </row>
    <row r="837" spans="1:17" x14ac:dyDescent="0.25">
      <c r="A837" t="s">
        <v>954</v>
      </c>
      <c r="B837" s="1">
        <v>46016</v>
      </c>
      <c r="C837" t="s">
        <v>79</v>
      </c>
      <c r="D837" t="s">
        <v>107</v>
      </c>
      <c r="E837" t="s">
        <v>35</v>
      </c>
      <c r="F837" t="s">
        <v>21</v>
      </c>
      <c r="G837" t="s">
        <v>56</v>
      </c>
      <c r="H837" t="s">
        <v>23</v>
      </c>
      <c r="I837" t="s">
        <v>52</v>
      </c>
      <c r="J837">
        <v>32</v>
      </c>
      <c r="K837">
        <v>29490.17</v>
      </c>
      <c r="L837">
        <v>943685.44</v>
      </c>
      <c r="M837">
        <v>159137.64000000001</v>
      </c>
      <c r="N837">
        <v>0</v>
      </c>
      <c r="O837">
        <v>784547.8</v>
      </c>
      <c r="P837" t="s">
        <v>25</v>
      </c>
      <c r="Q837" t="s">
        <v>26</v>
      </c>
    </row>
    <row r="838" spans="1:17" x14ac:dyDescent="0.25">
      <c r="A838" t="s">
        <v>955</v>
      </c>
      <c r="B838" s="1">
        <v>46000</v>
      </c>
      <c r="C838" t="s">
        <v>79</v>
      </c>
      <c r="D838" t="s">
        <v>107</v>
      </c>
      <c r="E838" t="s">
        <v>20</v>
      </c>
      <c r="F838" t="s">
        <v>21</v>
      </c>
      <c r="G838" t="s">
        <v>140</v>
      </c>
      <c r="H838" t="s">
        <v>38</v>
      </c>
      <c r="I838" t="s">
        <v>120</v>
      </c>
      <c r="J838">
        <v>21</v>
      </c>
      <c r="K838">
        <v>30377.77</v>
      </c>
      <c r="L838">
        <v>637933.17000000004</v>
      </c>
      <c r="M838">
        <v>95193.27</v>
      </c>
      <c r="N838">
        <v>0</v>
      </c>
      <c r="O838">
        <v>542739.9</v>
      </c>
      <c r="P838" t="s">
        <v>73</v>
      </c>
      <c r="Q838" t="s">
        <v>32</v>
      </c>
    </row>
    <row r="839" spans="1:17" x14ac:dyDescent="0.25">
      <c r="A839" t="s">
        <v>956</v>
      </c>
      <c r="B839" s="1">
        <v>45964</v>
      </c>
      <c r="C839" t="s">
        <v>60</v>
      </c>
      <c r="D839" t="s">
        <v>61</v>
      </c>
      <c r="E839" t="s">
        <v>49</v>
      </c>
      <c r="F839" t="s">
        <v>137</v>
      </c>
      <c r="G839" t="s">
        <v>51</v>
      </c>
      <c r="H839" t="s">
        <v>94</v>
      </c>
      <c r="I839" t="s">
        <v>193</v>
      </c>
      <c r="J839">
        <v>47</v>
      </c>
      <c r="K839">
        <v>43057.79</v>
      </c>
      <c r="L839">
        <v>2023716.13</v>
      </c>
      <c r="M839">
        <v>29359.83</v>
      </c>
      <c r="N839">
        <v>0</v>
      </c>
      <c r="O839">
        <v>1994356.3</v>
      </c>
      <c r="P839" t="s">
        <v>31</v>
      </c>
      <c r="Q839" t="s">
        <v>32</v>
      </c>
    </row>
    <row r="840" spans="1:17" x14ac:dyDescent="0.25">
      <c r="A840" t="s">
        <v>957</v>
      </c>
      <c r="B840" s="1">
        <v>46002</v>
      </c>
      <c r="C840" t="s">
        <v>18</v>
      </c>
      <c r="D840" t="s">
        <v>75</v>
      </c>
      <c r="E840" t="s">
        <v>35</v>
      </c>
      <c r="F840" t="s">
        <v>137</v>
      </c>
      <c r="G840" t="s">
        <v>81</v>
      </c>
      <c r="H840" t="s">
        <v>94</v>
      </c>
      <c r="I840" t="s">
        <v>95</v>
      </c>
      <c r="J840">
        <v>10</v>
      </c>
      <c r="K840">
        <v>33166.75</v>
      </c>
      <c r="L840">
        <v>331667.5</v>
      </c>
      <c r="M840">
        <v>0</v>
      </c>
      <c r="N840">
        <v>0</v>
      </c>
      <c r="O840">
        <v>331667.5</v>
      </c>
      <c r="P840" t="s">
        <v>32</v>
      </c>
      <c r="Q840" t="s">
        <v>32</v>
      </c>
    </row>
    <row r="841" spans="1:17" x14ac:dyDescent="0.25">
      <c r="A841" t="s">
        <v>958</v>
      </c>
      <c r="B841" s="1">
        <v>45989</v>
      </c>
      <c r="C841" t="s">
        <v>47</v>
      </c>
      <c r="D841" t="s">
        <v>127</v>
      </c>
      <c r="E841" t="s">
        <v>35</v>
      </c>
      <c r="F841" t="s">
        <v>50</v>
      </c>
      <c r="G841" t="s">
        <v>89</v>
      </c>
      <c r="H841" t="s">
        <v>94</v>
      </c>
      <c r="I841" t="s">
        <v>177</v>
      </c>
      <c r="J841">
        <v>33</v>
      </c>
      <c r="K841">
        <v>6960.2</v>
      </c>
      <c r="L841">
        <v>229686.6</v>
      </c>
      <c r="M841">
        <v>0</v>
      </c>
      <c r="N841">
        <v>47280.67</v>
      </c>
      <c r="O841">
        <v>182405.93</v>
      </c>
      <c r="P841" t="s">
        <v>32</v>
      </c>
      <c r="Q841" t="s">
        <v>32</v>
      </c>
    </row>
    <row r="842" spans="1:17" x14ac:dyDescent="0.25">
      <c r="A842" t="s">
        <v>959</v>
      </c>
      <c r="B842" s="1">
        <v>46027</v>
      </c>
      <c r="C842" t="s">
        <v>18</v>
      </c>
      <c r="D842" t="s">
        <v>19</v>
      </c>
      <c r="E842" t="s">
        <v>49</v>
      </c>
      <c r="F842" t="s">
        <v>62</v>
      </c>
      <c r="G842" t="s">
        <v>81</v>
      </c>
      <c r="H842" t="s">
        <v>94</v>
      </c>
      <c r="I842" t="s">
        <v>193</v>
      </c>
      <c r="J842">
        <v>16</v>
      </c>
      <c r="K842">
        <v>5801.16</v>
      </c>
      <c r="L842">
        <v>92818.559999999998</v>
      </c>
      <c r="M842">
        <v>12006.17</v>
      </c>
      <c r="N842">
        <v>0</v>
      </c>
      <c r="O842">
        <v>80812.39</v>
      </c>
      <c r="P842" t="s">
        <v>31</v>
      </c>
      <c r="Q842" t="s">
        <v>32</v>
      </c>
    </row>
    <row r="843" spans="1:17" x14ac:dyDescent="0.25">
      <c r="A843" t="s">
        <v>960</v>
      </c>
      <c r="B843" s="1">
        <v>45983</v>
      </c>
      <c r="C843" t="s">
        <v>47</v>
      </c>
      <c r="D843" t="s">
        <v>127</v>
      </c>
      <c r="E843" t="s">
        <v>20</v>
      </c>
      <c r="F843" t="s">
        <v>36</v>
      </c>
      <c r="G843" t="s">
        <v>138</v>
      </c>
      <c r="H843" t="s">
        <v>57</v>
      </c>
      <c r="I843" t="s">
        <v>58</v>
      </c>
      <c r="J843">
        <v>7</v>
      </c>
      <c r="K843">
        <v>13837.08</v>
      </c>
      <c r="L843">
        <v>96859.56</v>
      </c>
      <c r="M843">
        <v>2121.33</v>
      </c>
      <c r="N843">
        <v>0</v>
      </c>
      <c r="O843">
        <v>94738.23</v>
      </c>
      <c r="P843" t="s">
        <v>32</v>
      </c>
      <c r="Q843" t="s">
        <v>26</v>
      </c>
    </row>
    <row r="844" spans="1:17" x14ac:dyDescent="0.25">
      <c r="A844" t="s">
        <v>961</v>
      </c>
      <c r="B844" s="1">
        <v>46018</v>
      </c>
      <c r="C844" t="s">
        <v>54</v>
      </c>
      <c r="D844" t="s">
        <v>97</v>
      </c>
      <c r="E844" t="s">
        <v>41</v>
      </c>
      <c r="F844" t="s">
        <v>42</v>
      </c>
      <c r="G844" t="s">
        <v>66</v>
      </c>
      <c r="H844" t="s">
        <v>67</v>
      </c>
      <c r="I844" t="s">
        <v>170</v>
      </c>
      <c r="J844">
        <v>11</v>
      </c>
      <c r="K844">
        <v>13215.96</v>
      </c>
      <c r="L844">
        <v>145375.56</v>
      </c>
      <c r="M844">
        <v>0</v>
      </c>
      <c r="N844">
        <v>0</v>
      </c>
      <c r="O844">
        <v>145375.56</v>
      </c>
      <c r="P844" t="s">
        <v>32</v>
      </c>
      <c r="Q844" t="s">
        <v>32</v>
      </c>
    </row>
    <row r="845" spans="1:17" x14ac:dyDescent="0.25">
      <c r="A845" t="s">
        <v>962</v>
      </c>
      <c r="B845" s="1">
        <v>46015</v>
      </c>
      <c r="C845" t="s">
        <v>79</v>
      </c>
      <c r="D845" t="s">
        <v>91</v>
      </c>
      <c r="E845" t="s">
        <v>49</v>
      </c>
      <c r="F845" t="s">
        <v>21</v>
      </c>
      <c r="G845" t="s">
        <v>89</v>
      </c>
      <c r="H845" t="s">
        <v>44</v>
      </c>
      <c r="I845" t="s">
        <v>45</v>
      </c>
      <c r="J845">
        <v>4</v>
      </c>
      <c r="K845">
        <v>3315.8</v>
      </c>
      <c r="L845">
        <v>13263.2</v>
      </c>
      <c r="M845">
        <v>0</v>
      </c>
      <c r="N845">
        <v>0</v>
      </c>
      <c r="O845">
        <v>13263.2</v>
      </c>
      <c r="P845" t="s">
        <v>31</v>
      </c>
      <c r="Q845" t="s">
        <v>32</v>
      </c>
    </row>
    <row r="846" spans="1:17" x14ac:dyDescent="0.25">
      <c r="A846" t="s">
        <v>963</v>
      </c>
      <c r="B846" s="1">
        <v>45955</v>
      </c>
      <c r="C846" t="s">
        <v>47</v>
      </c>
      <c r="D846" t="s">
        <v>127</v>
      </c>
      <c r="E846" t="s">
        <v>20</v>
      </c>
      <c r="F846" t="s">
        <v>84</v>
      </c>
      <c r="G846" t="s">
        <v>85</v>
      </c>
      <c r="H846" t="s">
        <v>23</v>
      </c>
      <c r="I846" t="s">
        <v>24</v>
      </c>
      <c r="J846">
        <v>45</v>
      </c>
      <c r="K846">
        <v>1147.3499999999999</v>
      </c>
      <c r="L846">
        <v>51630.75</v>
      </c>
      <c r="M846">
        <v>0</v>
      </c>
      <c r="N846">
        <v>0</v>
      </c>
      <c r="O846">
        <v>51630.75</v>
      </c>
      <c r="P846" t="s">
        <v>31</v>
      </c>
      <c r="Q846" t="s">
        <v>32</v>
      </c>
    </row>
    <row r="847" spans="1:17" x14ac:dyDescent="0.25">
      <c r="A847" t="s">
        <v>964</v>
      </c>
      <c r="B847" s="1">
        <v>45987</v>
      </c>
      <c r="C847" t="s">
        <v>47</v>
      </c>
      <c r="D847" t="s">
        <v>127</v>
      </c>
      <c r="E847" t="s">
        <v>49</v>
      </c>
      <c r="F847" t="s">
        <v>62</v>
      </c>
      <c r="G847" t="s">
        <v>140</v>
      </c>
      <c r="H847" t="s">
        <v>44</v>
      </c>
      <c r="I847" t="s">
        <v>141</v>
      </c>
      <c r="J847">
        <v>12</v>
      </c>
      <c r="K847">
        <v>3023.96</v>
      </c>
      <c r="L847">
        <v>36287.519999999997</v>
      </c>
      <c r="M847">
        <v>6723.15</v>
      </c>
      <c r="N847">
        <v>0</v>
      </c>
      <c r="O847">
        <v>29564.37</v>
      </c>
      <c r="P847" t="s">
        <v>73</v>
      </c>
      <c r="Q847" t="s">
        <v>26</v>
      </c>
    </row>
    <row r="848" spans="1:17" x14ac:dyDescent="0.25">
      <c r="A848" t="s">
        <v>965</v>
      </c>
      <c r="B848" s="1">
        <v>46013</v>
      </c>
      <c r="C848" t="s">
        <v>47</v>
      </c>
      <c r="D848" t="s">
        <v>114</v>
      </c>
      <c r="E848" t="s">
        <v>49</v>
      </c>
      <c r="F848" t="s">
        <v>84</v>
      </c>
      <c r="G848" t="s">
        <v>102</v>
      </c>
      <c r="H848" t="s">
        <v>38</v>
      </c>
      <c r="I848" t="s">
        <v>39</v>
      </c>
      <c r="J848">
        <v>39</v>
      </c>
      <c r="K848">
        <v>10148.94</v>
      </c>
      <c r="L848">
        <v>395808.66</v>
      </c>
      <c r="M848">
        <v>0</v>
      </c>
      <c r="N848">
        <v>66576.23</v>
      </c>
      <c r="O848">
        <v>329232.43</v>
      </c>
      <c r="P848" t="s">
        <v>31</v>
      </c>
      <c r="Q848" t="s">
        <v>32</v>
      </c>
    </row>
    <row r="849" spans="1:17" x14ac:dyDescent="0.25">
      <c r="A849" t="s">
        <v>966</v>
      </c>
      <c r="B849" s="1">
        <v>45964</v>
      </c>
      <c r="C849" t="s">
        <v>54</v>
      </c>
      <c r="D849" t="s">
        <v>70</v>
      </c>
      <c r="E849" t="s">
        <v>20</v>
      </c>
      <c r="F849" t="s">
        <v>50</v>
      </c>
      <c r="G849" t="s">
        <v>89</v>
      </c>
      <c r="H849" t="s">
        <v>67</v>
      </c>
      <c r="I849" t="s">
        <v>154</v>
      </c>
      <c r="J849">
        <v>7</v>
      </c>
      <c r="K849">
        <v>8198.3700000000008</v>
      </c>
      <c r="L849">
        <v>57388.59</v>
      </c>
      <c r="M849">
        <v>0</v>
      </c>
      <c r="N849">
        <v>0</v>
      </c>
      <c r="O849">
        <v>57388.59</v>
      </c>
      <c r="P849" t="s">
        <v>73</v>
      </c>
      <c r="Q849" t="s">
        <v>26</v>
      </c>
    </row>
    <row r="850" spans="1:17" x14ac:dyDescent="0.25">
      <c r="A850" t="s">
        <v>967</v>
      </c>
      <c r="B850" s="1">
        <v>45960</v>
      </c>
      <c r="C850" t="s">
        <v>79</v>
      </c>
      <c r="D850" t="s">
        <v>91</v>
      </c>
      <c r="E850" t="s">
        <v>49</v>
      </c>
      <c r="F850" t="s">
        <v>137</v>
      </c>
      <c r="G850" t="s">
        <v>37</v>
      </c>
      <c r="H850" t="s">
        <v>57</v>
      </c>
      <c r="I850" t="s">
        <v>72</v>
      </c>
      <c r="J850">
        <v>22</v>
      </c>
      <c r="K850">
        <v>49799.51</v>
      </c>
      <c r="L850">
        <v>1095589.22</v>
      </c>
      <c r="M850">
        <v>101248.05</v>
      </c>
      <c r="N850">
        <v>0</v>
      </c>
      <c r="O850">
        <v>994341.17</v>
      </c>
      <c r="P850" t="s">
        <v>25</v>
      </c>
      <c r="Q850" t="s">
        <v>32</v>
      </c>
    </row>
    <row r="851" spans="1:17" x14ac:dyDescent="0.25">
      <c r="A851" t="s">
        <v>968</v>
      </c>
      <c r="B851" s="1">
        <v>46015</v>
      </c>
      <c r="C851" t="s">
        <v>54</v>
      </c>
      <c r="D851" t="s">
        <v>55</v>
      </c>
      <c r="E851" t="s">
        <v>49</v>
      </c>
      <c r="F851" t="s">
        <v>36</v>
      </c>
      <c r="G851" t="s">
        <v>37</v>
      </c>
      <c r="H851" t="s">
        <v>67</v>
      </c>
      <c r="I851" t="s">
        <v>103</v>
      </c>
      <c r="J851">
        <v>31</v>
      </c>
      <c r="K851">
        <v>47640.24</v>
      </c>
      <c r="L851">
        <v>1476847.44</v>
      </c>
      <c r="M851">
        <v>0</v>
      </c>
      <c r="N851">
        <v>0</v>
      </c>
      <c r="O851">
        <v>1476847.44</v>
      </c>
      <c r="P851" t="s">
        <v>73</v>
      </c>
      <c r="Q851" t="s">
        <v>32</v>
      </c>
    </row>
    <row r="852" spans="1:17" x14ac:dyDescent="0.25">
      <c r="A852" t="s">
        <v>969</v>
      </c>
      <c r="B852" s="1">
        <v>45976</v>
      </c>
      <c r="C852" t="s">
        <v>79</v>
      </c>
      <c r="D852" t="s">
        <v>101</v>
      </c>
      <c r="E852" t="s">
        <v>35</v>
      </c>
      <c r="F852" t="s">
        <v>21</v>
      </c>
      <c r="G852" t="s">
        <v>63</v>
      </c>
      <c r="H852" t="s">
        <v>44</v>
      </c>
      <c r="I852" t="s">
        <v>135</v>
      </c>
      <c r="J852">
        <v>19</v>
      </c>
      <c r="K852">
        <v>19809.84</v>
      </c>
      <c r="L852">
        <v>376386.96</v>
      </c>
      <c r="M852">
        <v>6474.89</v>
      </c>
      <c r="N852">
        <v>0</v>
      </c>
      <c r="O852">
        <v>369912.07</v>
      </c>
      <c r="P852" t="s">
        <v>25</v>
      </c>
      <c r="Q852" t="s">
        <v>26</v>
      </c>
    </row>
    <row r="853" spans="1:17" x14ac:dyDescent="0.25">
      <c r="A853" t="s">
        <v>970</v>
      </c>
      <c r="B853" s="1">
        <v>46036</v>
      </c>
      <c r="C853" t="s">
        <v>47</v>
      </c>
      <c r="D853" t="s">
        <v>114</v>
      </c>
      <c r="E853" t="s">
        <v>20</v>
      </c>
      <c r="F853" t="s">
        <v>42</v>
      </c>
      <c r="G853" t="s">
        <v>140</v>
      </c>
      <c r="H853" t="s">
        <v>67</v>
      </c>
      <c r="I853" t="s">
        <v>103</v>
      </c>
      <c r="J853">
        <v>40</v>
      </c>
      <c r="K853">
        <v>17466.66</v>
      </c>
      <c r="L853">
        <v>698666.4</v>
      </c>
      <c r="M853">
        <v>56998.11</v>
      </c>
      <c r="N853">
        <v>117313.21</v>
      </c>
      <c r="O853">
        <v>524355.07999999996</v>
      </c>
      <c r="P853" t="s">
        <v>32</v>
      </c>
      <c r="Q853" t="s">
        <v>26</v>
      </c>
    </row>
    <row r="854" spans="1:17" x14ac:dyDescent="0.25">
      <c r="A854" t="s">
        <v>971</v>
      </c>
      <c r="B854" s="1">
        <v>46037</v>
      </c>
      <c r="C854" t="s">
        <v>54</v>
      </c>
      <c r="D854" t="s">
        <v>133</v>
      </c>
      <c r="E854" t="s">
        <v>35</v>
      </c>
      <c r="F854" t="s">
        <v>62</v>
      </c>
      <c r="G854" t="s">
        <v>43</v>
      </c>
      <c r="H854" t="s">
        <v>94</v>
      </c>
      <c r="I854" t="s">
        <v>95</v>
      </c>
      <c r="J854">
        <v>37</v>
      </c>
      <c r="K854">
        <v>27512.82</v>
      </c>
      <c r="L854">
        <v>1017974.34</v>
      </c>
      <c r="M854">
        <v>0</v>
      </c>
      <c r="N854">
        <v>197432.95999999999</v>
      </c>
      <c r="O854">
        <v>820541.38</v>
      </c>
      <c r="P854" t="s">
        <v>31</v>
      </c>
      <c r="Q854" t="s">
        <v>32</v>
      </c>
    </row>
    <row r="855" spans="1:17" x14ac:dyDescent="0.25">
      <c r="A855" t="s">
        <v>972</v>
      </c>
      <c r="B855" s="1">
        <v>46040</v>
      </c>
      <c r="C855" t="s">
        <v>18</v>
      </c>
      <c r="D855" t="s">
        <v>28</v>
      </c>
      <c r="E855" t="s">
        <v>35</v>
      </c>
      <c r="F855" t="s">
        <v>84</v>
      </c>
      <c r="G855" t="s">
        <v>140</v>
      </c>
      <c r="H855" t="s">
        <v>67</v>
      </c>
      <c r="I855" t="s">
        <v>77</v>
      </c>
      <c r="J855">
        <v>18</v>
      </c>
      <c r="K855">
        <v>46346.01</v>
      </c>
      <c r="L855">
        <v>834228.18</v>
      </c>
      <c r="M855">
        <v>0</v>
      </c>
      <c r="N855">
        <v>0</v>
      </c>
      <c r="O855">
        <v>834228.18</v>
      </c>
      <c r="P855" t="s">
        <v>31</v>
      </c>
      <c r="Q855" t="s">
        <v>32</v>
      </c>
    </row>
    <row r="856" spans="1:17" x14ac:dyDescent="0.25">
      <c r="A856" t="s">
        <v>973</v>
      </c>
      <c r="B856" s="1">
        <v>46026</v>
      </c>
      <c r="C856" t="s">
        <v>60</v>
      </c>
      <c r="D856" t="s">
        <v>61</v>
      </c>
      <c r="E856" t="s">
        <v>20</v>
      </c>
      <c r="F856" t="s">
        <v>84</v>
      </c>
      <c r="G856" t="s">
        <v>63</v>
      </c>
      <c r="H856" t="s">
        <v>38</v>
      </c>
      <c r="I856" t="s">
        <v>175</v>
      </c>
      <c r="J856">
        <v>32</v>
      </c>
      <c r="K856">
        <v>19136.68</v>
      </c>
      <c r="L856">
        <v>612373.76000000001</v>
      </c>
      <c r="M856">
        <v>60471.33</v>
      </c>
      <c r="N856">
        <v>0</v>
      </c>
      <c r="O856">
        <v>551902.43000000005</v>
      </c>
      <c r="P856" t="s">
        <v>25</v>
      </c>
      <c r="Q856" t="s">
        <v>26</v>
      </c>
    </row>
    <row r="857" spans="1:17" x14ac:dyDescent="0.25">
      <c r="A857" t="s">
        <v>974</v>
      </c>
      <c r="B857" s="1">
        <v>45954</v>
      </c>
      <c r="C857" t="s">
        <v>47</v>
      </c>
      <c r="D857" t="s">
        <v>127</v>
      </c>
      <c r="E857" t="s">
        <v>41</v>
      </c>
      <c r="F857" t="s">
        <v>42</v>
      </c>
      <c r="G857" t="s">
        <v>63</v>
      </c>
      <c r="H857" t="s">
        <v>67</v>
      </c>
      <c r="I857" t="s">
        <v>103</v>
      </c>
      <c r="J857">
        <v>46</v>
      </c>
      <c r="K857">
        <v>8827.5400000000009</v>
      </c>
      <c r="L857">
        <v>406066.84</v>
      </c>
      <c r="M857">
        <v>0</v>
      </c>
      <c r="N857">
        <v>0</v>
      </c>
      <c r="O857">
        <v>406066.84</v>
      </c>
      <c r="P857" t="s">
        <v>32</v>
      </c>
      <c r="Q857" t="s">
        <v>26</v>
      </c>
    </row>
    <row r="858" spans="1:17" x14ac:dyDescent="0.25">
      <c r="A858" t="s">
        <v>975</v>
      </c>
      <c r="B858" s="1">
        <v>45966</v>
      </c>
      <c r="C858" t="s">
        <v>79</v>
      </c>
      <c r="D858" t="s">
        <v>80</v>
      </c>
      <c r="E858" t="s">
        <v>49</v>
      </c>
      <c r="F858" t="s">
        <v>137</v>
      </c>
      <c r="G858" t="s">
        <v>89</v>
      </c>
      <c r="H858" t="s">
        <v>44</v>
      </c>
      <c r="I858" t="s">
        <v>152</v>
      </c>
      <c r="J858">
        <v>33</v>
      </c>
      <c r="K858">
        <v>31972.53</v>
      </c>
      <c r="L858">
        <v>1055093.49</v>
      </c>
      <c r="M858">
        <v>0</v>
      </c>
      <c r="N858">
        <v>0</v>
      </c>
      <c r="O858">
        <v>1055093.49</v>
      </c>
      <c r="P858" t="s">
        <v>31</v>
      </c>
      <c r="Q858" t="s">
        <v>32</v>
      </c>
    </row>
    <row r="859" spans="1:17" x14ac:dyDescent="0.25">
      <c r="A859" t="s">
        <v>976</v>
      </c>
      <c r="B859" s="1">
        <v>46044</v>
      </c>
      <c r="C859" t="s">
        <v>54</v>
      </c>
      <c r="D859" t="s">
        <v>70</v>
      </c>
      <c r="E859" t="s">
        <v>49</v>
      </c>
      <c r="F859" t="s">
        <v>137</v>
      </c>
      <c r="G859" t="s">
        <v>43</v>
      </c>
      <c r="H859" t="s">
        <v>38</v>
      </c>
      <c r="I859" t="s">
        <v>39</v>
      </c>
      <c r="J859">
        <v>19</v>
      </c>
      <c r="K859">
        <v>50371.11</v>
      </c>
      <c r="L859">
        <v>957051.09</v>
      </c>
      <c r="M859">
        <v>187468.81</v>
      </c>
      <c r="N859">
        <v>0</v>
      </c>
      <c r="O859">
        <v>769582.28</v>
      </c>
      <c r="P859" t="s">
        <v>25</v>
      </c>
      <c r="Q859" t="s">
        <v>26</v>
      </c>
    </row>
    <row r="860" spans="1:17" x14ac:dyDescent="0.25">
      <c r="A860" t="s">
        <v>977</v>
      </c>
      <c r="B860" s="1">
        <v>45992</v>
      </c>
      <c r="C860" t="s">
        <v>54</v>
      </c>
      <c r="D860" t="s">
        <v>55</v>
      </c>
      <c r="E860" t="s">
        <v>49</v>
      </c>
      <c r="F860" t="s">
        <v>36</v>
      </c>
      <c r="G860" t="s">
        <v>81</v>
      </c>
      <c r="H860" t="s">
        <v>38</v>
      </c>
      <c r="I860" t="s">
        <v>82</v>
      </c>
      <c r="J860">
        <v>32</v>
      </c>
      <c r="K860">
        <v>34067.9</v>
      </c>
      <c r="L860">
        <v>1090172.8</v>
      </c>
      <c r="M860">
        <v>0</v>
      </c>
      <c r="N860">
        <v>0</v>
      </c>
      <c r="O860">
        <v>1090172.8</v>
      </c>
      <c r="P860" t="s">
        <v>73</v>
      </c>
      <c r="Q860" t="s">
        <v>26</v>
      </c>
    </row>
    <row r="861" spans="1:17" x14ac:dyDescent="0.25">
      <c r="A861" t="s">
        <v>978</v>
      </c>
      <c r="B861" s="1">
        <v>45971</v>
      </c>
      <c r="C861" t="s">
        <v>18</v>
      </c>
      <c r="D861" t="s">
        <v>28</v>
      </c>
      <c r="E861" t="s">
        <v>49</v>
      </c>
      <c r="F861" t="s">
        <v>137</v>
      </c>
      <c r="G861" t="s">
        <v>63</v>
      </c>
      <c r="H861" t="s">
        <v>67</v>
      </c>
      <c r="I861" t="s">
        <v>154</v>
      </c>
      <c r="J861">
        <v>22</v>
      </c>
      <c r="K861">
        <v>16349.01</v>
      </c>
      <c r="L861">
        <v>359678.22</v>
      </c>
      <c r="M861">
        <v>48385.85</v>
      </c>
      <c r="N861">
        <v>0</v>
      </c>
      <c r="O861">
        <v>311292.37</v>
      </c>
      <c r="P861" t="s">
        <v>25</v>
      </c>
      <c r="Q861" t="s">
        <v>26</v>
      </c>
    </row>
    <row r="862" spans="1:17" x14ac:dyDescent="0.25">
      <c r="A862" t="s">
        <v>979</v>
      </c>
      <c r="B862" s="1">
        <v>45955</v>
      </c>
      <c r="C862" t="s">
        <v>79</v>
      </c>
      <c r="D862" t="s">
        <v>107</v>
      </c>
      <c r="E862" t="s">
        <v>35</v>
      </c>
      <c r="F862" t="s">
        <v>21</v>
      </c>
      <c r="G862" t="s">
        <v>89</v>
      </c>
      <c r="H862" t="s">
        <v>23</v>
      </c>
      <c r="I862" t="s">
        <v>24</v>
      </c>
      <c r="J862">
        <v>48</v>
      </c>
      <c r="K862">
        <v>26039.84</v>
      </c>
      <c r="L862">
        <v>1249912.3200000001</v>
      </c>
      <c r="M862">
        <v>0</v>
      </c>
      <c r="N862">
        <v>0</v>
      </c>
      <c r="O862">
        <v>1249912.3200000001</v>
      </c>
      <c r="P862" t="s">
        <v>73</v>
      </c>
      <c r="Q862" t="s">
        <v>32</v>
      </c>
    </row>
    <row r="863" spans="1:17" x14ac:dyDescent="0.25">
      <c r="A863" t="s">
        <v>980</v>
      </c>
      <c r="B863" s="1">
        <v>46003</v>
      </c>
      <c r="C863" t="s">
        <v>79</v>
      </c>
      <c r="D863" t="s">
        <v>101</v>
      </c>
      <c r="E863" t="s">
        <v>35</v>
      </c>
      <c r="F863" t="s">
        <v>137</v>
      </c>
      <c r="G863" t="s">
        <v>22</v>
      </c>
      <c r="H863" t="s">
        <v>94</v>
      </c>
      <c r="I863" t="s">
        <v>144</v>
      </c>
      <c r="J863">
        <v>18</v>
      </c>
      <c r="K863">
        <v>6526.91</v>
      </c>
      <c r="L863">
        <v>117484.38</v>
      </c>
      <c r="M863">
        <v>2005.6</v>
      </c>
      <c r="N863">
        <v>0</v>
      </c>
      <c r="O863">
        <v>115478.78</v>
      </c>
      <c r="P863" t="s">
        <v>73</v>
      </c>
      <c r="Q863" t="s">
        <v>26</v>
      </c>
    </row>
    <row r="864" spans="1:17" x14ac:dyDescent="0.25">
      <c r="A864" t="s">
        <v>981</v>
      </c>
      <c r="B864" s="1">
        <v>46033</v>
      </c>
      <c r="C864" t="s">
        <v>54</v>
      </c>
      <c r="D864" t="s">
        <v>70</v>
      </c>
      <c r="E864" t="s">
        <v>41</v>
      </c>
      <c r="F864" t="s">
        <v>137</v>
      </c>
      <c r="G864" t="s">
        <v>81</v>
      </c>
      <c r="H864" t="s">
        <v>57</v>
      </c>
      <c r="I864" t="s">
        <v>118</v>
      </c>
      <c r="J864">
        <v>12</v>
      </c>
      <c r="K864">
        <v>16421.740000000002</v>
      </c>
      <c r="L864">
        <v>197060.88</v>
      </c>
      <c r="M864">
        <v>24952.67</v>
      </c>
      <c r="N864">
        <v>0</v>
      </c>
      <c r="O864">
        <v>172108.21</v>
      </c>
      <c r="P864" t="s">
        <v>25</v>
      </c>
      <c r="Q864" t="s">
        <v>26</v>
      </c>
    </row>
    <row r="865" spans="1:17" x14ac:dyDescent="0.25">
      <c r="A865" t="s">
        <v>982</v>
      </c>
      <c r="B865" s="1">
        <v>46040</v>
      </c>
      <c r="C865" t="s">
        <v>60</v>
      </c>
      <c r="D865" t="s">
        <v>61</v>
      </c>
      <c r="E865" t="s">
        <v>20</v>
      </c>
      <c r="F865" t="s">
        <v>21</v>
      </c>
      <c r="G865" t="s">
        <v>66</v>
      </c>
      <c r="H865" t="s">
        <v>44</v>
      </c>
      <c r="I865" t="s">
        <v>152</v>
      </c>
      <c r="J865">
        <v>20</v>
      </c>
      <c r="K865">
        <v>28450.49</v>
      </c>
      <c r="L865">
        <v>569009.80000000005</v>
      </c>
      <c r="M865">
        <v>0</v>
      </c>
      <c r="N865">
        <v>0</v>
      </c>
      <c r="O865">
        <v>569009.80000000005</v>
      </c>
      <c r="P865" t="s">
        <v>31</v>
      </c>
      <c r="Q865" t="s">
        <v>32</v>
      </c>
    </row>
    <row r="866" spans="1:17" x14ac:dyDescent="0.25">
      <c r="A866" t="s">
        <v>983</v>
      </c>
      <c r="B866" s="1">
        <v>46012</v>
      </c>
      <c r="C866" t="s">
        <v>18</v>
      </c>
      <c r="D866" t="s">
        <v>28</v>
      </c>
      <c r="E866" t="s">
        <v>35</v>
      </c>
      <c r="F866" t="s">
        <v>137</v>
      </c>
      <c r="G866" t="s">
        <v>29</v>
      </c>
      <c r="H866" t="s">
        <v>44</v>
      </c>
      <c r="I866" t="s">
        <v>124</v>
      </c>
      <c r="J866">
        <v>13</v>
      </c>
      <c r="K866">
        <v>8527.07</v>
      </c>
      <c r="L866">
        <v>110851.91</v>
      </c>
      <c r="M866">
        <v>12893.46</v>
      </c>
      <c r="N866">
        <v>0</v>
      </c>
      <c r="O866">
        <v>97958.45</v>
      </c>
      <c r="P866" t="s">
        <v>25</v>
      </c>
      <c r="Q866" t="s">
        <v>26</v>
      </c>
    </row>
    <row r="867" spans="1:17" x14ac:dyDescent="0.25">
      <c r="A867" t="s">
        <v>984</v>
      </c>
      <c r="B867" s="1">
        <v>46011</v>
      </c>
      <c r="C867" t="s">
        <v>18</v>
      </c>
      <c r="D867" t="s">
        <v>75</v>
      </c>
      <c r="E867" t="s">
        <v>20</v>
      </c>
      <c r="F867" t="s">
        <v>62</v>
      </c>
      <c r="G867" t="s">
        <v>43</v>
      </c>
      <c r="H867" t="s">
        <v>57</v>
      </c>
      <c r="I867" t="s">
        <v>118</v>
      </c>
      <c r="J867">
        <v>2</v>
      </c>
      <c r="K867">
        <v>48475.07</v>
      </c>
      <c r="L867">
        <v>96950.14</v>
      </c>
      <c r="M867">
        <v>9035.7199999999993</v>
      </c>
      <c r="N867">
        <v>0</v>
      </c>
      <c r="O867">
        <v>87914.42</v>
      </c>
      <c r="P867" t="s">
        <v>31</v>
      </c>
      <c r="Q867" t="s">
        <v>32</v>
      </c>
    </row>
    <row r="868" spans="1:17" x14ac:dyDescent="0.25">
      <c r="A868" t="s">
        <v>985</v>
      </c>
      <c r="B868" s="1">
        <v>46036</v>
      </c>
      <c r="C868" t="s">
        <v>47</v>
      </c>
      <c r="D868" t="s">
        <v>88</v>
      </c>
      <c r="E868" t="s">
        <v>49</v>
      </c>
      <c r="F868" t="s">
        <v>71</v>
      </c>
      <c r="G868" t="s">
        <v>63</v>
      </c>
      <c r="H868" t="s">
        <v>44</v>
      </c>
      <c r="I868" t="s">
        <v>135</v>
      </c>
      <c r="J868">
        <v>2</v>
      </c>
      <c r="K868">
        <v>34473.230000000003</v>
      </c>
      <c r="L868">
        <v>68946.460000000006</v>
      </c>
      <c r="M868">
        <v>0</v>
      </c>
      <c r="N868">
        <v>881.07</v>
      </c>
      <c r="O868">
        <v>68065.39</v>
      </c>
      <c r="P868" t="s">
        <v>25</v>
      </c>
      <c r="Q868" t="s">
        <v>26</v>
      </c>
    </row>
    <row r="869" spans="1:17" x14ac:dyDescent="0.25">
      <c r="A869" t="s">
        <v>986</v>
      </c>
      <c r="B869" s="1">
        <v>45961</v>
      </c>
      <c r="C869" t="s">
        <v>60</v>
      </c>
      <c r="D869" t="s">
        <v>123</v>
      </c>
      <c r="E869" t="s">
        <v>41</v>
      </c>
      <c r="F869" t="s">
        <v>50</v>
      </c>
      <c r="G869" t="s">
        <v>138</v>
      </c>
      <c r="H869" t="s">
        <v>44</v>
      </c>
      <c r="I869" t="s">
        <v>152</v>
      </c>
      <c r="J869">
        <v>46</v>
      </c>
      <c r="K869">
        <v>40794.82</v>
      </c>
      <c r="L869">
        <v>1876561.72</v>
      </c>
      <c r="M869">
        <v>0</v>
      </c>
      <c r="N869">
        <v>0</v>
      </c>
      <c r="O869">
        <v>1876561.72</v>
      </c>
      <c r="P869" t="s">
        <v>25</v>
      </c>
      <c r="Q869" t="s">
        <v>26</v>
      </c>
    </row>
    <row r="870" spans="1:17" x14ac:dyDescent="0.25">
      <c r="A870" t="s">
        <v>987</v>
      </c>
      <c r="B870" s="1">
        <v>45961</v>
      </c>
      <c r="C870" t="s">
        <v>54</v>
      </c>
      <c r="D870" t="s">
        <v>70</v>
      </c>
      <c r="E870" t="s">
        <v>35</v>
      </c>
      <c r="F870" t="s">
        <v>21</v>
      </c>
      <c r="G870" t="s">
        <v>63</v>
      </c>
      <c r="H870" t="s">
        <v>94</v>
      </c>
      <c r="I870" t="s">
        <v>95</v>
      </c>
      <c r="J870">
        <v>40</v>
      </c>
      <c r="K870">
        <v>38184.230000000003</v>
      </c>
      <c r="L870">
        <v>1527369.2</v>
      </c>
      <c r="M870">
        <v>0</v>
      </c>
      <c r="N870">
        <v>0</v>
      </c>
      <c r="O870">
        <v>1527369.2</v>
      </c>
      <c r="P870" t="s">
        <v>25</v>
      </c>
      <c r="Q870" t="s">
        <v>26</v>
      </c>
    </row>
    <row r="871" spans="1:17" x14ac:dyDescent="0.25">
      <c r="A871" t="s">
        <v>988</v>
      </c>
      <c r="B871" s="1">
        <v>45966</v>
      </c>
      <c r="C871" t="s">
        <v>54</v>
      </c>
      <c r="D871" t="s">
        <v>55</v>
      </c>
      <c r="E871" t="s">
        <v>35</v>
      </c>
      <c r="F871" t="s">
        <v>42</v>
      </c>
      <c r="G871" t="s">
        <v>22</v>
      </c>
      <c r="H871" t="s">
        <v>67</v>
      </c>
      <c r="I871" t="s">
        <v>154</v>
      </c>
      <c r="J871">
        <v>32</v>
      </c>
      <c r="K871">
        <v>37247.15</v>
      </c>
      <c r="L871">
        <v>1191908.8</v>
      </c>
      <c r="M871">
        <v>164546.70000000001</v>
      </c>
      <c r="N871">
        <v>78798.820000000007</v>
      </c>
      <c r="O871">
        <v>948563.28</v>
      </c>
      <c r="P871" t="s">
        <v>31</v>
      </c>
      <c r="Q871" t="s">
        <v>32</v>
      </c>
    </row>
    <row r="872" spans="1:17" x14ac:dyDescent="0.25">
      <c r="A872" t="s">
        <v>989</v>
      </c>
      <c r="B872" s="1">
        <v>46035</v>
      </c>
      <c r="C872" t="s">
        <v>79</v>
      </c>
      <c r="D872" t="s">
        <v>80</v>
      </c>
      <c r="E872" t="s">
        <v>20</v>
      </c>
      <c r="F872" t="s">
        <v>71</v>
      </c>
      <c r="G872" t="s">
        <v>22</v>
      </c>
      <c r="H872" t="s">
        <v>38</v>
      </c>
      <c r="I872" t="s">
        <v>86</v>
      </c>
      <c r="J872">
        <v>15</v>
      </c>
      <c r="K872">
        <v>48864.92</v>
      </c>
      <c r="L872">
        <v>732973.8</v>
      </c>
      <c r="M872">
        <v>114894.04</v>
      </c>
      <c r="N872">
        <v>0</v>
      </c>
      <c r="O872">
        <v>618079.76</v>
      </c>
      <c r="P872" t="s">
        <v>32</v>
      </c>
      <c r="Q872" t="s">
        <v>26</v>
      </c>
    </row>
    <row r="873" spans="1:17" x14ac:dyDescent="0.25">
      <c r="A873" t="s">
        <v>990</v>
      </c>
      <c r="B873" s="1">
        <v>46036</v>
      </c>
      <c r="C873" t="s">
        <v>79</v>
      </c>
      <c r="D873" t="s">
        <v>101</v>
      </c>
      <c r="E873" t="s">
        <v>20</v>
      </c>
      <c r="F873" t="s">
        <v>71</v>
      </c>
      <c r="G873" t="s">
        <v>22</v>
      </c>
      <c r="H873" t="s">
        <v>23</v>
      </c>
      <c r="I873" t="s">
        <v>24</v>
      </c>
      <c r="J873">
        <v>47</v>
      </c>
      <c r="K873">
        <v>11795.49</v>
      </c>
      <c r="L873">
        <v>554388.03</v>
      </c>
      <c r="M873">
        <v>0</v>
      </c>
      <c r="N873">
        <v>0</v>
      </c>
      <c r="O873">
        <v>554388.03</v>
      </c>
      <c r="P873" t="s">
        <v>73</v>
      </c>
      <c r="Q873" t="s">
        <v>26</v>
      </c>
    </row>
    <row r="874" spans="1:17" x14ac:dyDescent="0.25">
      <c r="A874" t="s">
        <v>991</v>
      </c>
      <c r="B874" s="1">
        <v>46017</v>
      </c>
      <c r="C874" t="s">
        <v>60</v>
      </c>
      <c r="D874" t="s">
        <v>65</v>
      </c>
      <c r="E874" t="s">
        <v>20</v>
      </c>
      <c r="F874" t="s">
        <v>137</v>
      </c>
      <c r="G874" t="s">
        <v>43</v>
      </c>
      <c r="H874" t="s">
        <v>23</v>
      </c>
      <c r="I874" t="s">
        <v>131</v>
      </c>
      <c r="J874">
        <v>48</v>
      </c>
      <c r="K874">
        <v>7454.59</v>
      </c>
      <c r="L874">
        <v>357820.32</v>
      </c>
      <c r="M874">
        <v>16792.34</v>
      </c>
      <c r="N874">
        <v>0</v>
      </c>
      <c r="O874">
        <v>341027.98</v>
      </c>
      <c r="P874" t="s">
        <v>73</v>
      </c>
      <c r="Q874" t="s">
        <v>26</v>
      </c>
    </row>
    <row r="875" spans="1:17" x14ac:dyDescent="0.25">
      <c r="A875" t="s">
        <v>992</v>
      </c>
      <c r="B875" s="1">
        <v>45967</v>
      </c>
      <c r="C875" t="s">
        <v>54</v>
      </c>
      <c r="D875" t="s">
        <v>97</v>
      </c>
      <c r="E875" t="s">
        <v>35</v>
      </c>
      <c r="F875" t="s">
        <v>21</v>
      </c>
      <c r="G875" t="s">
        <v>51</v>
      </c>
      <c r="H875" t="s">
        <v>94</v>
      </c>
      <c r="I875" t="s">
        <v>163</v>
      </c>
      <c r="J875">
        <v>5</v>
      </c>
      <c r="K875">
        <v>15847.08</v>
      </c>
      <c r="L875">
        <v>79235.399999999994</v>
      </c>
      <c r="M875">
        <v>6808.42</v>
      </c>
      <c r="N875">
        <v>0</v>
      </c>
      <c r="O875">
        <v>72426.98</v>
      </c>
      <c r="P875" t="s">
        <v>31</v>
      </c>
      <c r="Q875" t="s">
        <v>32</v>
      </c>
    </row>
    <row r="876" spans="1:17" x14ac:dyDescent="0.25">
      <c r="A876" t="s">
        <v>993</v>
      </c>
      <c r="B876" s="1">
        <v>46031</v>
      </c>
      <c r="C876" t="s">
        <v>60</v>
      </c>
      <c r="D876" t="s">
        <v>123</v>
      </c>
      <c r="E876" t="s">
        <v>41</v>
      </c>
      <c r="F876" t="s">
        <v>71</v>
      </c>
      <c r="G876" t="s">
        <v>43</v>
      </c>
      <c r="H876" t="s">
        <v>94</v>
      </c>
      <c r="I876" t="s">
        <v>163</v>
      </c>
      <c r="J876">
        <v>16</v>
      </c>
      <c r="K876">
        <v>1120.03</v>
      </c>
      <c r="L876">
        <v>17920.48</v>
      </c>
      <c r="M876">
        <v>1014.26</v>
      </c>
      <c r="N876">
        <v>0</v>
      </c>
      <c r="O876">
        <v>16906.22</v>
      </c>
      <c r="P876" t="s">
        <v>32</v>
      </c>
      <c r="Q876" t="s">
        <v>32</v>
      </c>
    </row>
    <row r="877" spans="1:17" x14ac:dyDescent="0.25">
      <c r="A877" t="s">
        <v>994</v>
      </c>
      <c r="B877" s="1">
        <v>45961</v>
      </c>
      <c r="C877" t="s">
        <v>54</v>
      </c>
      <c r="D877" t="s">
        <v>70</v>
      </c>
      <c r="E877" t="s">
        <v>20</v>
      </c>
      <c r="F877" t="s">
        <v>36</v>
      </c>
      <c r="G877" t="s">
        <v>85</v>
      </c>
      <c r="H877" t="s">
        <v>94</v>
      </c>
      <c r="I877" t="s">
        <v>95</v>
      </c>
      <c r="J877">
        <v>8</v>
      </c>
      <c r="K877">
        <v>14651.65</v>
      </c>
      <c r="L877">
        <v>117213.2</v>
      </c>
      <c r="M877">
        <v>2849.95</v>
      </c>
      <c r="N877">
        <v>0</v>
      </c>
      <c r="O877">
        <v>114363.25</v>
      </c>
      <c r="P877" t="s">
        <v>73</v>
      </c>
      <c r="Q877" t="s">
        <v>26</v>
      </c>
    </row>
    <row r="878" spans="1:17" x14ac:dyDescent="0.25">
      <c r="A878" t="s">
        <v>995</v>
      </c>
      <c r="B878" s="1">
        <v>45973</v>
      </c>
      <c r="C878" t="s">
        <v>79</v>
      </c>
      <c r="D878" t="s">
        <v>107</v>
      </c>
      <c r="E878" t="s">
        <v>41</v>
      </c>
      <c r="F878" t="s">
        <v>42</v>
      </c>
      <c r="G878" t="s">
        <v>85</v>
      </c>
      <c r="H878" t="s">
        <v>44</v>
      </c>
      <c r="I878" t="s">
        <v>124</v>
      </c>
      <c r="J878">
        <v>43</v>
      </c>
      <c r="K878">
        <v>48964.63</v>
      </c>
      <c r="L878">
        <v>2105479.09</v>
      </c>
      <c r="M878">
        <v>123606.75</v>
      </c>
      <c r="N878">
        <v>0</v>
      </c>
      <c r="O878">
        <v>1981872.34</v>
      </c>
      <c r="P878" t="s">
        <v>25</v>
      </c>
      <c r="Q878" t="s">
        <v>26</v>
      </c>
    </row>
    <row r="879" spans="1:17" x14ac:dyDescent="0.25">
      <c r="A879" t="s">
        <v>996</v>
      </c>
      <c r="B879" s="1">
        <v>46043</v>
      </c>
      <c r="C879" t="s">
        <v>60</v>
      </c>
      <c r="D879" t="s">
        <v>123</v>
      </c>
      <c r="E879" t="s">
        <v>35</v>
      </c>
      <c r="F879" t="s">
        <v>84</v>
      </c>
      <c r="G879" t="s">
        <v>29</v>
      </c>
      <c r="H879" t="s">
        <v>23</v>
      </c>
      <c r="I879" t="s">
        <v>110</v>
      </c>
      <c r="J879">
        <v>33</v>
      </c>
      <c r="K879">
        <v>17589.13</v>
      </c>
      <c r="L879">
        <v>580441.29</v>
      </c>
      <c r="M879">
        <v>64059.29</v>
      </c>
      <c r="N879">
        <v>29207.97</v>
      </c>
      <c r="O879">
        <v>487174.03</v>
      </c>
      <c r="P879" t="s">
        <v>32</v>
      </c>
      <c r="Q879" t="s">
        <v>26</v>
      </c>
    </row>
    <row r="880" spans="1:17" x14ac:dyDescent="0.25">
      <c r="A880" t="s">
        <v>997</v>
      </c>
      <c r="B880" s="1">
        <v>45977</v>
      </c>
      <c r="C880" t="s">
        <v>18</v>
      </c>
      <c r="D880" t="s">
        <v>75</v>
      </c>
      <c r="E880" t="s">
        <v>35</v>
      </c>
      <c r="F880" t="s">
        <v>105</v>
      </c>
      <c r="G880" t="s">
        <v>89</v>
      </c>
      <c r="H880" t="s">
        <v>67</v>
      </c>
      <c r="I880" t="s">
        <v>103</v>
      </c>
      <c r="J880">
        <v>4</v>
      </c>
      <c r="K880">
        <v>42499.05</v>
      </c>
      <c r="L880">
        <v>169996.2</v>
      </c>
      <c r="M880">
        <v>0</v>
      </c>
      <c r="N880">
        <v>0</v>
      </c>
      <c r="O880">
        <v>169996.2</v>
      </c>
      <c r="P880" t="s">
        <v>73</v>
      </c>
      <c r="Q880" t="s">
        <v>32</v>
      </c>
    </row>
    <row r="881" spans="1:17" x14ac:dyDescent="0.25">
      <c r="A881" t="s">
        <v>998</v>
      </c>
      <c r="B881" s="1">
        <v>46020</v>
      </c>
      <c r="C881" t="s">
        <v>47</v>
      </c>
      <c r="D881" t="s">
        <v>114</v>
      </c>
      <c r="E881" t="s">
        <v>41</v>
      </c>
      <c r="F881" t="s">
        <v>42</v>
      </c>
      <c r="G881" t="s">
        <v>102</v>
      </c>
      <c r="H881" t="s">
        <v>23</v>
      </c>
      <c r="I881" t="s">
        <v>131</v>
      </c>
      <c r="J881">
        <v>13</v>
      </c>
      <c r="K881">
        <v>27629.21</v>
      </c>
      <c r="L881">
        <v>359179.73</v>
      </c>
      <c r="M881">
        <v>0</v>
      </c>
      <c r="N881">
        <v>47360.15</v>
      </c>
      <c r="O881">
        <v>311819.58</v>
      </c>
      <c r="P881" t="s">
        <v>32</v>
      </c>
      <c r="Q881" t="s">
        <v>32</v>
      </c>
    </row>
    <row r="882" spans="1:17" x14ac:dyDescent="0.25">
      <c r="A882" t="s">
        <v>999</v>
      </c>
      <c r="B882" s="1">
        <v>45978</v>
      </c>
      <c r="C882" t="s">
        <v>54</v>
      </c>
      <c r="D882" t="s">
        <v>97</v>
      </c>
      <c r="E882" t="s">
        <v>41</v>
      </c>
      <c r="F882" t="s">
        <v>71</v>
      </c>
      <c r="G882" t="s">
        <v>138</v>
      </c>
      <c r="H882" t="s">
        <v>23</v>
      </c>
      <c r="I882" t="s">
        <v>110</v>
      </c>
      <c r="J882">
        <v>6</v>
      </c>
      <c r="K882">
        <v>7357</v>
      </c>
      <c r="L882">
        <v>44142</v>
      </c>
      <c r="M882">
        <v>1247.8399999999999</v>
      </c>
      <c r="N882">
        <v>0</v>
      </c>
      <c r="O882">
        <v>42894.16</v>
      </c>
      <c r="P882" t="s">
        <v>25</v>
      </c>
      <c r="Q882" t="s">
        <v>26</v>
      </c>
    </row>
    <row r="883" spans="1:17" x14ac:dyDescent="0.25">
      <c r="A883" t="s">
        <v>1000</v>
      </c>
      <c r="B883" s="1">
        <v>46034</v>
      </c>
      <c r="C883" t="s">
        <v>60</v>
      </c>
      <c r="D883" t="s">
        <v>61</v>
      </c>
      <c r="E883" t="s">
        <v>20</v>
      </c>
      <c r="F883" t="s">
        <v>84</v>
      </c>
      <c r="G883" t="s">
        <v>138</v>
      </c>
      <c r="H883" t="s">
        <v>94</v>
      </c>
      <c r="I883" t="s">
        <v>163</v>
      </c>
      <c r="J883">
        <v>7</v>
      </c>
      <c r="K883">
        <v>42049.01</v>
      </c>
      <c r="L883">
        <v>294343.07</v>
      </c>
      <c r="M883">
        <v>4407.3599999999997</v>
      </c>
      <c r="N883">
        <v>0</v>
      </c>
      <c r="O883">
        <v>289935.71000000002</v>
      </c>
      <c r="P883" t="s">
        <v>31</v>
      </c>
      <c r="Q883" t="s">
        <v>32</v>
      </c>
    </row>
    <row r="884" spans="1:17" x14ac:dyDescent="0.25">
      <c r="A884" t="s">
        <v>1001</v>
      </c>
      <c r="B884" s="1">
        <v>46018</v>
      </c>
      <c r="C884" t="s">
        <v>79</v>
      </c>
      <c r="D884" t="s">
        <v>101</v>
      </c>
      <c r="E884" t="s">
        <v>20</v>
      </c>
      <c r="F884" t="s">
        <v>42</v>
      </c>
      <c r="G884" t="s">
        <v>43</v>
      </c>
      <c r="H884" t="s">
        <v>23</v>
      </c>
      <c r="I884" t="s">
        <v>30</v>
      </c>
      <c r="J884">
        <v>19</v>
      </c>
      <c r="K884">
        <v>11724.48</v>
      </c>
      <c r="L884">
        <v>222765.12</v>
      </c>
      <c r="M884">
        <v>0</v>
      </c>
      <c r="N884">
        <v>0</v>
      </c>
      <c r="O884">
        <v>222765.12</v>
      </c>
      <c r="P884" t="s">
        <v>73</v>
      </c>
      <c r="Q884" t="s">
        <v>32</v>
      </c>
    </row>
    <row r="885" spans="1:17" x14ac:dyDescent="0.25">
      <c r="A885" t="s">
        <v>1002</v>
      </c>
      <c r="B885" s="1">
        <v>46037</v>
      </c>
      <c r="C885" t="s">
        <v>18</v>
      </c>
      <c r="D885" t="s">
        <v>34</v>
      </c>
      <c r="E885" t="s">
        <v>20</v>
      </c>
      <c r="F885" t="s">
        <v>105</v>
      </c>
      <c r="G885" t="s">
        <v>85</v>
      </c>
      <c r="H885" t="s">
        <v>38</v>
      </c>
      <c r="I885" t="s">
        <v>175</v>
      </c>
      <c r="J885">
        <v>47</v>
      </c>
      <c r="K885">
        <v>47198.82</v>
      </c>
      <c r="L885">
        <v>2218344.54</v>
      </c>
      <c r="M885">
        <v>320872.19</v>
      </c>
      <c r="N885">
        <v>0</v>
      </c>
      <c r="O885">
        <v>1897472.35</v>
      </c>
      <c r="P885" t="s">
        <v>25</v>
      </c>
      <c r="Q885" t="s">
        <v>26</v>
      </c>
    </row>
    <row r="886" spans="1:17" x14ac:dyDescent="0.25">
      <c r="A886" t="s">
        <v>1003</v>
      </c>
      <c r="B886" s="1">
        <v>45987</v>
      </c>
      <c r="C886" t="s">
        <v>60</v>
      </c>
      <c r="D886" t="s">
        <v>61</v>
      </c>
      <c r="E886" t="s">
        <v>41</v>
      </c>
      <c r="F886" t="s">
        <v>21</v>
      </c>
      <c r="G886" t="s">
        <v>56</v>
      </c>
      <c r="H886" t="s">
        <v>44</v>
      </c>
      <c r="I886" t="s">
        <v>124</v>
      </c>
      <c r="J886">
        <v>6</v>
      </c>
      <c r="K886">
        <v>39815.870000000003</v>
      </c>
      <c r="L886">
        <v>238895.22</v>
      </c>
      <c r="M886">
        <v>0</v>
      </c>
      <c r="N886">
        <v>0</v>
      </c>
      <c r="O886">
        <v>238895.22</v>
      </c>
      <c r="P886" t="s">
        <v>31</v>
      </c>
      <c r="Q886" t="s">
        <v>32</v>
      </c>
    </row>
    <row r="887" spans="1:17" x14ac:dyDescent="0.25">
      <c r="A887" t="s">
        <v>1004</v>
      </c>
      <c r="B887" s="1">
        <v>45960</v>
      </c>
      <c r="C887" t="s">
        <v>47</v>
      </c>
      <c r="D887" t="s">
        <v>88</v>
      </c>
      <c r="E887" t="s">
        <v>20</v>
      </c>
      <c r="F887" t="s">
        <v>21</v>
      </c>
      <c r="G887" t="s">
        <v>43</v>
      </c>
      <c r="H887" t="s">
        <v>67</v>
      </c>
      <c r="I887" t="s">
        <v>170</v>
      </c>
      <c r="J887">
        <v>6</v>
      </c>
      <c r="K887">
        <v>9288.11</v>
      </c>
      <c r="L887">
        <v>55728.66</v>
      </c>
      <c r="M887">
        <v>4599.8500000000004</v>
      </c>
      <c r="N887">
        <v>0</v>
      </c>
      <c r="O887">
        <v>51128.81</v>
      </c>
      <c r="P887" t="s">
        <v>31</v>
      </c>
      <c r="Q887" t="s">
        <v>32</v>
      </c>
    </row>
    <row r="888" spans="1:17" x14ac:dyDescent="0.25">
      <c r="A888" t="s">
        <v>1005</v>
      </c>
      <c r="B888" s="1">
        <v>46040</v>
      </c>
      <c r="C888" t="s">
        <v>60</v>
      </c>
      <c r="D888" t="s">
        <v>151</v>
      </c>
      <c r="E888" t="s">
        <v>20</v>
      </c>
      <c r="F888" t="s">
        <v>21</v>
      </c>
      <c r="G888" t="s">
        <v>66</v>
      </c>
      <c r="H888" t="s">
        <v>44</v>
      </c>
      <c r="I888" t="s">
        <v>281</v>
      </c>
      <c r="J888">
        <v>30</v>
      </c>
      <c r="K888">
        <v>21547.58</v>
      </c>
      <c r="L888">
        <v>646427.4</v>
      </c>
      <c r="M888">
        <v>0</v>
      </c>
      <c r="N888">
        <v>0</v>
      </c>
      <c r="O888">
        <v>646427.4</v>
      </c>
      <c r="P888" t="s">
        <v>73</v>
      </c>
      <c r="Q888" t="s">
        <v>26</v>
      </c>
    </row>
    <row r="889" spans="1:17" x14ac:dyDescent="0.25">
      <c r="A889" t="s">
        <v>1006</v>
      </c>
      <c r="B889" s="1">
        <v>46022</v>
      </c>
      <c r="C889" t="s">
        <v>18</v>
      </c>
      <c r="D889" t="s">
        <v>19</v>
      </c>
      <c r="E889" t="s">
        <v>49</v>
      </c>
      <c r="F889" t="s">
        <v>112</v>
      </c>
      <c r="G889" t="s">
        <v>56</v>
      </c>
      <c r="H889" t="s">
        <v>23</v>
      </c>
      <c r="I889" t="s">
        <v>52</v>
      </c>
      <c r="J889">
        <v>20</v>
      </c>
      <c r="K889">
        <v>18320.740000000002</v>
      </c>
      <c r="L889">
        <v>366414.8</v>
      </c>
      <c r="M889">
        <v>62442.53</v>
      </c>
      <c r="N889">
        <v>0</v>
      </c>
      <c r="O889">
        <v>303972.27</v>
      </c>
      <c r="P889" t="s">
        <v>32</v>
      </c>
      <c r="Q889" t="s">
        <v>32</v>
      </c>
    </row>
    <row r="890" spans="1:17" x14ac:dyDescent="0.25">
      <c r="A890" t="s">
        <v>1007</v>
      </c>
      <c r="B890" s="1">
        <v>45969</v>
      </c>
      <c r="C890" t="s">
        <v>79</v>
      </c>
      <c r="D890" t="s">
        <v>91</v>
      </c>
      <c r="E890" t="s">
        <v>49</v>
      </c>
      <c r="F890" t="s">
        <v>112</v>
      </c>
      <c r="G890" t="s">
        <v>89</v>
      </c>
      <c r="H890" t="s">
        <v>44</v>
      </c>
      <c r="I890" t="s">
        <v>141</v>
      </c>
      <c r="J890">
        <v>45</v>
      </c>
      <c r="K890">
        <v>21115.95</v>
      </c>
      <c r="L890">
        <v>950217.75</v>
      </c>
      <c r="M890">
        <v>122742.73</v>
      </c>
      <c r="N890">
        <v>0</v>
      </c>
      <c r="O890">
        <v>827475.02</v>
      </c>
      <c r="P890" t="s">
        <v>73</v>
      </c>
      <c r="Q890" t="s">
        <v>32</v>
      </c>
    </row>
    <row r="891" spans="1:17" x14ac:dyDescent="0.25">
      <c r="A891" t="s">
        <v>1008</v>
      </c>
      <c r="B891" s="1">
        <v>46000</v>
      </c>
      <c r="C891" t="s">
        <v>60</v>
      </c>
      <c r="D891" t="s">
        <v>123</v>
      </c>
      <c r="E891" t="s">
        <v>35</v>
      </c>
      <c r="F891" t="s">
        <v>50</v>
      </c>
      <c r="G891" t="s">
        <v>29</v>
      </c>
      <c r="H891" t="s">
        <v>57</v>
      </c>
      <c r="I891" t="s">
        <v>148</v>
      </c>
      <c r="J891">
        <v>43</v>
      </c>
      <c r="K891">
        <v>43645.55</v>
      </c>
      <c r="L891">
        <v>1876758.65</v>
      </c>
      <c r="M891">
        <v>177597.44</v>
      </c>
      <c r="N891">
        <v>0</v>
      </c>
      <c r="O891">
        <v>1699161.21</v>
      </c>
      <c r="P891" t="s">
        <v>73</v>
      </c>
      <c r="Q891" t="s">
        <v>32</v>
      </c>
    </row>
    <row r="892" spans="1:17" x14ac:dyDescent="0.25">
      <c r="A892" t="s">
        <v>1009</v>
      </c>
      <c r="B892" s="1">
        <v>45984</v>
      </c>
      <c r="C892" t="s">
        <v>47</v>
      </c>
      <c r="D892" t="s">
        <v>114</v>
      </c>
      <c r="E892" t="s">
        <v>35</v>
      </c>
      <c r="F892" t="s">
        <v>62</v>
      </c>
      <c r="G892" t="s">
        <v>89</v>
      </c>
      <c r="H892" t="s">
        <v>67</v>
      </c>
      <c r="I892" t="s">
        <v>170</v>
      </c>
      <c r="J892">
        <v>49</v>
      </c>
      <c r="K892">
        <v>43668.27</v>
      </c>
      <c r="L892">
        <v>2139745.23</v>
      </c>
      <c r="M892">
        <v>201111.13</v>
      </c>
      <c r="N892">
        <v>308885.05</v>
      </c>
      <c r="O892">
        <v>1629749.05</v>
      </c>
      <c r="P892" t="s">
        <v>25</v>
      </c>
      <c r="Q892" t="s">
        <v>26</v>
      </c>
    </row>
    <row r="893" spans="1:17" x14ac:dyDescent="0.25">
      <c r="A893" t="s">
        <v>1010</v>
      </c>
      <c r="B893" s="1">
        <v>45990</v>
      </c>
      <c r="C893" t="s">
        <v>60</v>
      </c>
      <c r="D893" t="s">
        <v>123</v>
      </c>
      <c r="E893" t="s">
        <v>41</v>
      </c>
      <c r="F893" t="s">
        <v>21</v>
      </c>
      <c r="G893" t="s">
        <v>98</v>
      </c>
      <c r="H893" t="s">
        <v>57</v>
      </c>
      <c r="I893" t="s">
        <v>58</v>
      </c>
      <c r="J893">
        <v>17</v>
      </c>
      <c r="K893">
        <v>48633.43</v>
      </c>
      <c r="L893">
        <v>826768.31</v>
      </c>
      <c r="M893">
        <v>0</v>
      </c>
      <c r="N893">
        <v>0</v>
      </c>
      <c r="O893">
        <v>826768.31</v>
      </c>
      <c r="P893" t="s">
        <v>73</v>
      </c>
      <c r="Q893" t="s">
        <v>32</v>
      </c>
    </row>
    <row r="894" spans="1:17" x14ac:dyDescent="0.25">
      <c r="A894" t="s">
        <v>1011</v>
      </c>
      <c r="B894" s="1">
        <v>45979</v>
      </c>
      <c r="C894" t="s">
        <v>60</v>
      </c>
      <c r="D894" t="s">
        <v>151</v>
      </c>
      <c r="E894" t="s">
        <v>41</v>
      </c>
      <c r="F894" t="s">
        <v>50</v>
      </c>
      <c r="G894" t="s">
        <v>138</v>
      </c>
      <c r="H894" t="s">
        <v>23</v>
      </c>
      <c r="I894" t="s">
        <v>131</v>
      </c>
      <c r="J894">
        <v>32</v>
      </c>
      <c r="K894">
        <v>7264.22</v>
      </c>
      <c r="L894">
        <v>232455.04000000001</v>
      </c>
      <c r="M894">
        <v>45410.87</v>
      </c>
      <c r="N894">
        <v>0</v>
      </c>
      <c r="O894">
        <v>187044.17</v>
      </c>
      <c r="P894" t="s">
        <v>73</v>
      </c>
      <c r="Q894" t="s">
        <v>32</v>
      </c>
    </row>
    <row r="895" spans="1:17" x14ac:dyDescent="0.25">
      <c r="A895" t="s">
        <v>1012</v>
      </c>
      <c r="B895" s="1">
        <v>45985</v>
      </c>
      <c r="C895" t="s">
        <v>79</v>
      </c>
      <c r="D895" t="s">
        <v>107</v>
      </c>
      <c r="E895" t="s">
        <v>41</v>
      </c>
      <c r="F895" t="s">
        <v>84</v>
      </c>
      <c r="G895" t="s">
        <v>81</v>
      </c>
      <c r="H895" t="s">
        <v>57</v>
      </c>
      <c r="I895" t="s">
        <v>160</v>
      </c>
      <c r="J895">
        <v>13</v>
      </c>
      <c r="K895">
        <v>41708.949999999997</v>
      </c>
      <c r="L895">
        <v>542216.35</v>
      </c>
      <c r="M895">
        <v>0</v>
      </c>
      <c r="N895">
        <v>0</v>
      </c>
      <c r="O895">
        <v>542216.35</v>
      </c>
      <c r="P895" t="s">
        <v>31</v>
      </c>
      <c r="Q895" t="s">
        <v>32</v>
      </c>
    </row>
    <row r="896" spans="1:17" x14ac:dyDescent="0.25">
      <c r="A896" t="s">
        <v>1013</v>
      </c>
      <c r="B896" s="1">
        <v>46024</v>
      </c>
      <c r="C896" t="s">
        <v>79</v>
      </c>
      <c r="D896" t="s">
        <v>101</v>
      </c>
      <c r="E896" t="s">
        <v>49</v>
      </c>
      <c r="F896" t="s">
        <v>21</v>
      </c>
      <c r="G896" t="s">
        <v>85</v>
      </c>
      <c r="H896" t="s">
        <v>57</v>
      </c>
      <c r="I896" t="s">
        <v>118</v>
      </c>
      <c r="J896">
        <v>3</v>
      </c>
      <c r="K896">
        <v>27123.53</v>
      </c>
      <c r="L896">
        <v>81370.59</v>
      </c>
      <c r="M896">
        <v>13857.99</v>
      </c>
      <c r="N896">
        <v>0</v>
      </c>
      <c r="O896">
        <v>67512.600000000006</v>
      </c>
      <c r="P896" t="s">
        <v>31</v>
      </c>
      <c r="Q896" t="s">
        <v>32</v>
      </c>
    </row>
    <row r="897" spans="1:17" x14ac:dyDescent="0.25">
      <c r="A897" t="s">
        <v>1014</v>
      </c>
      <c r="B897" s="1">
        <v>46010</v>
      </c>
      <c r="C897" t="s">
        <v>18</v>
      </c>
      <c r="D897" t="s">
        <v>75</v>
      </c>
      <c r="E897" t="s">
        <v>20</v>
      </c>
      <c r="F897" t="s">
        <v>42</v>
      </c>
      <c r="G897" t="s">
        <v>56</v>
      </c>
      <c r="H897" t="s">
        <v>94</v>
      </c>
      <c r="I897" t="s">
        <v>144</v>
      </c>
      <c r="J897">
        <v>9</v>
      </c>
      <c r="K897">
        <v>5501.99</v>
      </c>
      <c r="L897">
        <v>49517.91</v>
      </c>
      <c r="M897">
        <v>1545.48</v>
      </c>
      <c r="N897">
        <v>0</v>
      </c>
      <c r="O897">
        <v>47972.43</v>
      </c>
      <c r="P897" t="s">
        <v>73</v>
      </c>
      <c r="Q897" t="s">
        <v>32</v>
      </c>
    </row>
    <row r="898" spans="1:17" x14ac:dyDescent="0.25">
      <c r="A898" t="s">
        <v>1015</v>
      </c>
      <c r="B898" s="1">
        <v>46003</v>
      </c>
      <c r="C898" t="s">
        <v>60</v>
      </c>
      <c r="D898" t="s">
        <v>61</v>
      </c>
      <c r="E898" t="s">
        <v>49</v>
      </c>
      <c r="F898" t="s">
        <v>36</v>
      </c>
      <c r="G898" t="s">
        <v>138</v>
      </c>
      <c r="H898" t="s">
        <v>23</v>
      </c>
      <c r="I898" t="s">
        <v>52</v>
      </c>
      <c r="J898">
        <v>42</v>
      </c>
      <c r="K898">
        <v>47951.46</v>
      </c>
      <c r="L898">
        <v>2013961.32</v>
      </c>
      <c r="M898">
        <v>0</v>
      </c>
      <c r="N898">
        <v>0</v>
      </c>
      <c r="O898">
        <v>2013961.32</v>
      </c>
      <c r="P898" t="s">
        <v>73</v>
      </c>
      <c r="Q898" t="s">
        <v>32</v>
      </c>
    </row>
    <row r="899" spans="1:17" x14ac:dyDescent="0.25">
      <c r="A899" t="s">
        <v>1016</v>
      </c>
      <c r="B899" s="1">
        <v>45965</v>
      </c>
      <c r="C899" t="s">
        <v>79</v>
      </c>
      <c r="D899" t="s">
        <v>91</v>
      </c>
      <c r="E899" t="s">
        <v>49</v>
      </c>
      <c r="F899" t="s">
        <v>50</v>
      </c>
      <c r="G899" t="s">
        <v>85</v>
      </c>
      <c r="H899" t="s">
        <v>67</v>
      </c>
      <c r="I899" t="s">
        <v>170</v>
      </c>
      <c r="J899">
        <v>7</v>
      </c>
      <c r="K899">
        <v>50149.82</v>
      </c>
      <c r="L899">
        <v>351048.74</v>
      </c>
      <c r="M899">
        <v>44378.79</v>
      </c>
      <c r="N899">
        <v>0</v>
      </c>
      <c r="O899">
        <v>306669.95</v>
      </c>
      <c r="P899" t="s">
        <v>32</v>
      </c>
      <c r="Q899" t="s">
        <v>32</v>
      </c>
    </row>
    <row r="900" spans="1:17" x14ac:dyDescent="0.25">
      <c r="A900" t="s">
        <v>1017</v>
      </c>
      <c r="B900" s="1">
        <v>45985</v>
      </c>
      <c r="C900" t="s">
        <v>47</v>
      </c>
      <c r="D900" t="s">
        <v>48</v>
      </c>
      <c r="E900" t="s">
        <v>49</v>
      </c>
      <c r="F900" t="s">
        <v>62</v>
      </c>
      <c r="G900" t="s">
        <v>63</v>
      </c>
      <c r="H900" t="s">
        <v>44</v>
      </c>
      <c r="I900" t="s">
        <v>45</v>
      </c>
      <c r="J900">
        <v>27</v>
      </c>
      <c r="K900">
        <v>22129.01</v>
      </c>
      <c r="L900">
        <v>597483.27</v>
      </c>
      <c r="M900">
        <v>0</v>
      </c>
      <c r="N900">
        <v>0</v>
      </c>
      <c r="O900">
        <v>597483.27</v>
      </c>
      <c r="P900" t="s">
        <v>31</v>
      </c>
      <c r="Q900" t="s">
        <v>32</v>
      </c>
    </row>
    <row r="901" spans="1:17" x14ac:dyDescent="0.25">
      <c r="A901" t="s">
        <v>1018</v>
      </c>
      <c r="B901" s="1">
        <v>46026</v>
      </c>
      <c r="C901" t="s">
        <v>47</v>
      </c>
      <c r="D901" t="s">
        <v>114</v>
      </c>
      <c r="E901" t="s">
        <v>41</v>
      </c>
      <c r="F901" t="s">
        <v>71</v>
      </c>
      <c r="G901" t="s">
        <v>22</v>
      </c>
      <c r="H901" t="s">
        <v>57</v>
      </c>
      <c r="I901" t="s">
        <v>118</v>
      </c>
      <c r="J901">
        <v>12</v>
      </c>
      <c r="K901">
        <v>39356.17</v>
      </c>
      <c r="L901">
        <v>472274.04</v>
      </c>
      <c r="M901">
        <v>49622.46</v>
      </c>
      <c r="N901">
        <v>0</v>
      </c>
      <c r="O901">
        <v>422651.58</v>
      </c>
      <c r="P901" t="s">
        <v>25</v>
      </c>
      <c r="Q901" t="s">
        <v>26</v>
      </c>
    </row>
    <row r="902" spans="1:17" x14ac:dyDescent="0.25">
      <c r="A902" t="s">
        <v>1019</v>
      </c>
      <c r="B902" s="1">
        <v>45979</v>
      </c>
      <c r="C902" t="s">
        <v>18</v>
      </c>
      <c r="D902" t="s">
        <v>75</v>
      </c>
      <c r="E902" t="s">
        <v>20</v>
      </c>
      <c r="F902" t="s">
        <v>71</v>
      </c>
      <c r="G902" t="s">
        <v>98</v>
      </c>
      <c r="H902" t="s">
        <v>23</v>
      </c>
      <c r="I902" t="s">
        <v>110</v>
      </c>
      <c r="J902">
        <v>14</v>
      </c>
      <c r="K902">
        <v>10892.61</v>
      </c>
      <c r="L902">
        <v>152496.54</v>
      </c>
      <c r="M902">
        <v>13665.4</v>
      </c>
      <c r="N902">
        <v>0</v>
      </c>
      <c r="O902">
        <v>138831.14000000001</v>
      </c>
      <c r="P902" t="s">
        <v>31</v>
      </c>
      <c r="Q902" t="s">
        <v>32</v>
      </c>
    </row>
    <row r="903" spans="1:17" x14ac:dyDescent="0.25">
      <c r="A903" t="s">
        <v>1020</v>
      </c>
      <c r="B903" s="1">
        <v>45988</v>
      </c>
      <c r="C903" t="s">
        <v>79</v>
      </c>
      <c r="D903" t="s">
        <v>91</v>
      </c>
      <c r="E903" t="s">
        <v>35</v>
      </c>
      <c r="F903" t="s">
        <v>21</v>
      </c>
      <c r="G903" t="s">
        <v>63</v>
      </c>
      <c r="H903" t="s">
        <v>38</v>
      </c>
      <c r="I903" t="s">
        <v>108</v>
      </c>
      <c r="J903">
        <v>24</v>
      </c>
      <c r="K903">
        <v>4263.3100000000004</v>
      </c>
      <c r="L903">
        <v>102319.44</v>
      </c>
      <c r="M903">
        <v>0</v>
      </c>
      <c r="N903">
        <v>0</v>
      </c>
      <c r="O903">
        <v>102319.44</v>
      </c>
      <c r="P903" t="s">
        <v>32</v>
      </c>
      <c r="Q903" t="s">
        <v>32</v>
      </c>
    </row>
    <row r="904" spans="1:17" x14ac:dyDescent="0.25">
      <c r="A904" t="s">
        <v>1021</v>
      </c>
      <c r="B904" s="1">
        <v>46020</v>
      </c>
      <c r="C904" t="s">
        <v>79</v>
      </c>
      <c r="D904" t="s">
        <v>101</v>
      </c>
      <c r="E904" t="s">
        <v>35</v>
      </c>
      <c r="F904" t="s">
        <v>71</v>
      </c>
      <c r="G904" t="s">
        <v>140</v>
      </c>
      <c r="H904" t="s">
        <v>57</v>
      </c>
      <c r="I904" t="s">
        <v>148</v>
      </c>
      <c r="J904">
        <v>32</v>
      </c>
      <c r="K904">
        <v>11853.29</v>
      </c>
      <c r="L904">
        <v>379305.28</v>
      </c>
      <c r="M904">
        <v>0</v>
      </c>
      <c r="N904">
        <v>15990.9</v>
      </c>
      <c r="O904">
        <v>363314.38</v>
      </c>
      <c r="P904" t="s">
        <v>73</v>
      </c>
      <c r="Q904" t="s">
        <v>26</v>
      </c>
    </row>
    <row r="905" spans="1:17" x14ac:dyDescent="0.25">
      <c r="A905" t="s">
        <v>1022</v>
      </c>
      <c r="B905" s="1">
        <v>45965</v>
      </c>
      <c r="C905" t="s">
        <v>47</v>
      </c>
      <c r="D905" t="s">
        <v>48</v>
      </c>
      <c r="E905" t="s">
        <v>49</v>
      </c>
      <c r="F905" t="s">
        <v>50</v>
      </c>
      <c r="G905" t="s">
        <v>140</v>
      </c>
      <c r="H905" t="s">
        <v>23</v>
      </c>
      <c r="I905" t="s">
        <v>52</v>
      </c>
      <c r="J905">
        <v>43</v>
      </c>
      <c r="K905">
        <v>4456.3599999999997</v>
      </c>
      <c r="L905">
        <v>191623.48</v>
      </c>
      <c r="M905">
        <v>0</v>
      </c>
      <c r="N905">
        <v>0</v>
      </c>
      <c r="O905">
        <v>191623.48</v>
      </c>
      <c r="P905" t="s">
        <v>73</v>
      </c>
      <c r="Q905" t="s">
        <v>32</v>
      </c>
    </row>
    <row r="906" spans="1:17" x14ac:dyDescent="0.25">
      <c r="A906" t="s">
        <v>1023</v>
      </c>
      <c r="B906" s="1">
        <v>46007</v>
      </c>
      <c r="C906" t="s">
        <v>60</v>
      </c>
      <c r="D906" t="s">
        <v>151</v>
      </c>
      <c r="E906" t="s">
        <v>35</v>
      </c>
      <c r="F906" t="s">
        <v>137</v>
      </c>
      <c r="G906" t="s">
        <v>63</v>
      </c>
      <c r="H906" t="s">
        <v>38</v>
      </c>
      <c r="I906" t="s">
        <v>120</v>
      </c>
      <c r="J906">
        <v>33</v>
      </c>
      <c r="K906">
        <v>26931.06</v>
      </c>
      <c r="L906">
        <v>888724.98</v>
      </c>
      <c r="M906">
        <v>0</v>
      </c>
      <c r="N906">
        <v>0</v>
      </c>
      <c r="O906">
        <v>888724.98</v>
      </c>
      <c r="P906" t="s">
        <v>25</v>
      </c>
      <c r="Q906" t="s">
        <v>26</v>
      </c>
    </row>
    <row r="907" spans="1:17" x14ac:dyDescent="0.25">
      <c r="A907" t="s">
        <v>1024</v>
      </c>
      <c r="B907" s="1">
        <v>46027</v>
      </c>
      <c r="C907" t="s">
        <v>18</v>
      </c>
      <c r="D907" t="s">
        <v>28</v>
      </c>
      <c r="E907" t="s">
        <v>41</v>
      </c>
      <c r="F907" t="s">
        <v>62</v>
      </c>
      <c r="G907" t="s">
        <v>37</v>
      </c>
      <c r="H907" t="s">
        <v>23</v>
      </c>
      <c r="I907" t="s">
        <v>24</v>
      </c>
      <c r="J907">
        <v>18</v>
      </c>
      <c r="K907">
        <v>19126.009999999998</v>
      </c>
      <c r="L907">
        <v>344268.18</v>
      </c>
      <c r="M907">
        <v>44530.81</v>
      </c>
      <c r="N907">
        <v>0</v>
      </c>
      <c r="O907">
        <v>299737.37</v>
      </c>
      <c r="P907" t="s">
        <v>32</v>
      </c>
      <c r="Q907" t="s">
        <v>32</v>
      </c>
    </row>
    <row r="908" spans="1:17" x14ac:dyDescent="0.25">
      <c r="A908" t="s">
        <v>1025</v>
      </c>
      <c r="B908" s="1">
        <v>46041</v>
      </c>
      <c r="C908" t="s">
        <v>60</v>
      </c>
      <c r="D908" t="s">
        <v>61</v>
      </c>
      <c r="E908" t="s">
        <v>49</v>
      </c>
      <c r="F908" t="s">
        <v>50</v>
      </c>
      <c r="G908" t="s">
        <v>81</v>
      </c>
      <c r="H908" t="s">
        <v>38</v>
      </c>
      <c r="I908" t="s">
        <v>108</v>
      </c>
      <c r="J908">
        <v>30</v>
      </c>
      <c r="K908">
        <v>40922.1</v>
      </c>
      <c r="L908">
        <v>1227663</v>
      </c>
      <c r="M908">
        <v>0</v>
      </c>
      <c r="N908">
        <v>0</v>
      </c>
      <c r="O908">
        <v>1227663</v>
      </c>
      <c r="P908" t="s">
        <v>31</v>
      </c>
      <c r="Q908" t="s">
        <v>32</v>
      </c>
    </row>
    <row r="909" spans="1:17" x14ac:dyDescent="0.25">
      <c r="A909" t="s">
        <v>1026</v>
      </c>
      <c r="B909" s="1">
        <v>45990</v>
      </c>
      <c r="C909" t="s">
        <v>18</v>
      </c>
      <c r="D909" t="s">
        <v>28</v>
      </c>
      <c r="E909" t="s">
        <v>49</v>
      </c>
      <c r="F909" t="s">
        <v>84</v>
      </c>
      <c r="G909" t="s">
        <v>37</v>
      </c>
      <c r="H909" t="s">
        <v>67</v>
      </c>
      <c r="I909" t="s">
        <v>103</v>
      </c>
      <c r="J909">
        <v>31</v>
      </c>
      <c r="K909">
        <v>29138.89</v>
      </c>
      <c r="L909">
        <v>903305.59</v>
      </c>
      <c r="M909">
        <v>0</v>
      </c>
      <c r="N909">
        <v>0</v>
      </c>
      <c r="O909">
        <v>903305.59</v>
      </c>
      <c r="P909" t="s">
        <v>32</v>
      </c>
      <c r="Q909" t="s">
        <v>32</v>
      </c>
    </row>
    <row r="910" spans="1:17" x14ac:dyDescent="0.25">
      <c r="A910" t="s">
        <v>1027</v>
      </c>
      <c r="B910" s="1">
        <v>45976</v>
      </c>
      <c r="C910" t="s">
        <v>18</v>
      </c>
      <c r="D910" t="s">
        <v>34</v>
      </c>
      <c r="E910" t="s">
        <v>41</v>
      </c>
      <c r="F910" t="s">
        <v>62</v>
      </c>
      <c r="G910" t="s">
        <v>138</v>
      </c>
      <c r="H910" t="s">
        <v>44</v>
      </c>
      <c r="I910" t="s">
        <v>135</v>
      </c>
      <c r="J910">
        <v>48</v>
      </c>
      <c r="K910">
        <v>13494.34</v>
      </c>
      <c r="L910">
        <v>647728.31999999995</v>
      </c>
      <c r="M910">
        <v>77211.31</v>
      </c>
      <c r="N910">
        <v>0</v>
      </c>
      <c r="O910">
        <v>570517.01</v>
      </c>
      <c r="P910" t="s">
        <v>31</v>
      </c>
      <c r="Q910" t="s">
        <v>32</v>
      </c>
    </row>
    <row r="911" spans="1:17" x14ac:dyDescent="0.25">
      <c r="A911" t="s">
        <v>1028</v>
      </c>
      <c r="B911" s="1">
        <v>45967</v>
      </c>
      <c r="C911" t="s">
        <v>18</v>
      </c>
      <c r="D911" t="s">
        <v>34</v>
      </c>
      <c r="E911" t="s">
        <v>49</v>
      </c>
      <c r="F911" t="s">
        <v>50</v>
      </c>
      <c r="G911" t="s">
        <v>102</v>
      </c>
      <c r="H911" t="s">
        <v>23</v>
      </c>
      <c r="I911" t="s">
        <v>52</v>
      </c>
      <c r="J911">
        <v>47</v>
      </c>
      <c r="K911">
        <v>19169.52</v>
      </c>
      <c r="L911">
        <v>900967.44</v>
      </c>
      <c r="M911">
        <v>0</v>
      </c>
      <c r="N911">
        <v>121262.25</v>
      </c>
      <c r="O911">
        <v>779705.19</v>
      </c>
      <c r="P911" t="s">
        <v>32</v>
      </c>
      <c r="Q911" t="s">
        <v>26</v>
      </c>
    </row>
    <row r="912" spans="1:17" x14ac:dyDescent="0.25">
      <c r="A912" t="s">
        <v>1029</v>
      </c>
      <c r="B912" s="1">
        <v>45988</v>
      </c>
      <c r="C912" t="s">
        <v>60</v>
      </c>
      <c r="D912" t="s">
        <v>151</v>
      </c>
      <c r="E912" t="s">
        <v>41</v>
      </c>
      <c r="F912" t="s">
        <v>112</v>
      </c>
      <c r="G912" t="s">
        <v>66</v>
      </c>
      <c r="H912" t="s">
        <v>44</v>
      </c>
      <c r="I912" t="s">
        <v>141</v>
      </c>
      <c r="J912">
        <v>50</v>
      </c>
      <c r="K912">
        <v>25450.15</v>
      </c>
      <c r="L912">
        <v>1272507.5</v>
      </c>
      <c r="M912">
        <v>236027.29</v>
      </c>
      <c r="N912">
        <v>0</v>
      </c>
      <c r="O912">
        <v>1036480.21</v>
      </c>
      <c r="P912" t="s">
        <v>32</v>
      </c>
      <c r="Q912" t="s">
        <v>32</v>
      </c>
    </row>
    <row r="913" spans="1:17" x14ac:dyDescent="0.25">
      <c r="A913" t="s">
        <v>1030</v>
      </c>
      <c r="B913" s="1">
        <v>46034</v>
      </c>
      <c r="C913" t="s">
        <v>79</v>
      </c>
      <c r="D913" t="s">
        <v>91</v>
      </c>
      <c r="E913" t="s">
        <v>35</v>
      </c>
      <c r="F913" t="s">
        <v>105</v>
      </c>
      <c r="G913" t="s">
        <v>140</v>
      </c>
      <c r="H913" t="s">
        <v>38</v>
      </c>
      <c r="I913" t="s">
        <v>108</v>
      </c>
      <c r="J913">
        <v>22</v>
      </c>
      <c r="K913">
        <v>7472.59</v>
      </c>
      <c r="L913">
        <v>164396.98000000001</v>
      </c>
      <c r="M913">
        <v>14634.64</v>
      </c>
      <c r="N913">
        <v>0</v>
      </c>
      <c r="O913">
        <v>149762.34</v>
      </c>
      <c r="P913" t="s">
        <v>31</v>
      </c>
      <c r="Q913" t="s">
        <v>32</v>
      </c>
    </row>
    <row r="914" spans="1:17" x14ac:dyDescent="0.25">
      <c r="A914" t="s">
        <v>1031</v>
      </c>
      <c r="B914" s="1">
        <v>46006</v>
      </c>
      <c r="C914" t="s">
        <v>60</v>
      </c>
      <c r="D914" t="s">
        <v>61</v>
      </c>
      <c r="E914" t="s">
        <v>20</v>
      </c>
      <c r="F914" t="s">
        <v>84</v>
      </c>
      <c r="G914" t="s">
        <v>89</v>
      </c>
      <c r="H914" t="s">
        <v>67</v>
      </c>
      <c r="I914" t="s">
        <v>201</v>
      </c>
      <c r="J914">
        <v>35</v>
      </c>
      <c r="K914">
        <v>24386.75</v>
      </c>
      <c r="L914">
        <v>853536.25</v>
      </c>
      <c r="M914">
        <v>103614.74</v>
      </c>
      <c r="N914">
        <v>18405.12</v>
      </c>
      <c r="O914">
        <v>731516.39</v>
      </c>
      <c r="P914" t="s">
        <v>73</v>
      </c>
      <c r="Q914" t="s">
        <v>32</v>
      </c>
    </row>
    <row r="915" spans="1:17" x14ac:dyDescent="0.25">
      <c r="A915" t="s">
        <v>1032</v>
      </c>
      <c r="B915" s="1">
        <v>45975</v>
      </c>
      <c r="C915" t="s">
        <v>60</v>
      </c>
      <c r="D915" t="s">
        <v>61</v>
      </c>
      <c r="E915" t="s">
        <v>35</v>
      </c>
      <c r="F915" t="s">
        <v>21</v>
      </c>
      <c r="G915" t="s">
        <v>63</v>
      </c>
      <c r="H915" t="s">
        <v>67</v>
      </c>
      <c r="I915" t="s">
        <v>201</v>
      </c>
      <c r="J915">
        <v>29</v>
      </c>
      <c r="K915">
        <v>41900.26</v>
      </c>
      <c r="L915">
        <v>1215107.54</v>
      </c>
      <c r="M915">
        <v>131472.03</v>
      </c>
      <c r="N915">
        <v>264051.33</v>
      </c>
      <c r="O915">
        <v>819584.18</v>
      </c>
      <c r="P915" t="s">
        <v>32</v>
      </c>
      <c r="Q915" t="s">
        <v>26</v>
      </c>
    </row>
    <row r="916" spans="1:17" x14ac:dyDescent="0.25">
      <c r="A916" t="s">
        <v>1033</v>
      </c>
      <c r="B916" s="1">
        <v>45980</v>
      </c>
      <c r="C916" t="s">
        <v>18</v>
      </c>
      <c r="D916" t="s">
        <v>19</v>
      </c>
      <c r="E916" t="s">
        <v>49</v>
      </c>
      <c r="F916" t="s">
        <v>112</v>
      </c>
      <c r="G916" t="s">
        <v>56</v>
      </c>
      <c r="H916" t="s">
        <v>57</v>
      </c>
      <c r="I916" t="s">
        <v>148</v>
      </c>
      <c r="J916">
        <v>42</v>
      </c>
      <c r="K916">
        <v>20589.169999999998</v>
      </c>
      <c r="L916">
        <v>864745.14</v>
      </c>
      <c r="M916">
        <v>0</v>
      </c>
      <c r="N916">
        <v>0</v>
      </c>
      <c r="O916">
        <v>864745.14</v>
      </c>
      <c r="P916" t="s">
        <v>73</v>
      </c>
      <c r="Q916" t="s">
        <v>32</v>
      </c>
    </row>
    <row r="917" spans="1:17" x14ac:dyDescent="0.25">
      <c r="A917" t="s">
        <v>1034</v>
      </c>
      <c r="B917" s="1">
        <v>45976</v>
      </c>
      <c r="C917" t="s">
        <v>54</v>
      </c>
      <c r="D917" t="s">
        <v>133</v>
      </c>
      <c r="E917" t="s">
        <v>41</v>
      </c>
      <c r="F917" t="s">
        <v>105</v>
      </c>
      <c r="G917" t="s">
        <v>98</v>
      </c>
      <c r="H917" t="s">
        <v>57</v>
      </c>
      <c r="I917" t="s">
        <v>118</v>
      </c>
      <c r="J917">
        <v>41</v>
      </c>
      <c r="K917">
        <v>46078.68</v>
      </c>
      <c r="L917">
        <v>1889225.88</v>
      </c>
      <c r="M917">
        <v>0</v>
      </c>
      <c r="N917">
        <v>0</v>
      </c>
      <c r="O917">
        <v>1889225.88</v>
      </c>
      <c r="P917" t="s">
        <v>32</v>
      </c>
      <c r="Q917" t="s">
        <v>32</v>
      </c>
    </row>
    <row r="918" spans="1:17" x14ac:dyDescent="0.25">
      <c r="A918" t="s">
        <v>1035</v>
      </c>
      <c r="B918" s="1">
        <v>46037</v>
      </c>
      <c r="C918" t="s">
        <v>18</v>
      </c>
      <c r="D918" t="s">
        <v>75</v>
      </c>
      <c r="E918" t="s">
        <v>20</v>
      </c>
      <c r="F918" t="s">
        <v>21</v>
      </c>
      <c r="G918" t="s">
        <v>29</v>
      </c>
      <c r="H918" t="s">
        <v>94</v>
      </c>
      <c r="I918" t="s">
        <v>163</v>
      </c>
      <c r="J918">
        <v>31</v>
      </c>
      <c r="K918">
        <v>12356.66</v>
      </c>
      <c r="L918">
        <v>383056.46</v>
      </c>
      <c r="M918">
        <v>19365.240000000002</v>
      </c>
      <c r="N918">
        <v>0</v>
      </c>
      <c r="O918">
        <v>363691.22</v>
      </c>
      <c r="P918" t="s">
        <v>25</v>
      </c>
      <c r="Q918" t="s">
        <v>26</v>
      </c>
    </row>
    <row r="919" spans="1:17" x14ac:dyDescent="0.25">
      <c r="A919" t="s">
        <v>1036</v>
      </c>
      <c r="B919" s="1">
        <v>45974</v>
      </c>
      <c r="C919" t="s">
        <v>18</v>
      </c>
      <c r="D919" t="s">
        <v>34</v>
      </c>
      <c r="E919" t="s">
        <v>49</v>
      </c>
      <c r="F919" t="s">
        <v>21</v>
      </c>
      <c r="G919" t="s">
        <v>43</v>
      </c>
      <c r="H919" t="s">
        <v>94</v>
      </c>
      <c r="I919" t="s">
        <v>177</v>
      </c>
      <c r="J919">
        <v>47</v>
      </c>
      <c r="K919">
        <v>19213.849999999999</v>
      </c>
      <c r="L919">
        <v>903050.95</v>
      </c>
      <c r="M919">
        <v>156716.78</v>
      </c>
      <c r="N919">
        <v>0</v>
      </c>
      <c r="O919">
        <v>746334.17</v>
      </c>
      <c r="P919" t="s">
        <v>31</v>
      </c>
      <c r="Q919" t="s">
        <v>32</v>
      </c>
    </row>
    <row r="920" spans="1:17" x14ac:dyDescent="0.25">
      <c r="A920" t="s">
        <v>1037</v>
      </c>
      <c r="B920" s="1">
        <v>46006</v>
      </c>
      <c r="C920" t="s">
        <v>18</v>
      </c>
      <c r="D920" t="s">
        <v>34</v>
      </c>
      <c r="E920" t="s">
        <v>41</v>
      </c>
      <c r="F920" t="s">
        <v>21</v>
      </c>
      <c r="G920" t="s">
        <v>89</v>
      </c>
      <c r="H920" t="s">
        <v>67</v>
      </c>
      <c r="I920" t="s">
        <v>77</v>
      </c>
      <c r="J920">
        <v>1</v>
      </c>
      <c r="K920">
        <v>24146.49</v>
      </c>
      <c r="L920">
        <v>24146.49</v>
      </c>
      <c r="M920">
        <v>601.73</v>
      </c>
      <c r="N920">
        <v>0</v>
      </c>
      <c r="O920">
        <v>23544.76</v>
      </c>
      <c r="P920" t="s">
        <v>25</v>
      </c>
      <c r="Q920" t="s">
        <v>26</v>
      </c>
    </row>
    <row r="921" spans="1:17" x14ac:dyDescent="0.25">
      <c r="A921" t="s">
        <v>1038</v>
      </c>
      <c r="B921" s="1">
        <v>45955</v>
      </c>
      <c r="C921" t="s">
        <v>18</v>
      </c>
      <c r="D921" t="s">
        <v>34</v>
      </c>
      <c r="E921" t="s">
        <v>41</v>
      </c>
      <c r="F921" t="s">
        <v>62</v>
      </c>
      <c r="G921" t="s">
        <v>66</v>
      </c>
      <c r="H921" t="s">
        <v>67</v>
      </c>
      <c r="I921" t="s">
        <v>201</v>
      </c>
      <c r="J921">
        <v>11</v>
      </c>
      <c r="K921">
        <v>3527.23</v>
      </c>
      <c r="L921">
        <v>38799.53</v>
      </c>
      <c r="M921">
        <v>0</v>
      </c>
      <c r="N921">
        <v>0</v>
      </c>
      <c r="O921">
        <v>38799.53</v>
      </c>
      <c r="P921" t="s">
        <v>25</v>
      </c>
      <c r="Q921" t="s">
        <v>26</v>
      </c>
    </row>
    <row r="922" spans="1:17" x14ac:dyDescent="0.25">
      <c r="A922" t="s">
        <v>1039</v>
      </c>
      <c r="B922" s="1">
        <v>46033</v>
      </c>
      <c r="C922" t="s">
        <v>18</v>
      </c>
      <c r="D922" t="s">
        <v>19</v>
      </c>
      <c r="E922" t="s">
        <v>41</v>
      </c>
      <c r="F922" t="s">
        <v>105</v>
      </c>
      <c r="G922" t="s">
        <v>51</v>
      </c>
      <c r="H922" t="s">
        <v>57</v>
      </c>
      <c r="I922" t="s">
        <v>72</v>
      </c>
      <c r="J922">
        <v>15</v>
      </c>
      <c r="K922">
        <v>13439.86</v>
      </c>
      <c r="L922">
        <v>201597.9</v>
      </c>
      <c r="M922">
        <v>19023.79</v>
      </c>
      <c r="N922">
        <v>0</v>
      </c>
      <c r="O922">
        <v>182574.11</v>
      </c>
      <c r="P922" t="s">
        <v>73</v>
      </c>
      <c r="Q922" t="s">
        <v>32</v>
      </c>
    </row>
    <row r="923" spans="1:17" x14ac:dyDescent="0.25">
      <c r="A923" t="s">
        <v>1040</v>
      </c>
      <c r="B923" s="1">
        <v>45954</v>
      </c>
      <c r="C923" t="s">
        <v>54</v>
      </c>
      <c r="D923" t="s">
        <v>55</v>
      </c>
      <c r="E923" t="s">
        <v>35</v>
      </c>
      <c r="F923" t="s">
        <v>62</v>
      </c>
      <c r="G923" t="s">
        <v>51</v>
      </c>
      <c r="H923" t="s">
        <v>94</v>
      </c>
      <c r="I923" t="s">
        <v>144</v>
      </c>
      <c r="J923">
        <v>15</v>
      </c>
      <c r="K923">
        <v>49773.62</v>
      </c>
      <c r="L923">
        <v>746604.3</v>
      </c>
      <c r="M923">
        <v>52754.29</v>
      </c>
      <c r="N923">
        <v>0</v>
      </c>
      <c r="O923">
        <v>693850.01</v>
      </c>
      <c r="P923" t="s">
        <v>25</v>
      </c>
      <c r="Q923" t="s">
        <v>26</v>
      </c>
    </row>
    <row r="924" spans="1:17" x14ac:dyDescent="0.25">
      <c r="A924" t="s">
        <v>1041</v>
      </c>
      <c r="B924" s="1">
        <v>45967</v>
      </c>
      <c r="C924" t="s">
        <v>79</v>
      </c>
      <c r="D924" t="s">
        <v>91</v>
      </c>
      <c r="E924" t="s">
        <v>41</v>
      </c>
      <c r="F924" t="s">
        <v>71</v>
      </c>
      <c r="G924" t="s">
        <v>29</v>
      </c>
      <c r="H924" t="s">
        <v>94</v>
      </c>
      <c r="I924" t="s">
        <v>144</v>
      </c>
      <c r="J924">
        <v>22</v>
      </c>
      <c r="K924">
        <v>20869.39</v>
      </c>
      <c r="L924">
        <v>459126.58</v>
      </c>
      <c r="M924">
        <v>87929.95</v>
      </c>
      <c r="N924">
        <v>0</v>
      </c>
      <c r="O924">
        <v>371196.63</v>
      </c>
      <c r="P924" t="s">
        <v>25</v>
      </c>
      <c r="Q924" t="s">
        <v>26</v>
      </c>
    </row>
    <row r="925" spans="1:17" x14ac:dyDescent="0.25">
      <c r="A925" t="s">
        <v>1042</v>
      </c>
      <c r="B925" s="1">
        <v>46017</v>
      </c>
      <c r="C925" t="s">
        <v>18</v>
      </c>
      <c r="D925" t="s">
        <v>34</v>
      </c>
      <c r="E925" t="s">
        <v>49</v>
      </c>
      <c r="F925" t="s">
        <v>36</v>
      </c>
      <c r="G925" t="s">
        <v>29</v>
      </c>
      <c r="H925" t="s">
        <v>94</v>
      </c>
      <c r="I925" t="s">
        <v>163</v>
      </c>
      <c r="J925">
        <v>28</v>
      </c>
      <c r="K925">
        <v>785.39</v>
      </c>
      <c r="L925">
        <v>21990.92</v>
      </c>
      <c r="M925">
        <v>0</v>
      </c>
      <c r="N925">
        <v>0</v>
      </c>
      <c r="O925">
        <v>21990.92</v>
      </c>
      <c r="P925" t="s">
        <v>25</v>
      </c>
      <c r="Q925" t="s">
        <v>26</v>
      </c>
    </row>
    <row r="926" spans="1:17" x14ac:dyDescent="0.25">
      <c r="A926" t="s">
        <v>1043</v>
      </c>
      <c r="B926" s="1">
        <v>46036</v>
      </c>
      <c r="C926" t="s">
        <v>79</v>
      </c>
      <c r="D926" t="s">
        <v>101</v>
      </c>
      <c r="E926" t="s">
        <v>20</v>
      </c>
      <c r="F926" t="s">
        <v>21</v>
      </c>
      <c r="G926" t="s">
        <v>140</v>
      </c>
      <c r="H926" t="s">
        <v>44</v>
      </c>
      <c r="I926" t="s">
        <v>281</v>
      </c>
      <c r="J926">
        <v>5</v>
      </c>
      <c r="K926">
        <v>31179.8</v>
      </c>
      <c r="L926">
        <v>155899</v>
      </c>
      <c r="M926">
        <v>0</v>
      </c>
      <c r="N926">
        <v>0</v>
      </c>
      <c r="O926">
        <v>155899</v>
      </c>
      <c r="P926" t="s">
        <v>25</v>
      </c>
      <c r="Q926" t="s">
        <v>26</v>
      </c>
    </row>
    <row r="927" spans="1:17" x14ac:dyDescent="0.25">
      <c r="A927" t="s">
        <v>1044</v>
      </c>
      <c r="B927" s="1">
        <v>46003</v>
      </c>
      <c r="C927" t="s">
        <v>47</v>
      </c>
      <c r="D927" t="s">
        <v>88</v>
      </c>
      <c r="E927" t="s">
        <v>41</v>
      </c>
      <c r="F927" t="s">
        <v>42</v>
      </c>
      <c r="G927" t="s">
        <v>37</v>
      </c>
      <c r="H927" t="s">
        <v>67</v>
      </c>
      <c r="I927" t="s">
        <v>201</v>
      </c>
      <c r="J927">
        <v>8</v>
      </c>
      <c r="K927">
        <v>13348.74</v>
      </c>
      <c r="L927">
        <v>106789.92</v>
      </c>
      <c r="M927">
        <v>4551.3500000000004</v>
      </c>
      <c r="N927">
        <v>0</v>
      </c>
      <c r="O927">
        <v>102238.57</v>
      </c>
      <c r="P927" t="s">
        <v>32</v>
      </c>
      <c r="Q927" t="s">
        <v>32</v>
      </c>
    </row>
    <row r="928" spans="1:17" x14ac:dyDescent="0.25">
      <c r="A928" t="s">
        <v>1045</v>
      </c>
      <c r="B928" s="1">
        <v>45966</v>
      </c>
      <c r="C928" t="s">
        <v>79</v>
      </c>
      <c r="D928" t="s">
        <v>107</v>
      </c>
      <c r="E928" t="s">
        <v>35</v>
      </c>
      <c r="F928" t="s">
        <v>71</v>
      </c>
      <c r="G928" t="s">
        <v>140</v>
      </c>
      <c r="H928" t="s">
        <v>44</v>
      </c>
      <c r="I928" t="s">
        <v>135</v>
      </c>
      <c r="J928">
        <v>32</v>
      </c>
      <c r="K928">
        <v>6746.13</v>
      </c>
      <c r="L928">
        <v>215876.16</v>
      </c>
      <c r="M928">
        <v>2863.85</v>
      </c>
      <c r="N928">
        <v>0</v>
      </c>
      <c r="O928">
        <v>213012.31</v>
      </c>
      <c r="P928" t="s">
        <v>32</v>
      </c>
      <c r="Q928" t="s">
        <v>26</v>
      </c>
    </row>
    <row r="929" spans="1:17" x14ac:dyDescent="0.25">
      <c r="A929" t="s">
        <v>1046</v>
      </c>
      <c r="B929" s="1">
        <v>45972</v>
      </c>
      <c r="C929" t="s">
        <v>54</v>
      </c>
      <c r="D929" t="s">
        <v>133</v>
      </c>
      <c r="E929" t="s">
        <v>49</v>
      </c>
      <c r="F929" t="s">
        <v>21</v>
      </c>
      <c r="G929" t="s">
        <v>81</v>
      </c>
      <c r="H929" t="s">
        <v>23</v>
      </c>
      <c r="I929" t="s">
        <v>99</v>
      </c>
      <c r="J929">
        <v>3</v>
      </c>
      <c r="K929">
        <v>42065.74</v>
      </c>
      <c r="L929">
        <v>126197.22</v>
      </c>
      <c r="M929">
        <v>0</v>
      </c>
      <c r="N929">
        <v>0</v>
      </c>
      <c r="O929">
        <v>126197.22</v>
      </c>
      <c r="P929" t="s">
        <v>73</v>
      </c>
      <c r="Q929" t="s">
        <v>26</v>
      </c>
    </row>
    <row r="930" spans="1:17" x14ac:dyDescent="0.25">
      <c r="A930" t="s">
        <v>1047</v>
      </c>
      <c r="B930" s="1">
        <v>46041</v>
      </c>
      <c r="C930" t="s">
        <v>79</v>
      </c>
      <c r="D930" t="s">
        <v>101</v>
      </c>
      <c r="E930" t="s">
        <v>35</v>
      </c>
      <c r="F930" t="s">
        <v>71</v>
      </c>
      <c r="G930" t="s">
        <v>140</v>
      </c>
      <c r="H930" t="s">
        <v>94</v>
      </c>
      <c r="I930" t="s">
        <v>163</v>
      </c>
      <c r="J930">
        <v>27</v>
      </c>
      <c r="K930">
        <v>41607.410000000003</v>
      </c>
      <c r="L930">
        <v>1123400.07</v>
      </c>
      <c r="M930">
        <v>0</v>
      </c>
      <c r="N930">
        <v>0</v>
      </c>
      <c r="O930">
        <v>1123400.07</v>
      </c>
      <c r="P930" t="s">
        <v>31</v>
      </c>
      <c r="Q930" t="s">
        <v>32</v>
      </c>
    </row>
    <row r="931" spans="1:17" x14ac:dyDescent="0.25">
      <c r="A931" t="s">
        <v>1048</v>
      </c>
      <c r="B931" s="1">
        <v>46005</v>
      </c>
      <c r="C931" t="s">
        <v>60</v>
      </c>
      <c r="D931" t="s">
        <v>65</v>
      </c>
      <c r="E931" t="s">
        <v>20</v>
      </c>
      <c r="F931" t="s">
        <v>21</v>
      </c>
      <c r="G931" t="s">
        <v>138</v>
      </c>
      <c r="H931" t="s">
        <v>94</v>
      </c>
      <c r="I931" t="s">
        <v>193</v>
      </c>
      <c r="J931">
        <v>34</v>
      </c>
      <c r="K931">
        <v>45251.11</v>
      </c>
      <c r="L931">
        <v>1538537.74</v>
      </c>
      <c r="M931">
        <v>106481.3</v>
      </c>
      <c r="N931">
        <v>0</v>
      </c>
      <c r="O931">
        <v>1432056.44</v>
      </c>
      <c r="P931" t="s">
        <v>32</v>
      </c>
      <c r="Q931" t="s">
        <v>32</v>
      </c>
    </row>
    <row r="932" spans="1:17" x14ac:dyDescent="0.25">
      <c r="A932" t="s">
        <v>1049</v>
      </c>
      <c r="B932" s="1">
        <v>45979</v>
      </c>
      <c r="C932" t="s">
        <v>18</v>
      </c>
      <c r="D932" t="s">
        <v>34</v>
      </c>
      <c r="E932" t="s">
        <v>20</v>
      </c>
      <c r="F932" t="s">
        <v>71</v>
      </c>
      <c r="G932" t="s">
        <v>51</v>
      </c>
      <c r="H932" t="s">
        <v>67</v>
      </c>
      <c r="I932" t="s">
        <v>170</v>
      </c>
      <c r="J932">
        <v>41</v>
      </c>
      <c r="K932">
        <v>41273.96</v>
      </c>
      <c r="L932">
        <v>1692232.36</v>
      </c>
      <c r="M932">
        <v>328342.17</v>
      </c>
      <c r="N932">
        <v>87368.07</v>
      </c>
      <c r="O932">
        <v>1276522.1200000001</v>
      </c>
      <c r="P932" t="s">
        <v>25</v>
      </c>
      <c r="Q932" t="s">
        <v>26</v>
      </c>
    </row>
    <row r="933" spans="1:17" x14ac:dyDescent="0.25">
      <c r="A933" t="s">
        <v>1050</v>
      </c>
      <c r="B933" s="1">
        <v>45996</v>
      </c>
      <c r="C933" t="s">
        <v>18</v>
      </c>
      <c r="D933" t="s">
        <v>75</v>
      </c>
      <c r="E933" t="s">
        <v>35</v>
      </c>
      <c r="F933" t="s">
        <v>62</v>
      </c>
      <c r="G933" t="s">
        <v>138</v>
      </c>
      <c r="H933" t="s">
        <v>38</v>
      </c>
      <c r="I933" t="s">
        <v>108</v>
      </c>
      <c r="J933">
        <v>36</v>
      </c>
      <c r="K933">
        <v>23280.720000000001</v>
      </c>
      <c r="L933">
        <v>838105.92</v>
      </c>
      <c r="M933">
        <v>0</v>
      </c>
      <c r="N933">
        <v>0</v>
      </c>
      <c r="O933">
        <v>838105.92</v>
      </c>
      <c r="P933" t="s">
        <v>73</v>
      </c>
      <c r="Q933" t="s">
        <v>32</v>
      </c>
    </row>
    <row r="934" spans="1:17" x14ac:dyDescent="0.25">
      <c r="A934" t="s">
        <v>1051</v>
      </c>
      <c r="B934" s="1">
        <v>45969</v>
      </c>
      <c r="C934" t="s">
        <v>79</v>
      </c>
      <c r="D934" t="s">
        <v>91</v>
      </c>
      <c r="E934" t="s">
        <v>20</v>
      </c>
      <c r="F934" t="s">
        <v>105</v>
      </c>
      <c r="G934" t="s">
        <v>138</v>
      </c>
      <c r="H934" t="s">
        <v>23</v>
      </c>
      <c r="I934" t="s">
        <v>30</v>
      </c>
      <c r="J934">
        <v>36</v>
      </c>
      <c r="K934">
        <v>10146.879999999999</v>
      </c>
      <c r="L934">
        <v>365287.67999999999</v>
      </c>
      <c r="M934">
        <v>45460.76</v>
      </c>
      <c r="N934">
        <v>0</v>
      </c>
      <c r="O934">
        <v>319826.92</v>
      </c>
      <c r="P934" t="s">
        <v>32</v>
      </c>
      <c r="Q934" t="s">
        <v>32</v>
      </c>
    </row>
    <row r="935" spans="1:17" x14ac:dyDescent="0.25">
      <c r="A935" t="s">
        <v>1052</v>
      </c>
      <c r="B935" s="1">
        <v>46040</v>
      </c>
      <c r="C935" t="s">
        <v>54</v>
      </c>
      <c r="D935" t="s">
        <v>55</v>
      </c>
      <c r="E935" t="s">
        <v>49</v>
      </c>
      <c r="F935" t="s">
        <v>84</v>
      </c>
      <c r="G935" t="s">
        <v>66</v>
      </c>
      <c r="H935" t="s">
        <v>57</v>
      </c>
      <c r="I935" t="s">
        <v>92</v>
      </c>
      <c r="J935">
        <v>48</v>
      </c>
      <c r="K935">
        <v>17944.78</v>
      </c>
      <c r="L935">
        <v>861349.44</v>
      </c>
      <c r="M935">
        <v>0</v>
      </c>
      <c r="N935">
        <v>0</v>
      </c>
      <c r="O935">
        <v>861349.44</v>
      </c>
      <c r="P935" t="s">
        <v>73</v>
      </c>
      <c r="Q935" t="s">
        <v>32</v>
      </c>
    </row>
    <row r="936" spans="1:17" x14ac:dyDescent="0.25">
      <c r="A936" t="s">
        <v>1053</v>
      </c>
      <c r="B936" s="1">
        <v>45965</v>
      </c>
      <c r="C936" t="s">
        <v>47</v>
      </c>
      <c r="D936" t="s">
        <v>114</v>
      </c>
      <c r="E936" t="s">
        <v>49</v>
      </c>
      <c r="F936" t="s">
        <v>50</v>
      </c>
      <c r="G936" t="s">
        <v>85</v>
      </c>
      <c r="H936" t="s">
        <v>67</v>
      </c>
      <c r="I936" t="s">
        <v>201</v>
      </c>
      <c r="J936">
        <v>9</v>
      </c>
      <c r="K936">
        <v>29199.91</v>
      </c>
      <c r="L936">
        <v>262799.19</v>
      </c>
      <c r="M936">
        <v>0</v>
      </c>
      <c r="N936">
        <v>0</v>
      </c>
      <c r="O936">
        <v>262799.19</v>
      </c>
      <c r="P936" t="s">
        <v>25</v>
      </c>
      <c r="Q936" t="s">
        <v>32</v>
      </c>
    </row>
    <row r="937" spans="1:17" x14ac:dyDescent="0.25">
      <c r="A937" t="s">
        <v>1054</v>
      </c>
      <c r="B937" s="1">
        <v>46023</v>
      </c>
      <c r="C937" t="s">
        <v>79</v>
      </c>
      <c r="D937" t="s">
        <v>101</v>
      </c>
      <c r="E937" t="s">
        <v>35</v>
      </c>
      <c r="F937" t="s">
        <v>62</v>
      </c>
      <c r="G937" t="s">
        <v>63</v>
      </c>
      <c r="H937" t="s">
        <v>38</v>
      </c>
      <c r="I937" t="s">
        <v>82</v>
      </c>
      <c r="J937">
        <v>43</v>
      </c>
      <c r="K937">
        <v>49350.31</v>
      </c>
      <c r="L937">
        <v>2122063.33</v>
      </c>
      <c r="M937">
        <v>83110.3</v>
      </c>
      <c r="N937">
        <v>0</v>
      </c>
      <c r="O937">
        <v>2038953.03</v>
      </c>
      <c r="P937" t="s">
        <v>32</v>
      </c>
      <c r="Q937" t="s">
        <v>32</v>
      </c>
    </row>
    <row r="938" spans="1:17" x14ac:dyDescent="0.25">
      <c r="A938" t="s">
        <v>1055</v>
      </c>
      <c r="B938" s="1">
        <v>45986</v>
      </c>
      <c r="C938" t="s">
        <v>47</v>
      </c>
      <c r="D938" t="s">
        <v>48</v>
      </c>
      <c r="E938" t="s">
        <v>41</v>
      </c>
      <c r="F938" t="s">
        <v>112</v>
      </c>
      <c r="G938" t="s">
        <v>43</v>
      </c>
      <c r="H938" t="s">
        <v>57</v>
      </c>
      <c r="I938" t="s">
        <v>92</v>
      </c>
      <c r="J938">
        <v>9</v>
      </c>
      <c r="K938">
        <v>15487.68</v>
      </c>
      <c r="L938">
        <v>139389.12</v>
      </c>
      <c r="M938">
        <v>7359.12</v>
      </c>
      <c r="N938">
        <v>0</v>
      </c>
      <c r="O938">
        <v>132030</v>
      </c>
      <c r="P938" t="s">
        <v>73</v>
      </c>
      <c r="Q938" t="s">
        <v>32</v>
      </c>
    </row>
    <row r="939" spans="1:17" x14ac:dyDescent="0.25">
      <c r="A939" t="s">
        <v>1056</v>
      </c>
      <c r="B939" s="1">
        <v>46013</v>
      </c>
      <c r="C939" t="s">
        <v>54</v>
      </c>
      <c r="D939" t="s">
        <v>70</v>
      </c>
      <c r="E939" t="s">
        <v>20</v>
      </c>
      <c r="F939" t="s">
        <v>137</v>
      </c>
      <c r="G939" t="s">
        <v>81</v>
      </c>
      <c r="H939" t="s">
        <v>23</v>
      </c>
      <c r="I939" t="s">
        <v>52</v>
      </c>
      <c r="J939">
        <v>17</v>
      </c>
      <c r="K939">
        <v>9974.34</v>
      </c>
      <c r="L939">
        <v>169563.78</v>
      </c>
      <c r="M939">
        <v>0</v>
      </c>
      <c r="N939">
        <v>0</v>
      </c>
      <c r="O939">
        <v>169563.78</v>
      </c>
      <c r="P939" t="s">
        <v>32</v>
      </c>
      <c r="Q939" t="s">
        <v>26</v>
      </c>
    </row>
    <row r="940" spans="1:17" x14ac:dyDescent="0.25">
      <c r="A940" t="s">
        <v>1057</v>
      </c>
      <c r="B940" s="1">
        <v>46011</v>
      </c>
      <c r="C940" t="s">
        <v>60</v>
      </c>
      <c r="D940" t="s">
        <v>61</v>
      </c>
      <c r="E940" t="s">
        <v>41</v>
      </c>
      <c r="F940" t="s">
        <v>84</v>
      </c>
      <c r="G940" t="s">
        <v>56</v>
      </c>
      <c r="H940" t="s">
        <v>67</v>
      </c>
      <c r="I940" t="s">
        <v>170</v>
      </c>
      <c r="J940">
        <v>47</v>
      </c>
      <c r="K940">
        <v>32507.3</v>
      </c>
      <c r="L940">
        <v>1527843.1</v>
      </c>
      <c r="M940">
        <v>0</v>
      </c>
      <c r="N940">
        <v>0</v>
      </c>
      <c r="O940">
        <v>1527843.1</v>
      </c>
      <c r="P940" t="s">
        <v>25</v>
      </c>
      <c r="Q940" t="s">
        <v>128</v>
      </c>
    </row>
    <row r="941" spans="1:17" x14ac:dyDescent="0.25">
      <c r="A941" t="s">
        <v>1058</v>
      </c>
      <c r="B941" s="1">
        <v>45991</v>
      </c>
      <c r="C941" t="s">
        <v>54</v>
      </c>
      <c r="D941" t="s">
        <v>133</v>
      </c>
      <c r="E941" t="s">
        <v>35</v>
      </c>
      <c r="F941" t="s">
        <v>36</v>
      </c>
      <c r="G941" t="s">
        <v>37</v>
      </c>
      <c r="H941" t="s">
        <v>23</v>
      </c>
      <c r="I941" t="s">
        <v>131</v>
      </c>
      <c r="J941">
        <v>44</v>
      </c>
      <c r="K941">
        <v>6782.06</v>
      </c>
      <c r="L941">
        <v>298410.64</v>
      </c>
      <c r="M941">
        <v>0</v>
      </c>
      <c r="N941">
        <v>0</v>
      </c>
      <c r="O941">
        <v>298410.64</v>
      </c>
      <c r="P941" t="s">
        <v>31</v>
      </c>
      <c r="Q941" t="s">
        <v>32</v>
      </c>
    </row>
    <row r="942" spans="1:17" x14ac:dyDescent="0.25">
      <c r="A942" t="s">
        <v>1059</v>
      </c>
      <c r="B942" s="1">
        <v>46015</v>
      </c>
      <c r="C942" t="s">
        <v>60</v>
      </c>
      <c r="D942" t="s">
        <v>123</v>
      </c>
      <c r="E942" t="s">
        <v>41</v>
      </c>
      <c r="F942" t="s">
        <v>71</v>
      </c>
      <c r="G942" t="s">
        <v>98</v>
      </c>
      <c r="H942" t="s">
        <v>38</v>
      </c>
      <c r="I942" t="s">
        <v>82</v>
      </c>
      <c r="J942">
        <v>29</v>
      </c>
      <c r="K942">
        <v>6010.84</v>
      </c>
      <c r="L942">
        <v>174314.36</v>
      </c>
      <c r="M942">
        <v>0</v>
      </c>
      <c r="N942">
        <v>0</v>
      </c>
      <c r="O942">
        <v>174314.36</v>
      </c>
      <c r="P942" t="s">
        <v>73</v>
      </c>
      <c r="Q942" t="s">
        <v>26</v>
      </c>
    </row>
    <row r="943" spans="1:17" x14ac:dyDescent="0.25">
      <c r="A943" t="s">
        <v>1060</v>
      </c>
      <c r="B943" s="1">
        <v>46045</v>
      </c>
      <c r="C943" t="s">
        <v>18</v>
      </c>
      <c r="D943" t="s">
        <v>34</v>
      </c>
      <c r="E943" t="s">
        <v>49</v>
      </c>
      <c r="F943" t="s">
        <v>21</v>
      </c>
      <c r="G943" t="s">
        <v>85</v>
      </c>
      <c r="H943" t="s">
        <v>23</v>
      </c>
      <c r="I943" t="s">
        <v>30</v>
      </c>
      <c r="J943">
        <v>25</v>
      </c>
      <c r="K943">
        <v>36037.19</v>
      </c>
      <c r="L943">
        <v>900929.75</v>
      </c>
      <c r="M943">
        <v>0</v>
      </c>
      <c r="N943">
        <v>0</v>
      </c>
      <c r="O943">
        <v>900929.75</v>
      </c>
      <c r="P943" t="s">
        <v>73</v>
      </c>
      <c r="Q943" t="s">
        <v>32</v>
      </c>
    </row>
    <row r="944" spans="1:17" x14ac:dyDescent="0.25">
      <c r="A944" t="s">
        <v>1061</v>
      </c>
      <c r="B944" s="1">
        <v>45962</v>
      </c>
      <c r="C944" t="s">
        <v>79</v>
      </c>
      <c r="D944" t="s">
        <v>107</v>
      </c>
      <c r="E944" t="s">
        <v>41</v>
      </c>
      <c r="F944" t="s">
        <v>50</v>
      </c>
      <c r="G944" t="s">
        <v>98</v>
      </c>
      <c r="H944" t="s">
        <v>94</v>
      </c>
      <c r="I944" t="s">
        <v>177</v>
      </c>
      <c r="J944">
        <v>43</v>
      </c>
      <c r="K944">
        <v>10079.17</v>
      </c>
      <c r="L944">
        <v>433404.31</v>
      </c>
      <c r="M944">
        <v>0</v>
      </c>
      <c r="N944">
        <v>0</v>
      </c>
      <c r="O944">
        <v>433404.31</v>
      </c>
      <c r="P944" t="s">
        <v>31</v>
      </c>
      <c r="Q944" t="s">
        <v>32</v>
      </c>
    </row>
    <row r="945" spans="1:17" x14ac:dyDescent="0.25">
      <c r="A945" t="s">
        <v>1062</v>
      </c>
      <c r="B945" s="1">
        <v>45973</v>
      </c>
      <c r="C945" t="s">
        <v>18</v>
      </c>
      <c r="D945" t="s">
        <v>28</v>
      </c>
      <c r="E945" t="s">
        <v>41</v>
      </c>
      <c r="F945" t="s">
        <v>105</v>
      </c>
      <c r="G945" t="s">
        <v>56</v>
      </c>
      <c r="H945" t="s">
        <v>67</v>
      </c>
      <c r="I945" t="s">
        <v>103</v>
      </c>
      <c r="J945">
        <v>31</v>
      </c>
      <c r="K945">
        <v>48047.23</v>
      </c>
      <c r="L945">
        <v>1489464.13</v>
      </c>
      <c r="M945">
        <v>122363.86</v>
      </c>
      <c r="N945">
        <v>0</v>
      </c>
      <c r="O945">
        <v>1367100.27</v>
      </c>
      <c r="P945" t="s">
        <v>32</v>
      </c>
      <c r="Q945" t="s">
        <v>26</v>
      </c>
    </row>
    <row r="946" spans="1:17" x14ac:dyDescent="0.25">
      <c r="A946" t="s">
        <v>1063</v>
      </c>
      <c r="B946" s="1">
        <v>46002</v>
      </c>
      <c r="C946" t="s">
        <v>60</v>
      </c>
      <c r="D946" t="s">
        <v>151</v>
      </c>
      <c r="E946" t="s">
        <v>41</v>
      </c>
      <c r="F946" t="s">
        <v>21</v>
      </c>
      <c r="G946" t="s">
        <v>63</v>
      </c>
      <c r="H946" t="s">
        <v>44</v>
      </c>
      <c r="I946" t="s">
        <v>281</v>
      </c>
      <c r="J946">
        <v>40</v>
      </c>
      <c r="K946">
        <v>47920.2</v>
      </c>
      <c r="L946">
        <v>1916808</v>
      </c>
      <c r="M946">
        <v>0</v>
      </c>
      <c r="N946">
        <v>0</v>
      </c>
      <c r="O946">
        <v>1916808</v>
      </c>
      <c r="P946" t="s">
        <v>32</v>
      </c>
      <c r="Q946" t="s">
        <v>32</v>
      </c>
    </row>
    <row r="947" spans="1:17" x14ac:dyDescent="0.25">
      <c r="A947" t="s">
        <v>1064</v>
      </c>
      <c r="B947" s="1">
        <v>46030</v>
      </c>
      <c r="C947" t="s">
        <v>18</v>
      </c>
      <c r="D947" t="s">
        <v>75</v>
      </c>
      <c r="E947" t="s">
        <v>20</v>
      </c>
      <c r="F947" t="s">
        <v>137</v>
      </c>
      <c r="G947" t="s">
        <v>81</v>
      </c>
      <c r="H947" t="s">
        <v>57</v>
      </c>
      <c r="I947" t="s">
        <v>72</v>
      </c>
      <c r="J947">
        <v>43</v>
      </c>
      <c r="K947">
        <v>48037.41</v>
      </c>
      <c r="L947">
        <v>2065608.63</v>
      </c>
      <c r="M947">
        <v>236234.91</v>
      </c>
      <c r="N947">
        <v>0</v>
      </c>
      <c r="O947">
        <v>1829373.72</v>
      </c>
      <c r="P947" t="s">
        <v>73</v>
      </c>
      <c r="Q947" t="s">
        <v>32</v>
      </c>
    </row>
    <row r="948" spans="1:17" x14ac:dyDescent="0.25">
      <c r="A948" t="s">
        <v>1065</v>
      </c>
      <c r="B948" s="1">
        <v>45959</v>
      </c>
      <c r="C948" t="s">
        <v>54</v>
      </c>
      <c r="D948" t="s">
        <v>133</v>
      </c>
      <c r="E948" t="s">
        <v>41</v>
      </c>
      <c r="F948" t="s">
        <v>71</v>
      </c>
      <c r="G948" t="s">
        <v>22</v>
      </c>
      <c r="H948" t="s">
        <v>94</v>
      </c>
      <c r="I948" t="s">
        <v>115</v>
      </c>
      <c r="J948">
        <v>38</v>
      </c>
      <c r="K948">
        <v>27622.02</v>
      </c>
      <c r="L948">
        <v>1049636.76</v>
      </c>
      <c r="M948">
        <v>183513.53</v>
      </c>
      <c r="N948">
        <v>0</v>
      </c>
      <c r="O948">
        <v>866123.23</v>
      </c>
      <c r="P948" t="s">
        <v>25</v>
      </c>
      <c r="Q948" t="s">
        <v>26</v>
      </c>
    </row>
    <row r="949" spans="1:17" x14ac:dyDescent="0.25">
      <c r="A949" t="s">
        <v>1066</v>
      </c>
      <c r="B949" s="1">
        <v>45988</v>
      </c>
      <c r="C949" t="s">
        <v>60</v>
      </c>
      <c r="D949" t="s">
        <v>65</v>
      </c>
      <c r="E949" t="s">
        <v>20</v>
      </c>
      <c r="F949" t="s">
        <v>105</v>
      </c>
      <c r="G949" t="s">
        <v>22</v>
      </c>
      <c r="H949" t="s">
        <v>38</v>
      </c>
      <c r="I949" t="s">
        <v>86</v>
      </c>
      <c r="J949">
        <v>24</v>
      </c>
      <c r="K949">
        <v>3366.03</v>
      </c>
      <c r="L949">
        <v>80784.72</v>
      </c>
      <c r="M949">
        <v>11930.86</v>
      </c>
      <c r="N949">
        <v>0</v>
      </c>
      <c r="O949">
        <v>68853.86</v>
      </c>
      <c r="P949" t="s">
        <v>73</v>
      </c>
      <c r="Q949" t="s">
        <v>32</v>
      </c>
    </row>
    <row r="950" spans="1:17" x14ac:dyDescent="0.25">
      <c r="A950" t="s">
        <v>1067</v>
      </c>
      <c r="B950" s="1">
        <v>46015</v>
      </c>
      <c r="C950" t="s">
        <v>54</v>
      </c>
      <c r="D950" t="s">
        <v>97</v>
      </c>
      <c r="E950" t="s">
        <v>41</v>
      </c>
      <c r="F950" t="s">
        <v>62</v>
      </c>
      <c r="G950" t="s">
        <v>43</v>
      </c>
      <c r="H950" t="s">
        <v>23</v>
      </c>
      <c r="I950" t="s">
        <v>52</v>
      </c>
      <c r="J950">
        <v>38</v>
      </c>
      <c r="K950">
        <v>45879.82</v>
      </c>
      <c r="L950">
        <v>1743433.16</v>
      </c>
      <c r="M950">
        <v>316945.15999999997</v>
      </c>
      <c r="N950">
        <v>0</v>
      </c>
      <c r="O950">
        <v>1426488</v>
      </c>
      <c r="P950" t="s">
        <v>32</v>
      </c>
      <c r="Q950" t="s">
        <v>32</v>
      </c>
    </row>
    <row r="951" spans="1:17" x14ac:dyDescent="0.25">
      <c r="A951" t="s">
        <v>1068</v>
      </c>
      <c r="B951" s="1">
        <v>45982</v>
      </c>
      <c r="C951" t="s">
        <v>47</v>
      </c>
      <c r="D951" t="s">
        <v>114</v>
      </c>
      <c r="E951" t="s">
        <v>41</v>
      </c>
      <c r="F951" t="s">
        <v>50</v>
      </c>
      <c r="G951" t="s">
        <v>81</v>
      </c>
      <c r="H951" t="s">
        <v>38</v>
      </c>
      <c r="I951" t="s">
        <v>120</v>
      </c>
      <c r="J951">
        <v>23</v>
      </c>
      <c r="K951">
        <v>36302.6</v>
      </c>
      <c r="L951">
        <v>834959.8</v>
      </c>
      <c r="M951">
        <v>34417.14</v>
      </c>
      <c r="N951">
        <v>0</v>
      </c>
      <c r="O951">
        <v>800542.66</v>
      </c>
      <c r="P951" t="s">
        <v>31</v>
      </c>
      <c r="Q951" t="s">
        <v>32</v>
      </c>
    </row>
    <row r="952" spans="1:17" x14ac:dyDescent="0.25">
      <c r="A952" t="s">
        <v>1069</v>
      </c>
      <c r="B952" s="1">
        <v>46040</v>
      </c>
      <c r="C952" t="s">
        <v>18</v>
      </c>
      <c r="D952" t="s">
        <v>75</v>
      </c>
      <c r="E952" t="s">
        <v>49</v>
      </c>
      <c r="F952" t="s">
        <v>42</v>
      </c>
      <c r="G952" t="s">
        <v>98</v>
      </c>
      <c r="H952" t="s">
        <v>44</v>
      </c>
      <c r="I952" t="s">
        <v>124</v>
      </c>
      <c r="J952">
        <v>39</v>
      </c>
      <c r="K952">
        <v>14676.82</v>
      </c>
      <c r="L952">
        <v>572395.98</v>
      </c>
      <c r="M952">
        <v>108811.34</v>
      </c>
      <c r="N952">
        <v>0</v>
      </c>
      <c r="O952">
        <v>463584.64</v>
      </c>
      <c r="P952" t="s">
        <v>25</v>
      </c>
      <c r="Q952" t="s">
        <v>26</v>
      </c>
    </row>
    <row r="953" spans="1:17" x14ac:dyDescent="0.25">
      <c r="A953" t="s">
        <v>1070</v>
      </c>
      <c r="B953" s="1">
        <v>46004</v>
      </c>
      <c r="C953" t="s">
        <v>54</v>
      </c>
      <c r="D953" t="s">
        <v>97</v>
      </c>
      <c r="E953" t="s">
        <v>41</v>
      </c>
      <c r="F953" t="s">
        <v>112</v>
      </c>
      <c r="G953" t="s">
        <v>29</v>
      </c>
      <c r="H953" t="s">
        <v>38</v>
      </c>
      <c r="I953" t="s">
        <v>86</v>
      </c>
      <c r="J953">
        <v>48</v>
      </c>
      <c r="K953">
        <v>46384.68</v>
      </c>
      <c r="L953">
        <v>2226464.64</v>
      </c>
      <c r="M953">
        <v>220529.82</v>
      </c>
      <c r="N953">
        <v>0</v>
      </c>
      <c r="O953">
        <v>2005934.82</v>
      </c>
      <c r="P953" t="s">
        <v>25</v>
      </c>
      <c r="Q953" t="s">
        <v>26</v>
      </c>
    </row>
    <row r="954" spans="1:17" x14ac:dyDescent="0.25">
      <c r="A954" t="s">
        <v>1071</v>
      </c>
      <c r="B954" s="1">
        <v>45989</v>
      </c>
      <c r="C954" t="s">
        <v>18</v>
      </c>
      <c r="D954" t="s">
        <v>28</v>
      </c>
      <c r="E954" t="s">
        <v>20</v>
      </c>
      <c r="F954" t="s">
        <v>71</v>
      </c>
      <c r="G954" t="s">
        <v>29</v>
      </c>
      <c r="H954" t="s">
        <v>38</v>
      </c>
      <c r="I954" t="s">
        <v>82</v>
      </c>
      <c r="J954">
        <v>42</v>
      </c>
      <c r="K954">
        <v>686.61</v>
      </c>
      <c r="L954">
        <v>28837.62</v>
      </c>
      <c r="M954">
        <v>136.1</v>
      </c>
      <c r="N954">
        <v>0</v>
      </c>
      <c r="O954">
        <v>28701.52</v>
      </c>
      <c r="P954" t="s">
        <v>73</v>
      </c>
      <c r="Q954" t="s">
        <v>32</v>
      </c>
    </row>
    <row r="955" spans="1:17" x14ac:dyDescent="0.25">
      <c r="A955" t="s">
        <v>1072</v>
      </c>
      <c r="B955" s="1">
        <v>46028</v>
      </c>
      <c r="C955" t="s">
        <v>60</v>
      </c>
      <c r="D955" t="s">
        <v>123</v>
      </c>
      <c r="E955" t="s">
        <v>49</v>
      </c>
      <c r="F955" t="s">
        <v>62</v>
      </c>
      <c r="G955" t="s">
        <v>81</v>
      </c>
      <c r="H955" t="s">
        <v>57</v>
      </c>
      <c r="I955" t="s">
        <v>148</v>
      </c>
      <c r="J955">
        <v>8</v>
      </c>
      <c r="K955">
        <v>38238.28</v>
      </c>
      <c r="L955">
        <v>305906.24</v>
      </c>
      <c r="M955">
        <v>5345.02</v>
      </c>
      <c r="N955">
        <v>0</v>
      </c>
      <c r="O955">
        <v>300561.21999999997</v>
      </c>
      <c r="P955" t="s">
        <v>25</v>
      </c>
      <c r="Q955" t="s">
        <v>26</v>
      </c>
    </row>
    <row r="956" spans="1:17" x14ac:dyDescent="0.25">
      <c r="A956" t="s">
        <v>1073</v>
      </c>
      <c r="B956" s="1">
        <v>46039</v>
      </c>
      <c r="C956" t="s">
        <v>47</v>
      </c>
      <c r="D956" t="s">
        <v>88</v>
      </c>
      <c r="E956" t="s">
        <v>41</v>
      </c>
      <c r="F956" t="s">
        <v>42</v>
      </c>
      <c r="G956" t="s">
        <v>66</v>
      </c>
      <c r="H956" t="s">
        <v>23</v>
      </c>
      <c r="I956" t="s">
        <v>24</v>
      </c>
      <c r="J956">
        <v>10</v>
      </c>
      <c r="K956">
        <v>39364.42</v>
      </c>
      <c r="L956">
        <v>393644.2</v>
      </c>
      <c r="M956">
        <v>28174.85</v>
      </c>
      <c r="N956">
        <v>71636.5</v>
      </c>
      <c r="O956">
        <v>293832.84999999998</v>
      </c>
      <c r="P956" t="s">
        <v>32</v>
      </c>
      <c r="Q956" t="s">
        <v>32</v>
      </c>
    </row>
    <row r="957" spans="1:17" x14ac:dyDescent="0.25">
      <c r="A957" t="s">
        <v>1074</v>
      </c>
      <c r="B957" s="1">
        <v>46017</v>
      </c>
      <c r="C957" t="s">
        <v>54</v>
      </c>
      <c r="D957" t="s">
        <v>55</v>
      </c>
      <c r="E957" t="s">
        <v>49</v>
      </c>
      <c r="F957" t="s">
        <v>71</v>
      </c>
      <c r="G957" t="s">
        <v>29</v>
      </c>
      <c r="H957" t="s">
        <v>44</v>
      </c>
      <c r="I957" t="s">
        <v>281</v>
      </c>
      <c r="J957">
        <v>13</v>
      </c>
      <c r="K957">
        <v>20768.25</v>
      </c>
      <c r="L957">
        <v>269987.25</v>
      </c>
      <c r="M957">
        <v>22187.16</v>
      </c>
      <c r="N957">
        <v>0</v>
      </c>
      <c r="O957">
        <v>247800.09</v>
      </c>
      <c r="P957" t="s">
        <v>25</v>
      </c>
      <c r="Q957" t="s">
        <v>128</v>
      </c>
    </row>
    <row r="958" spans="1:17" x14ac:dyDescent="0.25">
      <c r="A958" t="s">
        <v>1075</v>
      </c>
      <c r="B958" s="1">
        <v>46041</v>
      </c>
      <c r="C958" t="s">
        <v>47</v>
      </c>
      <c r="D958" t="s">
        <v>114</v>
      </c>
      <c r="E958" t="s">
        <v>49</v>
      </c>
      <c r="F958" t="s">
        <v>21</v>
      </c>
      <c r="G958" t="s">
        <v>56</v>
      </c>
      <c r="H958" t="s">
        <v>67</v>
      </c>
      <c r="I958" t="s">
        <v>170</v>
      </c>
      <c r="J958">
        <v>1</v>
      </c>
      <c r="K958">
        <v>18518.91</v>
      </c>
      <c r="L958">
        <v>18518.91</v>
      </c>
      <c r="M958">
        <v>0</v>
      </c>
      <c r="N958">
        <v>0</v>
      </c>
      <c r="O958">
        <v>18518.91</v>
      </c>
      <c r="P958" t="s">
        <v>25</v>
      </c>
      <c r="Q958" t="s">
        <v>26</v>
      </c>
    </row>
    <row r="959" spans="1:17" x14ac:dyDescent="0.25">
      <c r="A959" t="s">
        <v>1076</v>
      </c>
      <c r="B959" s="1">
        <v>45972</v>
      </c>
      <c r="C959" t="s">
        <v>79</v>
      </c>
      <c r="D959" t="s">
        <v>101</v>
      </c>
      <c r="E959" t="s">
        <v>49</v>
      </c>
      <c r="F959" t="s">
        <v>105</v>
      </c>
      <c r="G959" t="s">
        <v>140</v>
      </c>
      <c r="H959" t="s">
        <v>94</v>
      </c>
      <c r="I959" t="s">
        <v>95</v>
      </c>
      <c r="J959">
        <v>5</v>
      </c>
      <c r="K959">
        <v>1320.94</v>
      </c>
      <c r="L959">
        <v>6604.7</v>
      </c>
      <c r="M959">
        <v>456.22</v>
      </c>
      <c r="N959">
        <v>509.38</v>
      </c>
      <c r="O959">
        <v>5639.1</v>
      </c>
      <c r="P959" t="s">
        <v>25</v>
      </c>
      <c r="Q959" t="s">
        <v>26</v>
      </c>
    </row>
    <row r="960" spans="1:17" x14ac:dyDescent="0.25">
      <c r="A960" t="s">
        <v>1077</v>
      </c>
      <c r="B960" s="1">
        <v>45975</v>
      </c>
      <c r="C960" t="s">
        <v>18</v>
      </c>
      <c r="D960" t="s">
        <v>34</v>
      </c>
      <c r="E960" t="s">
        <v>49</v>
      </c>
      <c r="F960" t="s">
        <v>50</v>
      </c>
      <c r="G960" t="s">
        <v>29</v>
      </c>
      <c r="H960" t="s">
        <v>94</v>
      </c>
      <c r="I960" t="s">
        <v>193</v>
      </c>
      <c r="J960">
        <v>24</v>
      </c>
      <c r="K960">
        <v>15386.5</v>
      </c>
      <c r="L960">
        <v>369276</v>
      </c>
      <c r="M960">
        <v>52922.62</v>
      </c>
      <c r="N960">
        <v>0</v>
      </c>
      <c r="O960">
        <v>316353.38</v>
      </c>
      <c r="P960" t="s">
        <v>32</v>
      </c>
      <c r="Q960" t="s">
        <v>32</v>
      </c>
    </row>
    <row r="961" spans="1:17" x14ac:dyDescent="0.25">
      <c r="A961" t="s">
        <v>1078</v>
      </c>
      <c r="B961" s="1">
        <v>46043</v>
      </c>
      <c r="C961" t="s">
        <v>18</v>
      </c>
      <c r="D961" t="s">
        <v>34</v>
      </c>
      <c r="E961" t="s">
        <v>20</v>
      </c>
      <c r="F961" t="s">
        <v>42</v>
      </c>
      <c r="G961" t="s">
        <v>37</v>
      </c>
      <c r="H961" t="s">
        <v>44</v>
      </c>
      <c r="I961" t="s">
        <v>281</v>
      </c>
      <c r="J961">
        <v>43</v>
      </c>
      <c r="K961">
        <v>18597.439999999999</v>
      </c>
      <c r="L961">
        <v>799689.92</v>
      </c>
      <c r="M961">
        <v>0</v>
      </c>
      <c r="N961">
        <v>4095.57</v>
      </c>
      <c r="O961">
        <v>795594.35</v>
      </c>
      <c r="P961" t="s">
        <v>31</v>
      </c>
      <c r="Q961" t="s">
        <v>32</v>
      </c>
    </row>
    <row r="962" spans="1:17" x14ac:dyDescent="0.25">
      <c r="A962" t="s">
        <v>1079</v>
      </c>
      <c r="B962" s="1">
        <v>46001</v>
      </c>
      <c r="C962" t="s">
        <v>18</v>
      </c>
      <c r="D962" t="s">
        <v>28</v>
      </c>
      <c r="E962" t="s">
        <v>20</v>
      </c>
      <c r="F962" t="s">
        <v>42</v>
      </c>
      <c r="G962" t="s">
        <v>81</v>
      </c>
      <c r="H962" t="s">
        <v>67</v>
      </c>
      <c r="I962" t="s">
        <v>154</v>
      </c>
      <c r="J962">
        <v>42</v>
      </c>
      <c r="K962">
        <v>47007.53</v>
      </c>
      <c r="L962">
        <v>1974316.26</v>
      </c>
      <c r="M962">
        <v>0</v>
      </c>
      <c r="N962">
        <v>0</v>
      </c>
      <c r="O962">
        <v>1974316.26</v>
      </c>
      <c r="P962" t="s">
        <v>25</v>
      </c>
      <c r="Q962" t="s">
        <v>32</v>
      </c>
    </row>
    <row r="963" spans="1:17" x14ac:dyDescent="0.25">
      <c r="A963" t="s">
        <v>1080</v>
      </c>
      <c r="B963" s="1">
        <v>45984</v>
      </c>
      <c r="C963" t="s">
        <v>54</v>
      </c>
      <c r="D963" t="s">
        <v>133</v>
      </c>
      <c r="E963" t="s">
        <v>41</v>
      </c>
      <c r="F963" t="s">
        <v>62</v>
      </c>
      <c r="G963" t="s">
        <v>37</v>
      </c>
      <c r="H963" t="s">
        <v>23</v>
      </c>
      <c r="I963" t="s">
        <v>110</v>
      </c>
      <c r="J963">
        <v>9</v>
      </c>
      <c r="K963">
        <v>47580.62</v>
      </c>
      <c r="L963">
        <v>428225.58</v>
      </c>
      <c r="M963">
        <v>0</v>
      </c>
      <c r="N963">
        <v>0</v>
      </c>
      <c r="O963">
        <v>428225.58</v>
      </c>
      <c r="P963" t="s">
        <v>73</v>
      </c>
      <c r="Q963" t="s">
        <v>32</v>
      </c>
    </row>
    <row r="964" spans="1:17" x14ac:dyDescent="0.25">
      <c r="A964" t="s">
        <v>1081</v>
      </c>
      <c r="B964" s="1">
        <v>46026</v>
      </c>
      <c r="C964" t="s">
        <v>54</v>
      </c>
      <c r="D964" t="s">
        <v>55</v>
      </c>
      <c r="E964" t="s">
        <v>49</v>
      </c>
      <c r="F964" t="s">
        <v>62</v>
      </c>
      <c r="G964" t="s">
        <v>51</v>
      </c>
      <c r="H964" t="s">
        <v>67</v>
      </c>
      <c r="I964" t="s">
        <v>154</v>
      </c>
      <c r="J964">
        <v>3</v>
      </c>
      <c r="K964">
        <v>26469.97</v>
      </c>
      <c r="L964">
        <v>79409.91</v>
      </c>
      <c r="M964">
        <v>8602.19</v>
      </c>
      <c r="N964">
        <v>0</v>
      </c>
      <c r="O964">
        <v>70807.72</v>
      </c>
      <c r="P964" t="s">
        <v>73</v>
      </c>
      <c r="Q964" t="s">
        <v>32</v>
      </c>
    </row>
    <row r="965" spans="1:17" x14ac:dyDescent="0.25">
      <c r="A965" t="s">
        <v>1082</v>
      </c>
      <c r="B965" s="1">
        <v>45965</v>
      </c>
      <c r="C965" t="s">
        <v>47</v>
      </c>
      <c r="D965" t="s">
        <v>127</v>
      </c>
      <c r="E965" t="s">
        <v>41</v>
      </c>
      <c r="F965" t="s">
        <v>62</v>
      </c>
      <c r="G965" t="s">
        <v>102</v>
      </c>
      <c r="H965" t="s">
        <v>44</v>
      </c>
      <c r="I965" t="s">
        <v>141</v>
      </c>
      <c r="J965">
        <v>19</v>
      </c>
      <c r="K965">
        <v>39419.120000000003</v>
      </c>
      <c r="L965">
        <v>748963.28</v>
      </c>
      <c r="M965">
        <v>123350.77</v>
      </c>
      <c r="N965">
        <v>0</v>
      </c>
      <c r="O965">
        <v>625612.51</v>
      </c>
      <c r="P965" t="s">
        <v>25</v>
      </c>
      <c r="Q965" t="s">
        <v>26</v>
      </c>
    </row>
    <row r="966" spans="1:17" x14ac:dyDescent="0.25">
      <c r="A966" t="s">
        <v>1083</v>
      </c>
      <c r="B966" s="1">
        <v>45989</v>
      </c>
      <c r="C966" t="s">
        <v>60</v>
      </c>
      <c r="D966" t="s">
        <v>61</v>
      </c>
      <c r="E966" t="s">
        <v>41</v>
      </c>
      <c r="F966" t="s">
        <v>71</v>
      </c>
      <c r="G966" t="s">
        <v>140</v>
      </c>
      <c r="H966" t="s">
        <v>23</v>
      </c>
      <c r="I966" t="s">
        <v>99</v>
      </c>
      <c r="J966">
        <v>1</v>
      </c>
      <c r="K966">
        <v>35402.160000000003</v>
      </c>
      <c r="L966">
        <v>35402.160000000003</v>
      </c>
      <c r="M966">
        <v>4109.47</v>
      </c>
      <c r="N966">
        <v>0</v>
      </c>
      <c r="O966">
        <v>31292.69</v>
      </c>
      <c r="P966" t="s">
        <v>73</v>
      </c>
      <c r="Q966" t="s">
        <v>32</v>
      </c>
    </row>
    <row r="967" spans="1:17" x14ac:dyDescent="0.25">
      <c r="A967" t="s">
        <v>1084</v>
      </c>
      <c r="B967" s="1">
        <v>46036</v>
      </c>
      <c r="C967" t="s">
        <v>54</v>
      </c>
      <c r="D967" t="s">
        <v>55</v>
      </c>
      <c r="E967" t="s">
        <v>41</v>
      </c>
      <c r="F967" t="s">
        <v>50</v>
      </c>
      <c r="G967" t="s">
        <v>43</v>
      </c>
      <c r="H967" t="s">
        <v>23</v>
      </c>
      <c r="I967" t="s">
        <v>24</v>
      </c>
      <c r="J967">
        <v>27</v>
      </c>
      <c r="K967">
        <v>19712.27</v>
      </c>
      <c r="L967">
        <v>532231.29</v>
      </c>
      <c r="M967">
        <v>0</v>
      </c>
      <c r="N967">
        <v>0</v>
      </c>
      <c r="O967">
        <v>532231.29</v>
      </c>
      <c r="P967" t="s">
        <v>32</v>
      </c>
      <c r="Q967" t="s">
        <v>26</v>
      </c>
    </row>
    <row r="968" spans="1:17" x14ac:dyDescent="0.25">
      <c r="A968" t="s">
        <v>1085</v>
      </c>
      <c r="B968" s="1">
        <v>46024</v>
      </c>
      <c r="C968" t="s">
        <v>54</v>
      </c>
      <c r="D968" t="s">
        <v>133</v>
      </c>
      <c r="E968" t="s">
        <v>49</v>
      </c>
      <c r="F968" t="s">
        <v>137</v>
      </c>
      <c r="G968" t="s">
        <v>66</v>
      </c>
      <c r="H968" t="s">
        <v>57</v>
      </c>
      <c r="I968" t="s">
        <v>160</v>
      </c>
      <c r="J968">
        <v>50</v>
      </c>
      <c r="K968">
        <v>19998.82</v>
      </c>
      <c r="L968">
        <v>999941</v>
      </c>
      <c r="M968">
        <v>8051.69</v>
      </c>
      <c r="N968">
        <v>58361.77</v>
      </c>
      <c r="O968">
        <v>933527.54</v>
      </c>
      <c r="P968" t="s">
        <v>31</v>
      </c>
      <c r="Q968" t="s">
        <v>32</v>
      </c>
    </row>
    <row r="969" spans="1:17" x14ac:dyDescent="0.25">
      <c r="A969" t="s">
        <v>1086</v>
      </c>
      <c r="B969" s="1">
        <v>46023</v>
      </c>
      <c r="C969" t="s">
        <v>54</v>
      </c>
      <c r="D969" t="s">
        <v>70</v>
      </c>
      <c r="E969" t="s">
        <v>49</v>
      </c>
      <c r="F969" t="s">
        <v>50</v>
      </c>
      <c r="G969" t="s">
        <v>81</v>
      </c>
      <c r="H969" t="s">
        <v>44</v>
      </c>
      <c r="I969" t="s">
        <v>141</v>
      </c>
      <c r="J969">
        <v>19</v>
      </c>
      <c r="K969">
        <v>43209.94</v>
      </c>
      <c r="L969">
        <v>820988.86</v>
      </c>
      <c r="M969">
        <v>0</v>
      </c>
      <c r="N969">
        <v>129020.55</v>
      </c>
      <c r="O969">
        <v>691968.31</v>
      </c>
      <c r="P969" t="s">
        <v>73</v>
      </c>
      <c r="Q969" t="s">
        <v>32</v>
      </c>
    </row>
    <row r="970" spans="1:17" x14ac:dyDescent="0.25">
      <c r="A970" t="s">
        <v>1087</v>
      </c>
      <c r="B970" s="1">
        <v>45985</v>
      </c>
      <c r="C970" t="s">
        <v>79</v>
      </c>
      <c r="D970" t="s">
        <v>91</v>
      </c>
      <c r="E970" t="s">
        <v>35</v>
      </c>
      <c r="F970" t="s">
        <v>21</v>
      </c>
      <c r="G970" t="s">
        <v>22</v>
      </c>
      <c r="H970" t="s">
        <v>67</v>
      </c>
      <c r="I970" t="s">
        <v>154</v>
      </c>
      <c r="J970">
        <v>19</v>
      </c>
      <c r="K970">
        <v>42630.21</v>
      </c>
      <c r="L970">
        <v>809973.99</v>
      </c>
      <c r="M970">
        <v>138639.94</v>
      </c>
      <c r="N970">
        <v>0</v>
      </c>
      <c r="O970">
        <v>671334.05</v>
      </c>
      <c r="P970" t="s">
        <v>25</v>
      </c>
      <c r="Q970" t="s">
        <v>26</v>
      </c>
    </row>
    <row r="971" spans="1:17" x14ac:dyDescent="0.25">
      <c r="A971" t="s">
        <v>1088</v>
      </c>
      <c r="B971" s="1">
        <v>45992</v>
      </c>
      <c r="C971" t="s">
        <v>79</v>
      </c>
      <c r="D971" t="s">
        <v>91</v>
      </c>
      <c r="E971" t="s">
        <v>20</v>
      </c>
      <c r="F971" t="s">
        <v>62</v>
      </c>
      <c r="G971" t="s">
        <v>66</v>
      </c>
      <c r="H971" t="s">
        <v>67</v>
      </c>
      <c r="I971" t="s">
        <v>68</v>
      </c>
      <c r="J971">
        <v>17</v>
      </c>
      <c r="K971">
        <v>38977.42</v>
      </c>
      <c r="L971">
        <v>662616.14</v>
      </c>
      <c r="M971">
        <v>0</v>
      </c>
      <c r="N971">
        <v>0</v>
      </c>
      <c r="O971">
        <v>662616.14</v>
      </c>
      <c r="P971" t="s">
        <v>32</v>
      </c>
      <c r="Q971" t="s">
        <v>32</v>
      </c>
    </row>
    <row r="972" spans="1:17" x14ac:dyDescent="0.25">
      <c r="A972" t="s">
        <v>1089</v>
      </c>
      <c r="B972" s="1">
        <v>45978</v>
      </c>
      <c r="C972" t="s">
        <v>54</v>
      </c>
      <c r="D972" t="s">
        <v>97</v>
      </c>
      <c r="E972" t="s">
        <v>41</v>
      </c>
      <c r="F972" t="s">
        <v>137</v>
      </c>
      <c r="G972" t="s">
        <v>56</v>
      </c>
      <c r="H972" t="s">
        <v>57</v>
      </c>
      <c r="I972" t="s">
        <v>118</v>
      </c>
      <c r="J972">
        <v>31</v>
      </c>
      <c r="K972">
        <v>27671.02</v>
      </c>
      <c r="L972">
        <v>857801.62</v>
      </c>
      <c r="M972">
        <v>0</v>
      </c>
      <c r="N972">
        <v>0</v>
      </c>
      <c r="O972">
        <v>857801.62</v>
      </c>
      <c r="P972" t="s">
        <v>32</v>
      </c>
      <c r="Q972" t="s">
        <v>26</v>
      </c>
    </row>
    <row r="973" spans="1:17" x14ac:dyDescent="0.25">
      <c r="A973" t="s">
        <v>1090</v>
      </c>
      <c r="B973" s="1">
        <v>45987</v>
      </c>
      <c r="C973" t="s">
        <v>54</v>
      </c>
      <c r="D973" t="s">
        <v>133</v>
      </c>
      <c r="E973" t="s">
        <v>20</v>
      </c>
      <c r="F973" t="s">
        <v>50</v>
      </c>
      <c r="G973" t="s">
        <v>98</v>
      </c>
      <c r="H973" t="s">
        <v>23</v>
      </c>
      <c r="I973" t="s">
        <v>30</v>
      </c>
      <c r="J973">
        <v>34</v>
      </c>
      <c r="K973">
        <v>25915.39</v>
      </c>
      <c r="L973">
        <v>881123.26</v>
      </c>
      <c r="M973">
        <v>0</v>
      </c>
      <c r="N973">
        <v>166946.56</v>
      </c>
      <c r="O973">
        <v>714176.7</v>
      </c>
      <c r="P973" t="s">
        <v>32</v>
      </c>
      <c r="Q973" t="s">
        <v>32</v>
      </c>
    </row>
    <row r="974" spans="1:17" x14ac:dyDescent="0.25">
      <c r="A974" t="s">
        <v>1091</v>
      </c>
      <c r="B974" s="1">
        <v>45990</v>
      </c>
      <c r="C974" t="s">
        <v>79</v>
      </c>
      <c r="D974" t="s">
        <v>107</v>
      </c>
      <c r="E974" t="s">
        <v>20</v>
      </c>
      <c r="F974" t="s">
        <v>84</v>
      </c>
      <c r="G974" t="s">
        <v>138</v>
      </c>
      <c r="H974" t="s">
        <v>94</v>
      </c>
      <c r="I974" t="s">
        <v>144</v>
      </c>
      <c r="J974">
        <v>50</v>
      </c>
      <c r="K974">
        <v>48541.82</v>
      </c>
      <c r="L974">
        <v>2427091</v>
      </c>
      <c r="M974">
        <v>0</v>
      </c>
      <c r="N974">
        <v>5830.8</v>
      </c>
      <c r="O974">
        <v>2421260.2000000002</v>
      </c>
      <c r="P974" t="s">
        <v>31</v>
      </c>
      <c r="Q974" t="s">
        <v>32</v>
      </c>
    </row>
    <row r="975" spans="1:17" x14ac:dyDescent="0.25">
      <c r="A975" t="s">
        <v>1092</v>
      </c>
      <c r="B975" s="1">
        <v>45963</v>
      </c>
      <c r="C975" t="s">
        <v>60</v>
      </c>
      <c r="D975" t="s">
        <v>65</v>
      </c>
      <c r="E975" t="s">
        <v>49</v>
      </c>
      <c r="F975" t="s">
        <v>21</v>
      </c>
      <c r="G975" t="s">
        <v>81</v>
      </c>
      <c r="H975" t="s">
        <v>94</v>
      </c>
      <c r="I975" t="s">
        <v>177</v>
      </c>
      <c r="J975">
        <v>13</v>
      </c>
      <c r="K975">
        <v>14106.7</v>
      </c>
      <c r="L975">
        <v>183387.1</v>
      </c>
      <c r="M975">
        <v>4148.12</v>
      </c>
      <c r="N975">
        <v>0</v>
      </c>
      <c r="O975">
        <v>179238.98</v>
      </c>
      <c r="P975" t="s">
        <v>32</v>
      </c>
      <c r="Q975" t="s">
        <v>32</v>
      </c>
    </row>
    <row r="976" spans="1:17" x14ac:dyDescent="0.25">
      <c r="A976" t="s">
        <v>1093</v>
      </c>
      <c r="B976" s="1">
        <v>45984</v>
      </c>
      <c r="C976" t="s">
        <v>18</v>
      </c>
      <c r="D976" t="s">
        <v>34</v>
      </c>
      <c r="E976" t="s">
        <v>35</v>
      </c>
      <c r="F976" t="s">
        <v>71</v>
      </c>
      <c r="G976" t="s">
        <v>140</v>
      </c>
      <c r="H976" t="s">
        <v>44</v>
      </c>
      <c r="I976" t="s">
        <v>124</v>
      </c>
      <c r="J976">
        <v>33</v>
      </c>
      <c r="K976">
        <v>4681.96</v>
      </c>
      <c r="L976">
        <v>154504.68</v>
      </c>
      <c r="M976">
        <v>3280.3</v>
      </c>
      <c r="N976">
        <v>0</v>
      </c>
      <c r="O976">
        <v>151224.38</v>
      </c>
      <c r="P976" t="s">
        <v>32</v>
      </c>
      <c r="Q976" t="s">
        <v>32</v>
      </c>
    </row>
    <row r="977" spans="1:17" x14ac:dyDescent="0.25">
      <c r="A977" t="s">
        <v>1094</v>
      </c>
      <c r="B977" s="1">
        <v>46023</v>
      </c>
      <c r="C977" t="s">
        <v>79</v>
      </c>
      <c r="D977" t="s">
        <v>107</v>
      </c>
      <c r="E977" t="s">
        <v>35</v>
      </c>
      <c r="F977" t="s">
        <v>71</v>
      </c>
      <c r="G977" t="s">
        <v>89</v>
      </c>
      <c r="H977" t="s">
        <v>23</v>
      </c>
      <c r="I977" t="s">
        <v>99</v>
      </c>
      <c r="J977">
        <v>27</v>
      </c>
      <c r="K977">
        <v>39982.07</v>
      </c>
      <c r="L977">
        <v>1079515.8899999999</v>
      </c>
      <c r="M977">
        <v>54371.79</v>
      </c>
      <c r="N977">
        <v>314400.03000000003</v>
      </c>
      <c r="O977">
        <v>710744.07</v>
      </c>
      <c r="P977" t="s">
        <v>32</v>
      </c>
      <c r="Q977" t="s">
        <v>32</v>
      </c>
    </row>
    <row r="978" spans="1:17" x14ac:dyDescent="0.25">
      <c r="A978" t="s">
        <v>1095</v>
      </c>
      <c r="B978" s="1">
        <v>46003</v>
      </c>
      <c r="C978" t="s">
        <v>60</v>
      </c>
      <c r="D978" t="s">
        <v>123</v>
      </c>
      <c r="E978" t="s">
        <v>41</v>
      </c>
      <c r="F978" t="s">
        <v>21</v>
      </c>
      <c r="G978" t="s">
        <v>98</v>
      </c>
      <c r="H978" t="s">
        <v>67</v>
      </c>
      <c r="I978" t="s">
        <v>77</v>
      </c>
      <c r="J978">
        <v>17</v>
      </c>
      <c r="K978">
        <v>35156.07</v>
      </c>
      <c r="L978">
        <v>597653.18999999994</v>
      </c>
      <c r="M978">
        <v>109098.03</v>
      </c>
      <c r="N978">
        <v>0</v>
      </c>
      <c r="O978">
        <v>488555.16</v>
      </c>
      <c r="P978" t="s">
        <v>25</v>
      </c>
      <c r="Q978" t="s">
        <v>26</v>
      </c>
    </row>
    <row r="979" spans="1:17" x14ac:dyDescent="0.25">
      <c r="A979" t="s">
        <v>1096</v>
      </c>
      <c r="B979" s="1">
        <v>45954</v>
      </c>
      <c r="C979" t="s">
        <v>79</v>
      </c>
      <c r="D979" t="s">
        <v>91</v>
      </c>
      <c r="E979" t="s">
        <v>41</v>
      </c>
      <c r="F979" t="s">
        <v>84</v>
      </c>
      <c r="G979" t="s">
        <v>102</v>
      </c>
      <c r="H979" t="s">
        <v>23</v>
      </c>
      <c r="I979" t="s">
        <v>99</v>
      </c>
      <c r="J979">
        <v>41</v>
      </c>
      <c r="K979">
        <v>32619.46</v>
      </c>
      <c r="L979">
        <v>1337397.8600000001</v>
      </c>
      <c r="M979">
        <v>34911.86</v>
      </c>
      <c r="N979">
        <v>0</v>
      </c>
      <c r="O979">
        <v>1302486</v>
      </c>
      <c r="P979" t="s">
        <v>25</v>
      </c>
      <c r="Q979" t="s">
        <v>26</v>
      </c>
    </row>
    <row r="980" spans="1:17" x14ac:dyDescent="0.25">
      <c r="A980" t="s">
        <v>1097</v>
      </c>
      <c r="B980" s="1">
        <v>46017</v>
      </c>
      <c r="C980" t="s">
        <v>60</v>
      </c>
      <c r="D980" t="s">
        <v>151</v>
      </c>
      <c r="E980" t="s">
        <v>41</v>
      </c>
      <c r="F980" t="s">
        <v>112</v>
      </c>
      <c r="G980" t="s">
        <v>102</v>
      </c>
      <c r="H980" t="s">
        <v>38</v>
      </c>
      <c r="I980" t="s">
        <v>108</v>
      </c>
      <c r="J980">
        <v>26</v>
      </c>
      <c r="K980">
        <v>47406.45</v>
      </c>
      <c r="L980">
        <v>1232567.7</v>
      </c>
      <c r="M980">
        <v>203023.99</v>
      </c>
      <c r="N980">
        <v>267769.46999999997</v>
      </c>
      <c r="O980">
        <v>761774.24</v>
      </c>
      <c r="P980" t="s">
        <v>25</v>
      </c>
      <c r="Q980" t="s">
        <v>26</v>
      </c>
    </row>
    <row r="981" spans="1:17" x14ac:dyDescent="0.25">
      <c r="A981" t="s">
        <v>1098</v>
      </c>
      <c r="B981" s="1">
        <v>45974</v>
      </c>
      <c r="C981" t="s">
        <v>47</v>
      </c>
      <c r="D981" t="s">
        <v>114</v>
      </c>
      <c r="E981" t="s">
        <v>41</v>
      </c>
      <c r="F981" t="s">
        <v>137</v>
      </c>
      <c r="G981" t="s">
        <v>43</v>
      </c>
      <c r="H981" t="s">
        <v>67</v>
      </c>
      <c r="I981" t="s">
        <v>170</v>
      </c>
      <c r="J981">
        <v>39</v>
      </c>
      <c r="K981">
        <v>9487.76</v>
      </c>
      <c r="L981">
        <v>370022.64</v>
      </c>
      <c r="M981">
        <v>10226.780000000001</v>
      </c>
      <c r="N981">
        <v>80954.070000000007</v>
      </c>
      <c r="O981">
        <v>278841.78999999998</v>
      </c>
      <c r="P981" t="s">
        <v>25</v>
      </c>
      <c r="Q981" t="s">
        <v>26</v>
      </c>
    </row>
    <row r="982" spans="1:17" x14ac:dyDescent="0.25">
      <c r="A982" t="s">
        <v>1099</v>
      </c>
      <c r="B982" s="1">
        <v>46040</v>
      </c>
      <c r="C982" t="s">
        <v>54</v>
      </c>
      <c r="D982" t="s">
        <v>133</v>
      </c>
      <c r="E982" t="s">
        <v>41</v>
      </c>
      <c r="F982" t="s">
        <v>62</v>
      </c>
      <c r="G982" t="s">
        <v>81</v>
      </c>
      <c r="H982" t="s">
        <v>94</v>
      </c>
      <c r="I982" t="s">
        <v>163</v>
      </c>
      <c r="J982">
        <v>50</v>
      </c>
      <c r="K982">
        <v>43829.08</v>
      </c>
      <c r="L982">
        <v>2191454</v>
      </c>
      <c r="M982">
        <v>0</v>
      </c>
      <c r="N982">
        <v>0</v>
      </c>
      <c r="O982">
        <v>2191454</v>
      </c>
      <c r="P982" t="s">
        <v>73</v>
      </c>
      <c r="Q982" t="s">
        <v>26</v>
      </c>
    </row>
    <row r="983" spans="1:17" x14ac:dyDescent="0.25">
      <c r="A983" t="s">
        <v>1100</v>
      </c>
      <c r="B983" s="1">
        <v>46024</v>
      </c>
      <c r="C983" t="s">
        <v>60</v>
      </c>
      <c r="D983" t="s">
        <v>123</v>
      </c>
      <c r="E983" t="s">
        <v>49</v>
      </c>
      <c r="F983" t="s">
        <v>36</v>
      </c>
      <c r="G983" t="s">
        <v>85</v>
      </c>
      <c r="H983" t="s">
        <v>67</v>
      </c>
      <c r="I983" t="s">
        <v>170</v>
      </c>
      <c r="J983">
        <v>10</v>
      </c>
      <c r="K983">
        <v>22293.040000000001</v>
      </c>
      <c r="L983">
        <v>222930.4</v>
      </c>
      <c r="M983">
        <v>34586.79</v>
      </c>
      <c r="N983">
        <v>0</v>
      </c>
      <c r="O983">
        <v>188343.61</v>
      </c>
      <c r="P983" t="s">
        <v>73</v>
      </c>
      <c r="Q983" t="s">
        <v>32</v>
      </c>
    </row>
    <row r="984" spans="1:17" x14ac:dyDescent="0.25">
      <c r="A984" t="s">
        <v>1101</v>
      </c>
      <c r="B984" s="1">
        <v>45957</v>
      </c>
      <c r="C984" t="s">
        <v>18</v>
      </c>
      <c r="D984" t="s">
        <v>28</v>
      </c>
      <c r="E984" t="s">
        <v>41</v>
      </c>
      <c r="F984" t="s">
        <v>36</v>
      </c>
      <c r="G984" t="s">
        <v>63</v>
      </c>
      <c r="H984" t="s">
        <v>57</v>
      </c>
      <c r="I984" t="s">
        <v>58</v>
      </c>
      <c r="J984">
        <v>24</v>
      </c>
      <c r="K984">
        <v>28664.86</v>
      </c>
      <c r="L984">
        <v>687956.64</v>
      </c>
      <c r="M984">
        <v>0</v>
      </c>
      <c r="N984">
        <v>0</v>
      </c>
      <c r="O984">
        <v>687956.64</v>
      </c>
      <c r="P984" t="s">
        <v>25</v>
      </c>
      <c r="Q984" t="s">
        <v>26</v>
      </c>
    </row>
    <row r="985" spans="1:17" x14ac:dyDescent="0.25">
      <c r="A985" t="s">
        <v>1102</v>
      </c>
      <c r="B985" s="1">
        <v>46043</v>
      </c>
      <c r="C985" t="s">
        <v>79</v>
      </c>
      <c r="D985" t="s">
        <v>101</v>
      </c>
      <c r="E985" t="s">
        <v>20</v>
      </c>
      <c r="F985" t="s">
        <v>137</v>
      </c>
      <c r="G985" t="s">
        <v>66</v>
      </c>
      <c r="H985" t="s">
        <v>57</v>
      </c>
      <c r="I985" t="s">
        <v>118</v>
      </c>
      <c r="J985">
        <v>31</v>
      </c>
      <c r="K985">
        <v>6248.56</v>
      </c>
      <c r="L985">
        <v>193705.36</v>
      </c>
      <c r="M985">
        <v>27850.42</v>
      </c>
      <c r="N985">
        <v>0</v>
      </c>
      <c r="O985">
        <v>165854.94</v>
      </c>
      <c r="P985" t="s">
        <v>31</v>
      </c>
      <c r="Q985" t="s">
        <v>32</v>
      </c>
    </row>
    <row r="986" spans="1:17" x14ac:dyDescent="0.25">
      <c r="A986" t="s">
        <v>1103</v>
      </c>
      <c r="B986" s="1">
        <v>46015</v>
      </c>
      <c r="C986" t="s">
        <v>79</v>
      </c>
      <c r="D986" t="s">
        <v>107</v>
      </c>
      <c r="E986" t="s">
        <v>35</v>
      </c>
      <c r="F986" t="s">
        <v>21</v>
      </c>
      <c r="G986" t="s">
        <v>51</v>
      </c>
      <c r="H986" t="s">
        <v>57</v>
      </c>
      <c r="I986" t="s">
        <v>92</v>
      </c>
      <c r="J986">
        <v>32</v>
      </c>
      <c r="K986">
        <v>49162.78</v>
      </c>
      <c r="L986">
        <v>1573208.96</v>
      </c>
      <c r="M986">
        <v>67256.34</v>
      </c>
      <c r="N986">
        <v>19123.72</v>
      </c>
      <c r="O986">
        <v>1486828.9</v>
      </c>
      <c r="P986" t="s">
        <v>31</v>
      </c>
      <c r="Q986" t="s">
        <v>32</v>
      </c>
    </row>
    <row r="987" spans="1:17" x14ac:dyDescent="0.25">
      <c r="A987" t="s">
        <v>1104</v>
      </c>
      <c r="B987" s="1">
        <v>45962</v>
      </c>
      <c r="C987" t="s">
        <v>54</v>
      </c>
      <c r="D987" t="s">
        <v>70</v>
      </c>
      <c r="E987" t="s">
        <v>49</v>
      </c>
      <c r="F987" t="s">
        <v>105</v>
      </c>
      <c r="G987" t="s">
        <v>37</v>
      </c>
      <c r="H987" t="s">
        <v>57</v>
      </c>
      <c r="I987" t="s">
        <v>148</v>
      </c>
      <c r="J987">
        <v>2</v>
      </c>
      <c r="K987">
        <v>34189.39</v>
      </c>
      <c r="L987">
        <v>68378.78</v>
      </c>
      <c r="M987">
        <v>0</v>
      </c>
      <c r="N987">
        <v>0</v>
      </c>
      <c r="O987">
        <v>68378.78</v>
      </c>
      <c r="P987" t="s">
        <v>73</v>
      </c>
      <c r="Q987" t="s">
        <v>26</v>
      </c>
    </row>
    <row r="988" spans="1:17" x14ac:dyDescent="0.25">
      <c r="A988" t="s">
        <v>1105</v>
      </c>
      <c r="B988" s="1">
        <v>46020</v>
      </c>
      <c r="C988" t="s">
        <v>47</v>
      </c>
      <c r="D988" t="s">
        <v>127</v>
      </c>
      <c r="E988" t="s">
        <v>35</v>
      </c>
      <c r="F988" t="s">
        <v>84</v>
      </c>
      <c r="G988" t="s">
        <v>56</v>
      </c>
      <c r="H988" t="s">
        <v>44</v>
      </c>
      <c r="I988" t="s">
        <v>45</v>
      </c>
      <c r="J988">
        <v>12</v>
      </c>
      <c r="K988">
        <v>5981.26</v>
      </c>
      <c r="L988">
        <v>71775.12</v>
      </c>
      <c r="M988">
        <v>0</v>
      </c>
      <c r="N988">
        <v>3666.77</v>
      </c>
      <c r="O988">
        <v>68108.350000000006</v>
      </c>
      <c r="P988" t="s">
        <v>25</v>
      </c>
      <c r="Q988" t="s">
        <v>32</v>
      </c>
    </row>
    <row r="989" spans="1:17" x14ac:dyDescent="0.25">
      <c r="A989" t="s">
        <v>1106</v>
      </c>
      <c r="B989" s="1">
        <v>45972</v>
      </c>
      <c r="C989" t="s">
        <v>54</v>
      </c>
      <c r="D989" t="s">
        <v>97</v>
      </c>
      <c r="E989" t="s">
        <v>20</v>
      </c>
      <c r="F989" t="s">
        <v>50</v>
      </c>
      <c r="G989" t="s">
        <v>63</v>
      </c>
      <c r="H989" t="s">
        <v>94</v>
      </c>
      <c r="I989" t="s">
        <v>95</v>
      </c>
      <c r="J989">
        <v>38</v>
      </c>
      <c r="K989">
        <v>44359.63</v>
      </c>
      <c r="L989">
        <v>1685665.94</v>
      </c>
      <c r="M989">
        <v>3849.13</v>
      </c>
      <c r="N989">
        <v>0</v>
      </c>
      <c r="O989">
        <v>1681816.81</v>
      </c>
      <c r="P989" t="s">
        <v>25</v>
      </c>
      <c r="Q989" t="s">
        <v>26</v>
      </c>
    </row>
    <row r="990" spans="1:17" x14ac:dyDescent="0.25">
      <c r="A990" t="s">
        <v>1107</v>
      </c>
      <c r="B990" s="1">
        <v>45973</v>
      </c>
      <c r="C990" t="s">
        <v>54</v>
      </c>
      <c r="D990" t="s">
        <v>70</v>
      </c>
      <c r="E990" t="s">
        <v>20</v>
      </c>
      <c r="F990" t="s">
        <v>71</v>
      </c>
      <c r="G990" t="s">
        <v>85</v>
      </c>
      <c r="H990" t="s">
        <v>38</v>
      </c>
      <c r="I990" t="s">
        <v>108</v>
      </c>
      <c r="J990">
        <v>37</v>
      </c>
      <c r="K990">
        <v>24383.11</v>
      </c>
      <c r="L990">
        <v>902175.07</v>
      </c>
      <c r="M990">
        <v>95278.68</v>
      </c>
      <c r="N990">
        <v>144947.34</v>
      </c>
      <c r="O990">
        <v>661949.05000000005</v>
      </c>
      <c r="P990" t="s">
        <v>73</v>
      </c>
      <c r="Q990" t="s">
        <v>32</v>
      </c>
    </row>
    <row r="991" spans="1:17" x14ac:dyDescent="0.25">
      <c r="A991" t="s">
        <v>1108</v>
      </c>
      <c r="B991" s="1">
        <v>45954</v>
      </c>
      <c r="C991" t="s">
        <v>18</v>
      </c>
      <c r="D991" t="s">
        <v>34</v>
      </c>
      <c r="E991" t="s">
        <v>35</v>
      </c>
      <c r="F991" t="s">
        <v>62</v>
      </c>
      <c r="G991" t="s">
        <v>85</v>
      </c>
      <c r="H991" t="s">
        <v>44</v>
      </c>
      <c r="I991" t="s">
        <v>45</v>
      </c>
      <c r="J991">
        <v>37</v>
      </c>
      <c r="K991">
        <v>9096.5</v>
      </c>
      <c r="L991">
        <v>336570.5</v>
      </c>
      <c r="M991">
        <v>59635.839999999997</v>
      </c>
      <c r="N991">
        <v>0</v>
      </c>
      <c r="O991">
        <v>276934.65999999997</v>
      </c>
      <c r="P991" t="s">
        <v>73</v>
      </c>
      <c r="Q991" t="s">
        <v>32</v>
      </c>
    </row>
    <row r="992" spans="1:17" x14ac:dyDescent="0.25">
      <c r="A992" t="s">
        <v>1109</v>
      </c>
      <c r="B992" s="1">
        <v>46032</v>
      </c>
      <c r="C992" t="s">
        <v>47</v>
      </c>
      <c r="D992" t="s">
        <v>127</v>
      </c>
      <c r="E992" t="s">
        <v>20</v>
      </c>
      <c r="F992" t="s">
        <v>112</v>
      </c>
      <c r="G992" t="s">
        <v>140</v>
      </c>
      <c r="H992" t="s">
        <v>38</v>
      </c>
      <c r="I992" t="s">
        <v>39</v>
      </c>
      <c r="J992">
        <v>32</v>
      </c>
      <c r="K992">
        <v>25289.79</v>
      </c>
      <c r="L992">
        <v>809273.28</v>
      </c>
      <c r="M992">
        <v>87827.74</v>
      </c>
      <c r="N992">
        <v>0</v>
      </c>
      <c r="O992">
        <v>721445.54</v>
      </c>
      <c r="P992" t="s">
        <v>32</v>
      </c>
      <c r="Q992" t="s">
        <v>32</v>
      </c>
    </row>
    <row r="993" spans="1:17" x14ac:dyDescent="0.25">
      <c r="A993" t="s">
        <v>1110</v>
      </c>
      <c r="B993" s="1">
        <v>45988</v>
      </c>
      <c r="C993" t="s">
        <v>54</v>
      </c>
      <c r="D993" t="s">
        <v>55</v>
      </c>
      <c r="E993" t="s">
        <v>49</v>
      </c>
      <c r="F993" t="s">
        <v>62</v>
      </c>
      <c r="G993" t="s">
        <v>22</v>
      </c>
      <c r="H993" t="s">
        <v>44</v>
      </c>
      <c r="I993" t="s">
        <v>141</v>
      </c>
      <c r="J993">
        <v>49</v>
      </c>
      <c r="K993">
        <v>1694.98</v>
      </c>
      <c r="L993">
        <v>83054.02</v>
      </c>
      <c r="M993">
        <v>11248.61</v>
      </c>
      <c r="N993">
        <v>0</v>
      </c>
      <c r="O993">
        <v>71805.41</v>
      </c>
      <c r="P993" t="s">
        <v>32</v>
      </c>
      <c r="Q993" t="s">
        <v>32</v>
      </c>
    </row>
    <row r="994" spans="1:17" x14ac:dyDescent="0.25">
      <c r="A994" t="s">
        <v>1111</v>
      </c>
      <c r="B994" s="1">
        <v>46023</v>
      </c>
      <c r="C994" t="s">
        <v>18</v>
      </c>
      <c r="D994" t="s">
        <v>28</v>
      </c>
      <c r="E994" t="s">
        <v>20</v>
      </c>
      <c r="F994" t="s">
        <v>42</v>
      </c>
      <c r="G994" t="s">
        <v>43</v>
      </c>
      <c r="H994" t="s">
        <v>23</v>
      </c>
      <c r="I994" t="s">
        <v>131</v>
      </c>
      <c r="J994">
        <v>23</v>
      </c>
      <c r="K994">
        <v>33590.629999999997</v>
      </c>
      <c r="L994">
        <v>772584.49</v>
      </c>
      <c r="M994">
        <v>17666.16</v>
      </c>
      <c r="N994">
        <v>0</v>
      </c>
      <c r="O994">
        <v>754918.33</v>
      </c>
      <c r="P994" t="s">
        <v>25</v>
      </c>
      <c r="Q994" t="s">
        <v>26</v>
      </c>
    </row>
    <row r="995" spans="1:17" x14ac:dyDescent="0.25">
      <c r="A995" t="s">
        <v>1112</v>
      </c>
      <c r="B995" s="1">
        <v>45997</v>
      </c>
      <c r="C995" t="s">
        <v>47</v>
      </c>
      <c r="D995" t="s">
        <v>127</v>
      </c>
      <c r="E995" t="s">
        <v>49</v>
      </c>
      <c r="F995" t="s">
        <v>137</v>
      </c>
      <c r="G995" t="s">
        <v>102</v>
      </c>
      <c r="H995" t="s">
        <v>23</v>
      </c>
      <c r="I995" t="s">
        <v>52</v>
      </c>
      <c r="J995">
        <v>19</v>
      </c>
      <c r="K995">
        <v>12847.53</v>
      </c>
      <c r="L995">
        <v>244103.07</v>
      </c>
      <c r="M995">
        <v>0</v>
      </c>
      <c r="N995">
        <v>0</v>
      </c>
      <c r="O995">
        <v>244103.07</v>
      </c>
      <c r="P995" t="s">
        <v>73</v>
      </c>
      <c r="Q995" t="s">
        <v>32</v>
      </c>
    </row>
    <row r="996" spans="1:17" x14ac:dyDescent="0.25">
      <c r="A996" t="s">
        <v>1113</v>
      </c>
      <c r="B996" s="1">
        <v>46005</v>
      </c>
      <c r="C996" t="s">
        <v>18</v>
      </c>
      <c r="D996" t="s">
        <v>75</v>
      </c>
      <c r="E996" t="s">
        <v>20</v>
      </c>
      <c r="F996" t="s">
        <v>36</v>
      </c>
      <c r="G996" t="s">
        <v>85</v>
      </c>
      <c r="H996" t="s">
        <v>44</v>
      </c>
      <c r="I996" t="s">
        <v>281</v>
      </c>
      <c r="J996">
        <v>26</v>
      </c>
      <c r="K996">
        <v>1509.52</v>
      </c>
      <c r="L996">
        <v>39247.519999999997</v>
      </c>
      <c r="M996">
        <v>3279.93</v>
      </c>
      <c r="N996">
        <v>0</v>
      </c>
      <c r="O996">
        <v>35967.589999999997</v>
      </c>
      <c r="P996" t="s">
        <v>73</v>
      </c>
      <c r="Q996" t="s">
        <v>26</v>
      </c>
    </row>
    <row r="997" spans="1:17" x14ac:dyDescent="0.25">
      <c r="A997" t="s">
        <v>1114</v>
      </c>
      <c r="B997" s="1">
        <v>46008</v>
      </c>
      <c r="C997" t="s">
        <v>54</v>
      </c>
      <c r="D997" t="s">
        <v>55</v>
      </c>
      <c r="E997" t="s">
        <v>20</v>
      </c>
      <c r="F997" t="s">
        <v>137</v>
      </c>
      <c r="G997" t="s">
        <v>85</v>
      </c>
      <c r="H997" t="s">
        <v>94</v>
      </c>
      <c r="I997" t="s">
        <v>163</v>
      </c>
      <c r="J997">
        <v>19</v>
      </c>
      <c r="K997">
        <v>23714.47</v>
      </c>
      <c r="L997">
        <v>450574.93</v>
      </c>
      <c r="M997">
        <v>0</v>
      </c>
      <c r="N997">
        <v>7330.37</v>
      </c>
      <c r="O997">
        <v>443244.56</v>
      </c>
      <c r="P997" t="s">
        <v>32</v>
      </c>
      <c r="Q997" t="s">
        <v>32</v>
      </c>
    </row>
    <row r="998" spans="1:17" x14ac:dyDescent="0.25">
      <c r="A998" t="s">
        <v>1115</v>
      </c>
      <c r="B998" s="1">
        <v>45998</v>
      </c>
      <c r="C998" t="s">
        <v>54</v>
      </c>
      <c r="D998" t="s">
        <v>55</v>
      </c>
      <c r="E998" t="s">
        <v>41</v>
      </c>
      <c r="F998" t="s">
        <v>50</v>
      </c>
      <c r="G998" t="s">
        <v>138</v>
      </c>
      <c r="H998" t="s">
        <v>67</v>
      </c>
      <c r="I998" t="s">
        <v>68</v>
      </c>
      <c r="J998">
        <v>37</v>
      </c>
      <c r="K998">
        <v>20346.900000000001</v>
      </c>
      <c r="L998">
        <v>752835.3</v>
      </c>
      <c r="M998">
        <v>134210.37</v>
      </c>
      <c r="N998">
        <v>0</v>
      </c>
      <c r="O998">
        <v>618624.93000000005</v>
      </c>
      <c r="P998" t="s">
        <v>73</v>
      </c>
      <c r="Q998" t="s">
        <v>32</v>
      </c>
    </row>
    <row r="999" spans="1:17" x14ac:dyDescent="0.25">
      <c r="A999" t="s">
        <v>1116</v>
      </c>
      <c r="B999" s="1">
        <v>45994</v>
      </c>
      <c r="C999" t="s">
        <v>79</v>
      </c>
      <c r="D999" t="s">
        <v>101</v>
      </c>
      <c r="E999" t="s">
        <v>35</v>
      </c>
      <c r="F999" t="s">
        <v>36</v>
      </c>
      <c r="G999" t="s">
        <v>56</v>
      </c>
      <c r="H999" t="s">
        <v>23</v>
      </c>
      <c r="I999" t="s">
        <v>110</v>
      </c>
      <c r="J999">
        <v>25</v>
      </c>
      <c r="K999">
        <v>24832.43</v>
      </c>
      <c r="L999">
        <v>620810.75</v>
      </c>
      <c r="M999">
        <v>89793.09</v>
      </c>
      <c r="N999">
        <v>0</v>
      </c>
      <c r="O999">
        <v>531017.66</v>
      </c>
      <c r="P999" t="s">
        <v>32</v>
      </c>
      <c r="Q999" t="s">
        <v>32</v>
      </c>
    </row>
    <row r="1000" spans="1:17" x14ac:dyDescent="0.25">
      <c r="A1000" t="s">
        <v>1117</v>
      </c>
      <c r="B1000" s="1">
        <v>46033</v>
      </c>
      <c r="C1000" t="s">
        <v>54</v>
      </c>
      <c r="D1000" t="s">
        <v>55</v>
      </c>
      <c r="E1000" t="s">
        <v>20</v>
      </c>
      <c r="F1000" t="s">
        <v>50</v>
      </c>
      <c r="G1000" t="s">
        <v>138</v>
      </c>
      <c r="H1000" t="s">
        <v>57</v>
      </c>
      <c r="I1000" t="s">
        <v>118</v>
      </c>
      <c r="J1000">
        <v>34</v>
      </c>
      <c r="K1000">
        <v>33012.660000000003</v>
      </c>
      <c r="L1000">
        <v>1122430.44</v>
      </c>
      <c r="M1000">
        <v>0</v>
      </c>
      <c r="N1000">
        <v>0</v>
      </c>
      <c r="O1000">
        <v>1122430.44</v>
      </c>
      <c r="P1000" t="s">
        <v>73</v>
      </c>
      <c r="Q1000" t="s">
        <v>32</v>
      </c>
    </row>
    <row r="1001" spans="1:17" x14ac:dyDescent="0.25">
      <c r="A1001" t="s">
        <v>1118</v>
      </c>
      <c r="B1001" s="1">
        <v>45960</v>
      </c>
      <c r="C1001" t="s">
        <v>60</v>
      </c>
      <c r="D1001" t="s">
        <v>123</v>
      </c>
      <c r="E1001" t="s">
        <v>49</v>
      </c>
      <c r="F1001" t="s">
        <v>112</v>
      </c>
      <c r="G1001" t="s">
        <v>66</v>
      </c>
      <c r="H1001" t="s">
        <v>23</v>
      </c>
      <c r="I1001" t="s">
        <v>131</v>
      </c>
      <c r="J1001">
        <v>22</v>
      </c>
      <c r="K1001">
        <v>13402.71</v>
      </c>
      <c r="L1001">
        <v>294859.62</v>
      </c>
      <c r="M1001">
        <v>28791.58</v>
      </c>
      <c r="N1001">
        <v>0</v>
      </c>
      <c r="O1001">
        <v>266068.03999999998</v>
      </c>
      <c r="P1001" t="s">
        <v>73</v>
      </c>
      <c r="Q1001" t="s">
        <v>26</v>
      </c>
    </row>
    <row r="1002" spans="1:17" x14ac:dyDescent="0.25">
      <c r="A1002" t="s">
        <v>1119</v>
      </c>
      <c r="B1002" s="1">
        <v>46014</v>
      </c>
      <c r="C1002" t="s">
        <v>54</v>
      </c>
      <c r="D1002" t="s">
        <v>55</v>
      </c>
      <c r="E1002" t="s">
        <v>49</v>
      </c>
      <c r="F1002" t="s">
        <v>62</v>
      </c>
      <c r="G1002" t="s">
        <v>89</v>
      </c>
      <c r="H1002" t="s">
        <v>44</v>
      </c>
      <c r="I1002" t="s">
        <v>45</v>
      </c>
      <c r="J1002">
        <v>21</v>
      </c>
      <c r="K1002">
        <v>12694.93</v>
      </c>
      <c r="L1002">
        <v>266593.53000000003</v>
      </c>
      <c r="M1002">
        <v>3784.43</v>
      </c>
      <c r="N1002">
        <v>0</v>
      </c>
      <c r="O1002">
        <v>262809.09999999998</v>
      </c>
      <c r="P1002" t="s">
        <v>32</v>
      </c>
      <c r="Q1002" t="s">
        <v>26</v>
      </c>
    </row>
    <row r="1003" spans="1:17" x14ac:dyDescent="0.25">
      <c r="A1003" t="s">
        <v>1120</v>
      </c>
      <c r="B1003" s="1">
        <v>46045</v>
      </c>
      <c r="C1003" t="s">
        <v>47</v>
      </c>
      <c r="D1003" t="s">
        <v>88</v>
      </c>
      <c r="E1003" t="s">
        <v>35</v>
      </c>
      <c r="F1003" t="s">
        <v>112</v>
      </c>
      <c r="G1003" t="s">
        <v>29</v>
      </c>
      <c r="H1003" t="s">
        <v>44</v>
      </c>
      <c r="I1003" t="s">
        <v>124</v>
      </c>
      <c r="J1003">
        <v>7</v>
      </c>
      <c r="K1003">
        <v>1767.27</v>
      </c>
      <c r="L1003">
        <v>12370.89</v>
      </c>
      <c r="M1003">
        <v>1494.56</v>
      </c>
      <c r="N1003">
        <v>0</v>
      </c>
      <c r="O1003">
        <v>10876.33</v>
      </c>
      <c r="P1003" t="s">
        <v>32</v>
      </c>
      <c r="Q1003" t="s">
        <v>26</v>
      </c>
    </row>
    <row r="1004" spans="1:17" x14ac:dyDescent="0.25">
      <c r="A1004" t="s">
        <v>1121</v>
      </c>
      <c r="B1004" s="1">
        <v>45967</v>
      </c>
      <c r="C1004" t="s">
        <v>79</v>
      </c>
      <c r="D1004" t="s">
        <v>80</v>
      </c>
      <c r="E1004" t="s">
        <v>41</v>
      </c>
      <c r="F1004" t="s">
        <v>137</v>
      </c>
      <c r="G1004" t="s">
        <v>22</v>
      </c>
      <c r="H1004" t="s">
        <v>67</v>
      </c>
      <c r="I1004" t="s">
        <v>170</v>
      </c>
      <c r="J1004">
        <v>6</v>
      </c>
      <c r="K1004">
        <v>8299.85</v>
      </c>
      <c r="L1004">
        <v>49799.1</v>
      </c>
      <c r="M1004">
        <v>954.46</v>
      </c>
      <c r="N1004">
        <v>0</v>
      </c>
      <c r="O1004">
        <v>48844.639999999999</v>
      </c>
      <c r="P1004" t="s">
        <v>32</v>
      </c>
      <c r="Q1004" t="s">
        <v>26</v>
      </c>
    </row>
    <row r="1005" spans="1:17" x14ac:dyDescent="0.25">
      <c r="A1005" t="s">
        <v>1122</v>
      </c>
      <c r="B1005" s="1">
        <v>45992</v>
      </c>
      <c r="C1005" t="s">
        <v>79</v>
      </c>
      <c r="D1005" t="s">
        <v>101</v>
      </c>
      <c r="E1005" t="s">
        <v>49</v>
      </c>
      <c r="F1005" t="s">
        <v>112</v>
      </c>
      <c r="G1005" t="s">
        <v>89</v>
      </c>
      <c r="H1005" t="s">
        <v>44</v>
      </c>
      <c r="I1005" t="s">
        <v>45</v>
      </c>
      <c r="J1005">
        <v>20</v>
      </c>
      <c r="K1005">
        <v>49411.57</v>
      </c>
      <c r="L1005">
        <v>988231.4</v>
      </c>
      <c r="M1005">
        <v>178321.08</v>
      </c>
      <c r="N1005">
        <v>0</v>
      </c>
      <c r="O1005">
        <v>809910.32</v>
      </c>
      <c r="P1005" t="s">
        <v>32</v>
      </c>
      <c r="Q1005" t="s">
        <v>32</v>
      </c>
    </row>
    <row r="1006" spans="1:17" x14ac:dyDescent="0.25">
      <c r="A1006" t="s">
        <v>1123</v>
      </c>
      <c r="B1006" s="1">
        <v>46010</v>
      </c>
      <c r="C1006" t="s">
        <v>54</v>
      </c>
      <c r="D1006" t="s">
        <v>55</v>
      </c>
      <c r="E1006" t="s">
        <v>49</v>
      </c>
      <c r="F1006" t="s">
        <v>42</v>
      </c>
      <c r="G1006" t="s">
        <v>63</v>
      </c>
      <c r="H1006" t="s">
        <v>94</v>
      </c>
      <c r="I1006" t="s">
        <v>193</v>
      </c>
      <c r="J1006">
        <v>31</v>
      </c>
      <c r="K1006">
        <v>35923.379999999997</v>
      </c>
      <c r="L1006">
        <v>1113624.78</v>
      </c>
      <c r="M1006">
        <v>100026.93</v>
      </c>
      <c r="N1006">
        <v>0</v>
      </c>
      <c r="O1006">
        <v>1013597.85</v>
      </c>
      <c r="P1006" t="s">
        <v>25</v>
      </c>
      <c r="Q1006" t="s">
        <v>26</v>
      </c>
    </row>
    <row r="1007" spans="1:17" x14ac:dyDescent="0.25">
      <c r="A1007" t="s">
        <v>1124</v>
      </c>
      <c r="B1007" s="1">
        <v>46031</v>
      </c>
      <c r="C1007" t="s">
        <v>54</v>
      </c>
      <c r="D1007" t="s">
        <v>55</v>
      </c>
      <c r="E1007" t="s">
        <v>20</v>
      </c>
      <c r="F1007" t="s">
        <v>50</v>
      </c>
      <c r="G1007" t="s">
        <v>98</v>
      </c>
      <c r="H1007" t="s">
        <v>94</v>
      </c>
      <c r="I1007" t="s">
        <v>163</v>
      </c>
      <c r="J1007">
        <v>25</v>
      </c>
      <c r="K1007">
        <v>33923.82</v>
      </c>
      <c r="L1007">
        <v>848095.5</v>
      </c>
      <c r="M1007">
        <v>0</v>
      </c>
      <c r="N1007">
        <v>0</v>
      </c>
      <c r="O1007">
        <v>848095.5</v>
      </c>
      <c r="P1007" t="s">
        <v>73</v>
      </c>
      <c r="Q1007" t="s">
        <v>32</v>
      </c>
    </row>
    <row r="1008" spans="1:17" x14ac:dyDescent="0.25">
      <c r="A1008" t="s">
        <v>1125</v>
      </c>
      <c r="B1008" s="1">
        <v>45970</v>
      </c>
      <c r="C1008" t="s">
        <v>79</v>
      </c>
      <c r="D1008" t="s">
        <v>101</v>
      </c>
      <c r="E1008" t="s">
        <v>41</v>
      </c>
      <c r="F1008" t="s">
        <v>112</v>
      </c>
      <c r="G1008" t="s">
        <v>37</v>
      </c>
      <c r="H1008" t="s">
        <v>57</v>
      </c>
      <c r="I1008" t="s">
        <v>58</v>
      </c>
      <c r="J1008">
        <v>33</v>
      </c>
      <c r="K1008">
        <v>47659.73</v>
      </c>
      <c r="L1008">
        <v>1572771.09</v>
      </c>
      <c r="M1008">
        <v>306530.13</v>
      </c>
      <c r="N1008">
        <v>0</v>
      </c>
      <c r="O1008">
        <v>1266240.96</v>
      </c>
      <c r="P1008" t="s">
        <v>32</v>
      </c>
      <c r="Q1008" t="s">
        <v>32</v>
      </c>
    </row>
    <row r="1009" spans="1:17" x14ac:dyDescent="0.25">
      <c r="A1009" t="s">
        <v>1126</v>
      </c>
      <c r="B1009" s="1">
        <v>46026</v>
      </c>
      <c r="C1009" t="s">
        <v>54</v>
      </c>
      <c r="D1009" t="s">
        <v>70</v>
      </c>
      <c r="E1009" t="s">
        <v>49</v>
      </c>
      <c r="F1009" t="s">
        <v>137</v>
      </c>
      <c r="G1009" t="s">
        <v>43</v>
      </c>
      <c r="H1009" t="s">
        <v>44</v>
      </c>
      <c r="I1009" t="s">
        <v>152</v>
      </c>
      <c r="J1009">
        <v>14</v>
      </c>
      <c r="K1009">
        <v>47212.86</v>
      </c>
      <c r="L1009">
        <v>660980.04</v>
      </c>
      <c r="M1009">
        <v>0</v>
      </c>
      <c r="N1009">
        <v>0</v>
      </c>
      <c r="O1009">
        <v>660980.04</v>
      </c>
      <c r="P1009" t="s">
        <v>25</v>
      </c>
      <c r="Q1009" t="s">
        <v>26</v>
      </c>
    </row>
    <row r="1010" spans="1:17" x14ac:dyDescent="0.25">
      <c r="A1010" t="s">
        <v>1127</v>
      </c>
      <c r="B1010" s="1">
        <v>46012</v>
      </c>
      <c r="C1010" t="s">
        <v>54</v>
      </c>
      <c r="D1010" t="s">
        <v>55</v>
      </c>
      <c r="E1010" t="s">
        <v>35</v>
      </c>
      <c r="F1010" t="s">
        <v>105</v>
      </c>
      <c r="G1010" t="s">
        <v>43</v>
      </c>
      <c r="H1010" t="s">
        <v>23</v>
      </c>
      <c r="I1010" t="s">
        <v>131</v>
      </c>
      <c r="J1010">
        <v>12</v>
      </c>
      <c r="K1010">
        <v>23300.95</v>
      </c>
      <c r="L1010">
        <v>279611.40000000002</v>
      </c>
      <c r="M1010">
        <v>1714.02</v>
      </c>
      <c r="N1010">
        <v>0</v>
      </c>
      <c r="O1010">
        <v>277897.38</v>
      </c>
      <c r="P1010" t="s">
        <v>32</v>
      </c>
      <c r="Q1010" t="s">
        <v>32</v>
      </c>
    </row>
    <row r="1011" spans="1:17" x14ac:dyDescent="0.25">
      <c r="A1011" t="s">
        <v>1128</v>
      </c>
      <c r="B1011" s="1">
        <v>46031</v>
      </c>
      <c r="C1011" t="s">
        <v>18</v>
      </c>
      <c r="D1011" t="s">
        <v>34</v>
      </c>
      <c r="E1011" t="s">
        <v>20</v>
      </c>
      <c r="F1011" t="s">
        <v>137</v>
      </c>
      <c r="G1011" t="s">
        <v>29</v>
      </c>
      <c r="H1011" t="s">
        <v>23</v>
      </c>
      <c r="I1011" t="s">
        <v>52</v>
      </c>
      <c r="J1011">
        <v>5</v>
      </c>
      <c r="K1011">
        <v>4057.52</v>
      </c>
      <c r="L1011">
        <v>20287.599999999999</v>
      </c>
      <c r="M1011">
        <v>1309.8399999999999</v>
      </c>
      <c r="N1011">
        <v>2143.5</v>
      </c>
      <c r="O1011">
        <v>16834.259999999998</v>
      </c>
      <c r="P1011" t="s">
        <v>31</v>
      </c>
      <c r="Q1011" t="s">
        <v>32</v>
      </c>
    </row>
    <row r="1012" spans="1:17" x14ac:dyDescent="0.25">
      <c r="A1012" t="s">
        <v>1129</v>
      </c>
      <c r="B1012" s="1">
        <v>46013</v>
      </c>
      <c r="C1012" t="s">
        <v>18</v>
      </c>
      <c r="D1012" t="s">
        <v>75</v>
      </c>
      <c r="E1012" t="s">
        <v>41</v>
      </c>
      <c r="F1012" t="s">
        <v>21</v>
      </c>
      <c r="G1012" t="s">
        <v>29</v>
      </c>
      <c r="H1012" t="s">
        <v>44</v>
      </c>
      <c r="I1012" t="s">
        <v>135</v>
      </c>
      <c r="J1012">
        <v>8</v>
      </c>
      <c r="K1012">
        <v>10333.26</v>
      </c>
      <c r="L1012">
        <v>82666.080000000002</v>
      </c>
      <c r="M1012">
        <v>610.97</v>
      </c>
      <c r="N1012">
        <v>0</v>
      </c>
      <c r="O1012">
        <v>82055.11</v>
      </c>
      <c r="P1012" t="s">
        <v>73</v>
      </c>
      <c r="Q1012" t="s">
        <v>26</v>
      </c>
    </row>
    <row r="1013" spans="1:17" x14ac:dyDescent="0.25">
      <c r="A1013" t="s">
        <v>1130</v>
      </c>
      <c r="B1013" s="1">
        <v>45996</v>
      </c>
      <c r="C1013" t="s">
        <v>60</v>
      </c>
      <c r="D1013" t="s">
        <v>151</v>
      </c>
      <c r="E1013" t="s">
        <v>49</v>
      </c>
      <c r="F1013" t="s">
        <v>112</v>
      </c>
      <c r="G1013" t="s">
        <v>140</v>
      </c>
      <c r="H1013" t="s">
        <v>23</v>
      </c>
      <c r="I1013" t="s">
        <v>99</v>
      </c>
      <c r="J1013">
        <v>39</v>
      </c>
      <c r="K1013">
        <v>10397.719999999999</v>
      </c>
      <c r="L1013">
        <v>405511.08</v>
      </c>
      <c r="M1013">
        <v>0</v>
      </c>
      <c r="N1013">
        <v>0</v>
      </c>
      <c r="O1013">
        <v>405511.08</v>
      </c>
      <c r="P1013" t="s">
        <v>73</v>
      </c>
      <c r="Q1013" t="s">
        <v>32</v>
      </c>
    </row>
    <row r="1014" spans="1:17" x14ac:dyDescent="0.25">
      <c r="A1014" t="s">
        <v>1131</v>
      </c>
      <c r="B1014" s="1">
        <v>46018</v>
      </c>
      <c r="C1014" t="s">
        <v>54</v>
      </c>
      <c r="D1014" t="s">
        <v>70</v>
      </c>
      <c r="E1014" t="s">
        <v>20</v>
      </c>
      <c r="F1014" t="s">
        <v>62</v>
      </c>
      <c r="G1014" t="s">
        <v>51</v>
      </c>
      <c r="H1014" t="s">
        <v>57</v>
      </c>
      <c r="I1014" t="s">
        <v>92</v>
      </c>
      <c r="J1014">
        <v>48</v>
      </c>
      <c r="K1014">
        <v>10896.58</v>
      </c>
      <c r="L1014">
        <v>523035.84</v>
      </c>
      <c r="M1014">
        <v>0</v>
      </c>
      <c r="N1014">
        <v>0</v>
      </c>
      <c r="O1014">
        <v>523035.84</v>
      </c>
      <c r="P1014" t="s">
        <v>25</v>
      </c>
      <c r="Q1014" t="s">
        <v>26</v>
      </c>
    </row>
    <row r="1015" spans="1:17" x14ac:dyDescent="0.25">
      <c r="A1015" t="s">
        <v>1132</v>
      </c>
      <c r="B1015" s="1">
        <v>46037</v>
      </c>
      <c r="C1015" t="s">
        <v>18</v>
      </c>
      <c r="D1015" t="s">
        <v>34</v>
      </c>
      <c r="E1015" t="s">
        <v>35</v>
      </c>
      <c r="F1015" t="s">
        <v>36</v>
      </c>
      <c r="G1015" t="s">
        <v>66</v>
      </c>
      <c r="H1015" t="s">
        <v>67</v>
      </c>
      <c r="I1015" t="s">
        <v>68</v>
      </c>
      <c r="J1015">
        <v>47</v>
      </c>
      <c r="K1015">
        <v>48181.78</v>
      </c>
      <c r="L1015">
        <v>2264543.66</v>
      </c>
      <c r="M1015">
        <v>446819.66</v>
      </c>
      <c r="N1015">
        <v>0</v>
      </c>
      <c r="O1015">
        <v>1817724</v>
      </c>
      <c r="P1015" t="s">
        <v>31</v>
      </c>
      <c r="Q1015" t="s">
        <v>32</v>
      </c>
    </row>
    <row r="1016" spans="1:17" x14ac:dyDescent="0.25">
      <c r="A1016" t="s">
        <v>1133</v>
      </c>
      <c r="B1016" s="1">
        <v>45971</v>
      </c>
      <c r="C1016" t="s">
        <v>18</v>
      </c>
      <c r="D1016" t="s">
        <v>34</v>
      </c>
      <c r="E1016" t="s">
        <v>35</v>
      </c>
      <c r="F1016" t="s">
        <v>50</v>
      </c>
      <c r="G1016" t="s">
        <v>140</v>
      </c>
      <c r="H1016" t="s">
        <v>44</v>
      </c>
      <c r="I1016" t="s">
        <v>152</v>
      </c>
      <c r="J1016">
        <v>24</v>
      </c>
      <c r="K1016">
        <v>42935.13</v>
      </c>
      <c r="L1016">
        <v>1030443.12</v>
      </c>
      <c r="M1016">
        <v>113073.25</v>
      </c>
      <c r="N1016">
        <v>0</v>
      </c>
      <c r="O1016">
        <v>917369.87</v>
      </c>
      <c r="P1016" t="s">
        <v>32</v>
      </c>
      <c r="Q1016" t="s">
        <v>32</v>
      </c>
    </row>
    <row r="1017" spans="1:17" x14ac:dyDescent="0.25">
      <c r="A1017" t="s">
        <v>1134</v>
      </c>
      <c r="B1017" s="1">
        <v>46042</v>
      </c>
      <c r="C1017" t="s">
        <v>60</v>
      </c>
      <c r="D1017" t="s">
        <v>61</v>
      </c>
      <c r="E1017" t="s">
        <v>49</v>
      </c>
      <c r="F1017" t="s">
        <v>137</v>
      </c>
      <c r="G1017" t="s">
        <v>138</v>
      </c>
      <c r="H1017" t="s">
        <v>44</v>
      </c>
      <c r="I1017" t="s">
        <v>135</v>
      </c>
      <c r="J1017">
        <v>8</v>
      </c>
      <c r="K1017">
        <v>17910.89</v>
      </c>
      <c r="L1017">
        <v>143287.12</v>
      </c>
      <c r="M1017">
        <v>27527.360000000001</v>
      </c>
      <c r="N1017">
        <v>1293.06</v>
      </c>
      <c r="O1017">
        <v>114466.7</v>
      </c>
      <c r="P1017" t="s">
        <v>31</v>
      </c>
      <c r="Q1017" t="s">
        <v>32</v>
      </c>
    </row>
    <row r="1018" spans="1:17" x14ac:dyDescent="0.25">
      <c r="A1018" t="s">
        <v>1135</v>
      </c>
      <c r="B1018" s="1">
        <v>45996</v>
      </c>
      <c r="C1018" t="s">
        <v>54</v>
      </c>
      <c r="D1018" t="s">
        <v>70</v>
      </c>
      <c r="E1018" t="s">
        <v>35</v>
      </c>
      <c r="F1018" t="s">
        <v>62</v>
      </c>
      <c r="G1018" t="s">
        <v>102</v>
      </c>
      <c r="H1018" t="s">
        <v>23</v>
      </c>
      <c r="I1018" t="s">
        <v>131</v>
      </c>
      <c r="J1018">
        <v>5</v>
      </c>
      <c r="K1018">
        <v>38253.730000000003</v>
      </c>
      <c r="L1018">
        <v>191268.65</v>
      </c>
      <c r="M1018">
        <v>0</v>
      </c>
      <c r="N1018">
        <v>0</v>
      </c>
      <c r="O1018">
        <v>191268.65</v>
      </c>
      <c r="P1018" t="s">
        <v>32</v>
      </c>
      <c r="Q1018" t="s">
        <v>32</v>
      </c>
    </row>
    <row r="1019" spans="1:17" x14ac:dyDescent="0.25">
      <c r="A1019" t="s">
        <v>1136</v>
      </c>
      <c r="B1019" s="1">
        <v>46015</v>
      </c>
      <c r="C1019" t="s">
        <v>60</v>
      </c>
      <c r="D1019" t="s">
        <v>65</v>
      </c>
      <c r="E1019" t="s">
        <v>41</v>
      </c>
      <c r="F1019" t="s">
        <v>71</v>
      </c>
      <c r="G1019" t="s">
        <v>51</v>
      </c>
      <c r="H1019" t="s">
        <v>57</v>
      </c>
      <c r="I1019" t="s">
        <v>160</v>
      </c>
      <c r="J1019">
        <v>25</v>
      </c>
      <c r="K1019">
        <v>32584.75</v>
      </c>
      <c r="L1019">
        <v>814618.75</v>
      </c>
      <c r="M1019">
        <v>0</v>
      </c>
      <c r="N1019">
        <v>0</v>
      </c>
      <c r="O1019">
        <v>814618.75</v>
      </c>
      <c r="P1019" t="s">
        <v>31</v>
      </c>
      <c r="Q1019" t="s">
        <v>32</v>
      </c>
    </row>
    <row r="1020" spans="1:17" x14ac:dyDescent="0.25">
      <c r="A1020" t="s">
        <v>1137</v>
      </c>
      <c r="B1020" s="1">
        <v>46038</v>
      </c>
      <c r="C1020" t="s">
        <v>54</v>
      </c>
      <c r="D1020" t="s">
        <v>97</v>
      </c>
      <c r="E1020" t="s">
        <v>20</v>
      </c>
      <c r="F1020" t="s">
        <v>71</v>
      </c>
      <c r="G1020" t="s">
        <v>22</v>
      </c>
      <c r="H1020" t="s">
        <v>38</v>
      </c>
      <c r="I1020" t="s">
        <v>175</v>
      </c>
      <c r="J1020">
        <v>35</v>
      </c>
      <c r="K1020">
        <v>7178.16</v>
      </c>
      <c r="L1020">
        <v>251235.6</v>
      </c>
      <c r="M1020">
        <v>0</v>
      </c>
      <c r="N1020">
        <v>0</v>
      </c>
      <c r="O1020">
        <v>251235.6</v>
      </c>
      <c r="P1020" t="s">
        <v>73</v>
      </c>
      <c r="Q1020" t="s">
        <v>32</v>
      </c>
    </row>
    <row r="1021" spans="1:17" x14ac:dyDescent="0.25">
      <c r="A1021" t="s">
        <v>1138</v>
      </c>
      <c r="B1021" s="1">
        <v>46035</v>
      </c>
      <c r="C1021" t="s">
        <v>79</v>
      </c>
      <c r="D1021" t="s">
        <v>80</v>
      </c>
      <c r="E1021" t="s">
        <v>35</v>
      </c>
      <c r="F1021" t="s">
        <v>71</v>
      </c>
      <c r="G1021" t="s">
        <v>51</v>
      </c>
      <c r="H1021" t="s">
        <v>94</v>
      </c>
      <c r="I1021" t="s">
        <v>144</v>
      </c>
      <c r="J1021">
        <v>47</v>
      </c>
      <c r="K1021">
        <v>28300.02</v>
      </c>
      <c r="L1021">
        <v>1330100.94</v>
      </c>
      <c r="M1021">
        <v>0</v>
      </c>
      <c r="N1021">
        <v>0</v>
      </c>
      <c r="O1021">
        <v>1330100.94</v>
      </c>
      <c r="P1021" t="s">
        <v>31</v>
      </c>
      <c r="Q1021" t="s">
        <v>32</v>
      </c>
    </row>
    <row r="1022" spans="1:17" x14ac:dyDescent="0.25">
      <c r="A1022" t="s">
        <v>1139</v>
      </c>
      <c r="B1022" s="1">
        <v>46036</v>
      </c>
      <c r="C1022" t="s">
        <v>79</v>
      </c>
      <c r="D1022" t="s">
        <v>80</v>
      </c>
      <c r="E1022" t="s">
        <v>49</v>
      </c>
      <c r="F1022" t="s">
        <v>105</v>
      </c>
      <c r="G1022" t="s">
        <v>37</v>
      </c>
      <c r="H1022" t="s">
        <v>67</v>
      </c>
      <c r="I1022" t="s">
        <v>103</v>
      </c>
      <c r="J1022">
        <v>24</v>
      </c>
      <c r="K1022">
        <v>1022.57</v>
      </c>
      <c r="L1022">
        <v>24541.68</v>
      </c>
      <c r="M1022">
        <v>4611.1899999999996</v>
      </c>
      <c r="N1022">
        <v>0</v>
      </c>
      <c r="O1022">
        <v>19930.490000000002</v>
      </c>
      <c r="P1022" t="s">
        <v>73</v>
      </c>
      <c r="Q1022" t="s">
        <v>32</v>
      </c>
    </row>
    <row r="1023" spans="1:17" x14ac:dyDescent="0.25">
      <c r="A1023" t="s">
        <v>1140</v>
      </c>
      <c r="B1023" s="1">
        <v>46043</v>
      </c>
      <c r="C1023" t="s">
        <v>47</v>
      </c>
      <c r="D1023" t="s">
        <v>114</v>
      </c>
      <c r="E1023" t="s">
        <v>35</v>
      </c>
      <c r="F1023" t="s">
        <v>84</v>
      </c>
      <c r="G1023" t="s">
        <v>66</v>
      </c>
      <c r="H1023" t="s">
        <v>44</v>
      </c>
      <c r="I1023" t="s">
        <v>124</v>
      </c>
      <c r="J1023">
        <v>26</v>
      </c>
      <c r="K1023">
        <v>47197.95</v>
      </c>
      <c r="L1023">
        <v>1227146.7</v>
      </c>
      <c r="M1023">
        <v>116934.66</v>
      </c>
      <c r="N1023">
        <v>0</v>
      </c>
      <c r="O1023">
        <v>1110212.04</v>
      </c>
      <c r="P1023" t="s">
        <v>32</v>
      </c>
      <c r="Q1023" t="s">
        <v>32</v>
      </c>
    </row>
    <row r="1024" spans="1:17" x14ac:dyDescent="0.25">
      <c r="A1024" t="s">
        <v>1141</v>
      </c>
      <c r="B1024" s="1">
        <v>45979</v>
      </c>
      <c r="C1024" t="s">
        <v>18</v>
      </c>
      <c r="D1024" t="s">
        <v>34</v>
      </c>
      <c r="E1024" t="s">
        <v>41</v>
      </c>
      <c r="F1024" t="s">
        <v>21</v>
      </c>
      <c r="G1024" t="s">
        <v>63</v>
      </c>
      <c r="H1024" t="s">
        <v>23</v>
      </c>
      <c r="I1024" t="s">
        <v>30</v>
      </c>
      <c r="J1024">
        <v>19</v>
      </c>
      <c r="K1024">
        <v>46481.58</v>
      </c>
      <c r="L1024">
        <v>883150.02</v>
      </c>
      <c r="M1024">
        <v>97973.79</v>
      </c>
      <c r="N1024">
        <v>0</v>
      </c>
      <c r="O1024">
        <v>785176.23</v>
      </c>
      <c r="P1024" t="s">
        <v>25</v>
      </c>
      <c r="Q1024" t="s">
        <v>26</v>
      </c>
    </row>
    <row r="1025" spans="1:17" x14ac:dyDescent="0.25">
      <c r="A1025" t="s">
        <v>1142</v>
      </c>
      <c r="B1025" s="1">
        <v>46045</v>
      </c>
      <c r="C1025" t="s">
        <v>60</v>
      </c>
      <c r="D1025" t="s">
        <v>151</v>
      </c>
      <c r="E1025" t="s">
        <v>49</v>
      </c>
      <c r="F1025" t="s">
        <v>84</v>
      </c>
      <c r="G1025" t="s">
        <v>22</v>
      </c>
      <c r="H1025" t="s">
        <v>57</v>
      </c>
      <c r="I1025" t="s">
        <v>72</v>
      </c>
      <c r="J1025">
        <v>21</v>
      </c>
      <c r="K1025">
        <v>28894.74</v>
      </c>
      <c r="L1025">
        <v>606789.54</v>
      </c>
      <c r="M1025">
        <v>0</v>
      </c>
      <c r="N1025">
        <v>13275.46</v>
      </c>
      <c r="O1025">
        <v>593514.07999999996</v>
      </c>
      <c r="P1025" t="s">
        <v>31</v>
      </c>
      <c r="Q1025" t="s">
        <v>32</v>
      </c>
    </row>
    <row r="1026" spans="1:17" x14ac:dyDescent="0.25">
      <c r="A1026" t="s">
        <v>1143</v>
      </c>
      <c r="B1026" s="1">
        <v>46025</v>
      </c>
      <c r="C1026" t="s">
        <v>79</v>
      </c>
      <c r="D1026" t="s">
        <v>101</v>
      </c>
      <c r="E1026" t="s">
        <v>35</v>
      </c>
      <c r="F1026" t="s">
        <v>21</v>
      </c>
      <c r="G1026" t="s">
        <v>37</v>
      </c>
      <c r="H1026" t="s">
        <v>67</v>
      </c>
      <c r="I1026" t="s">
        <v>201</v>
      </c>
      <c r="J1026">
        <v>37</v>
      </c>
      <c r="K1026">
        <v>12430.32</v>
      </c>
      <c r="L1026">
        <v>459921.84</v>
      </c>
      <c r="M1026">
        <v>55222.94</v>
      </c>
      <c r="N1026">
        <v>0</v>
      </c>
      <c r="O1026">
        <v>404698.9</v>
      </c>
      <c r="P1026" t="s">
        <v>31</v>
      </c>
      <c r="Q1026" t="s">
        <v>32</v>
      </c>
    </row>
    <row r="1027" spans="1:17" x14ac:dyDescent="0.25">
      <c r="A1027" t="s">
        <v>1144</v>
      </c>
      <c r="B1027" s="1">
        <v>46043</v>
      </c>
      <c r="C1027" t="s">
        <v>60</v>
      </c>
      <c r="D1027" t="s">
        <v>61</v>
      </c>
      <c r="E1027" t="s">
        <v>35</v>
      </c>
      <c r="F1027" t="s">
        <v>71</v>
      </c>
      <c r="G1027" t="s">
        <v>37</v>
      </c>
      <c r="H1027" t="s">
        <v>94</v>
      </c>
      <c r="I1027" t="s">
        <v>163</v>
      </c>
      <c r="J1027">
        <v>24</v>
      </c>
      <c r="K1027">
        <v>4639.49</v>
      </c>
      <c r="L1027">
        <v>111347.76</v>
      </c>
      <c r="M1027">
        <v>13125.86</v>
      </c>
      <c r="N1027">
        <v>0</v>
      </c>
      <c r="O1027">
        <v>98221.9</v>
      </c>
      <c r="P1027" t="s">
        <v>31</v>
      </c>
      <c r="Q1027" t="s">
        <v>32</v>
      </c>
    </row>
    <row r="1028" spans="1:17" x14ac:dyDescent="0.25">
      <c r="A1028" t="s">
        <v>1145</v>
      </c>
      <c r="B1028" s="1">
        <v>45962</v>
      </c>
      <c r="C1028" t="s">
        <v>60</v>
      </c>
      <c r="D1028" t="s">
        <v>151</v>
      </c>
      <c r="E1028" t="s">
        <v>41</v>
      </c>
      <c r="F1028" t="s">
        <v>36</v>
      </c>
      <c r="G1028" t="s">
        <v>138</v>
      </c>
      <c r="H1028" t="s">
        <v>67</v>
      </c>
      <c r="I1028" t="s">
        <v>154</v>
      </c>
      <c r="J1028">
        <v>37</v>
      </c>
      <c r="K1028">
        <v>46948.69</v>
      </c>
      <c r="L1028">
        <v>1737101.53</v>
      </c>
      <c r="M1028">
        <v>0</v>
      </c>
      <c r="N1028">
        <v>0</v>
      </c>
      <c r="O1028">
        <v>1737101.53</v>
      </c>
      <c r="P1028" t="s">
        <v>32</v>
      </c>
      <c r="Q1028" t="s">
        <v>32</v>
      </c>
    </row>
    <row r="1029" spans="1:17" x14ac:dyDescent="0.25">
      <c r="A1029" t="s">
        <v>1146</v>
      </c>
      <c r="B1029" s="1">
        <v>45956</v>
      </c>
      <c r="C1029" t="s">
        <v>18</v>
      </c>
      <c r="D1029" t="s">
        <v>34</v>
      </c>
      <c r="E1029" t="s">
        <v>20</v>
      </c>
      <c r="F1029" t="s">
        <v>71</v>
      </c>
      <c r="G1029" t="s">
        <v>140</v>
      </c>
      <c r="H1029" t="s">
        <v>44</v>
      </c>
      <c r="I1029" t="s">
        <v>45</v>
      </c>
      <c r="J1029">
        <v>30</v>
      </c>
      <c r="K1029">
        <v>49464.29</v>
      </c>
      <c r="L1029">
        <v>1483928.7</v>
      </c>
      <c r="M1029">
        <v>6448.04</v>
      </c>
      <c r="N1029">
        <v>0</v>
      </c>
      <c r="O1029">
        <v>1477480.66</v>
      </c>
      <c r="P1029" t="s">
        <v>31</v>
      </c>
      <c r="Q1029" t="s">
        <v>32</v>
      </c>
    </row>
    <row r="1030" spans="1:17" x14ac:dyDescent="0.25">
      <c r="A1030" t="s">
        <v>1147</v>
      </c>
      <c r="B1030" s="1">
        <v>45966</v>
      </c>
      <c r="C1030" t="s">
        <v>60</v>
      </c>
      <c r="D1030" t="s">
        <v>151</v>
      </c>
      <c r="E1030" t="s">
        <v>20</v>
      </c>
      <c r="F1030" t="s">
        <v>112</v>
      </c>
      <c r="G1030" t="s">
        <v>56</v>
      </c>
      <c r="H1030" t="s">
        <v>67</v>
      </c>
      <c r="I1030" t="s">
        <v>103</v>
      </c>
      <c r="J1030">
        <v>15</v>
      </c>
      <c r="K1030">
        <v>42746.69</v>
      </c>
      <c r="L1030">
        <v>641200.35</v>
      </c>
      <c r="M1030">
        <v>39726.53</v>
      </c>
      <c r="N1030">
        <v>0</v>
      </c>
      <c r="O1030">
        <v>601473.81999999995</v>
      </c>
      <c r="P1030" t="s">
        <v>31</v>
      </c>
      <c r="Q1030" t="s">
        <v>32</v>
      </c>
    </row>
    <row r="1031" spans="1:17" x14ac:dyDescent="0.25">
      <c r="A1031" t="s">
        <v>1148</v>
      </c>
      <c r="B1031" s="1">
        <v>46016</v>
      </c>
      <c r="C1031" t="s">
        <v>47</v>
      </c>
      <c r="D1031" t="s">
        <v>127</v>
      </c>
      <c r="E1031" t="s">
        <v>20</v>
      </c>
      <c r="F1031" t="s">
        <v>50</v>
      </c>
      <c r="G1031" t="s">
        <v>22</v>
      </c>
      <c r="H1031" t="s">
        <v>94</v>
      </c>
      <c r="I1031" t="s">
        <v>115</v>
      </c>
      <c r="J1031">
        <v>16</v>
      </c>
      <c r="K1031">
        <v>20668.53</v>
      </c>
      <c r="L1031">
        <v>330696.48</v>
      </c>
      <c r="M1031">
        <v>21217.77</v>
      </c>
      <c r="N1031">
        <v>0</v>
      </c>
      <c r="O1031">
        <v>309478.71000000002</v>
      </c>
      <c r="P1031" t="s">
        <v>25</v>
      </c>
      <c r="Q1031" t="s">
        <v>26</v>
      </c>
    </row>
    <row r="1032" spans="1:17" x14ac:dyDescent="0.25">
      <c r="A1032" t="s">
        <v>1149</v>
      </c>
      <c r="B1032" s="1">
        <v>46019</v>
      </c>
      <c r="C1032" t="s">
        <v>79</v>
      </c>
      <c r="D1032" t="s">
        <v>91</v>
      </c>
      <c r="E1032" t="s">
        <v>20</v>
      </c>
      <c r="F1032" t="s">
        <v>50</v>
      </c>
      <c r="G1032" t="s">
        <v>98</v>
      </c>
      <c r="H1032" t="s">
        <v>38</v>
      </c>
      <c r="I1032" t="s">
        <v>39</v>
      </c>
      <c r="J1032">
        <v>2</v>
      </c>
      <c r="K1032">
        <v>29643.13</v>
      </c>
      <c r="L1032">
        <v>59286.26</v>
      </c>
      <c r="M1032">
        <v>3620.11</v>
      </c>
      <c r="N1032">
        <v>0</v>
      </c>
      <c r="O1032">
        <v>55666.15</v>
      </c>
      <c r="P1032" t="s">
        <v>73</v>
      </c>
      <c r="Q1032" t="s">
        <v>32</v>
      </c>
    </row>
    <row r="1033" spans="1:17" x14ac:dyDescent="0.25">
      <c r="A1033" t="s">
        <v>1150</v>
      </c>
      <c r="B1033" s="1">
        <v>45967</v>
      </c>
      <c r="C1033" t="s">
        <v>54</v>
      </c>
      <c r="D1033" t="s">
        <v>133</v>
      </c>
      <c r="E1033" t="s">
        <v>41</v>
      </c>
      <c r="F1033" t="s">
        <v>71</v>
      </c>
      <c r="G1033" t="s">
        <v>51</v>
      </c>
      <c r="H1033" t="s">
        <v>57</v>
      </c>
      <c r="I1033" t="s">
        <v>58</v>
      </c>
      <c r="J1033">
        <v>33</v>
      </c>
      <c r="K1033">
        <v>35121.69</v>
      </c>
      <c r="L1033">
        <v>1159015.77</v>
      </c>
      <c r="M1033">
        <v>0</v>
      </c>
      <c r="N1033">
        <v>0</v>
      </c>
      <c r="O1033">
        <v>1159015.77</v>
      </c>
      <c r="P1033" t="s">
        <v>32</v>
      </c>
      <c r="Q1033" t="s">
        <v>32</v>
      </c>
    </row>
    <row r="1034" spans="1:17" x14ac:dyDescent="0.25">
      <c r="A1034" t="s">
        <v>1151</v>
      </c>
      <c r="B1034" s="1">
        <v>45961</v>
      </c>
      <c r="C1034" t="s">
        <v>54</v>
      </c>
      <c r="D1034" t="s">
        <v>97</v>
      </c>
      <c r="E1034" t="s">
        <v>20</v>
      </c>
      <c r="F1034" t="s">
        <v>71</v>
      </c>
      <c r="G1034" t="s">
        <v>51</v>
      </c>
      <c r="H1034" t="s">
        <v>94</v>
      </c>
      <c r="I1034" t="s">
        <v>163</v>
      </c>
      <c r="J1034">
        <v>43</v>
      </c>
      <c r="K1034">
        <v>33916.31</v>
      </c>
      <c r="L1034">
        <v>1458401.33</v>
      </c>
      <c r="M1034">
        <v>119754.69</v>
      </c>
      <c r="N1034">
        <v>0</v>
      </c>
      <c r="O1034">
        <v>1338646.6399999999</v>
      </c>
      <c r="P1034" t="s">
        <v>31</v>
      </c>
      <c r="Q1034" t="s">
        <v>32</v>
      </c>
    </row>
    <row r="1035" spans="1:17" x14ac:dyDescent="0.25">
      <c r="A1035" t="s">
        <v>1152</v>
      </c>
      <c r="B1035" s="1">
        <v>45982</v>
      </c>
      <c r="C1035" t="s">
        <v>79</v>
      </c>
      <c r="D1035" t="s">
        <v>91</v>
      </c>
      <c r="E1035" t="s">
        <v>49</v>
      </c>
      <c r="F1035" t="s">
        <v>42</v>
      </c>
      <c r="G1035" t="s">
        <v>63</v>
      </c>
      <c r="H1035" t="s">
        <v>44</v>
      </c>
      <c r="I1035" t="s">
        <v>135</v>
      </c>
      <c r="J1035">
        <v>38</v>
      </c>
      <c r="K1035">
        <v>31914.95</v>
      </c>
      <c r="L1035">
        <v>1212768.1000000001</v>
      </c>
      <c r="M1035">
        <v>121805.78</v>
      </c>
      <c r="N1035">
        <v>0</v>
      </c>
      <c r="O1035">
        <v>1090962.32</v>
      </c>
      <c r="P1035" t="s">
        <v>25</v>
      </c>
      <c r="Q1035" t="s">
        <v>128</v>
      </c>
    </row>
    <row r="1036" spans="1:17" x14ac:dyDescent="0.25">
      <c r="A1036" t="s">
        <v>1153</v>
      </c>
      <c r="B1036" s="1">
        <v>46021</v>
      </c>
      <c r="C1036" t="s">
        <v>54</v>
      </c>
      <c r="D1036" t="s">
        <v>70</v>
      </c>
      <c r="E1036" t="s">
        <v>41</v>
      </c>
      <c r="F1036" t="s">
        <v>137</v>
      </c>
      <c r="G1036" t="s">
        <v>29</v>
      </c>
      <c r="H1036" t="s">
        <v>57</v>
      </c>
      <c r="I1036" t="s">
        <v>72</v>
      </c>
      <c r="J1036">
        <v>24</v>
      </c>
      <c r="K1036">
        <v>33318.879999999997</v>
      </c>
      <c r="L1036">
        <v>799653.12</v>
      </c>
      <c r="M1036">
        <v>0</v>
      </c>
      <c r="N1036">
        <v>0</v>
      </c>
      <c r="O1036">
        <v>799653.12</v>
      </c>
      <c r="P1036" t="s">
        <v>32</v>
      </c>
      <c r="Q1036" t="s">
        <v>26</v>
      </c>
    </row>
    <row r="1037" spans="1:17" x14ac:dyDescent="0.25">
      <c r="A1037" t="s">
        <v>1154</v>
      </c>
      <c r="B1037" s="1">
        <v>45968</v>
      </c>
      <c r="C1037" t="s">
        <v>79</v>
      </c>
      <c r="D1037" t="s">
        <v>101</v>
      </c>
      <c r="E1037" t="s">
        <v>49</v>
      </c>
      <c r="F1037" t="s">
        <v>71</v>
      </c>
      <c r="G1037" t="s">
        <v>22</v>
      </c>
      <c r="H1037" t="s">
        <v>57</v>
      </c>
      <c r="I1037" t="s">
        <v>92</v>
      </c>
      <c r="J1037">
        <v>28</v>
      </c>
      <c r="K1037">
        <v>39110.160000000003</v>
      </c>
      <c r="L1037">
        <v>1095084.48</v>
      </c>
      <c r="M1037">
        <v>0</v>
      </c>
      <c r="N1037">
        <v>319444.21999999997</v>
      </c>
      <c r="O1037">
        <v>775640.26</v>
      </c>
      <c r="P1037" t="s">
        <v>31</v>
      </c>
      <c r="Q1037" t="s">
        <v>32</v>
      </c>
    </row>
    <row r="1038" spans="1:17" x14ac:dyDescent="0.25">
      <c r="A1038" t="s">
        <v>1155</v>
      </c>
      <c r="B1038" s="1">
        <v>46026</v>
      </c>
      <c r="C1038" t="s">
        <v>79</v>
      </c>
      <c r="D1038" t="s">
        <v>101</v>
      </c>
      <c r="E1038" t="s">
        <v>49</v>
      </c>
      <c r="F1038" t="s">
        <v>50</v>
      </c>
      <c r="G1038" t="s">
        <v>43</v>
      </c>
      <c r="H1038" t="s">
        <v>38</v>
      </c>
      <c r="I1038" t="s">
        <v>39</v>
      </c>
      <c r="J1038">
        <v>39</v>
      </c>
      <c r="K1038">
        <v>25088.93</v>
      </c>
      <c r="L1038">
        <v>978468.27</v>
      </c>
      <c r="M1038">
        <v>153089.01999999999</v>
      </c>
      <c r="N1038">
        <v>0</v>
      </c>
      <c r="O1038">
        <v>825379.25</v>
      </c>
      <c r="P1038" t="s">
        <v>31</v>
      </c>
      <c r="Q1038" t="s">
        <v>32</v>
      </c>
    </row>
    <row r="1039" spans="1:17" x14ac:dyDescent="0.25">
      <c r="A1039" t="s">
        <v>1156</v>
      </c>
      <c r="B1039" s="1">
        <v>45982</v>
      </c>
      <c r="C1039" t="s">
        <v>47</v>
      </c>
      <c r="D1039" t="s">
        <v>114</v>
      </c>
      <c r="E1039" t="s">
        <v>20</v>
      </c>
      <c r="F1039" t="s">
        <v>71</v>
      </c>
      <c r="G1039" t="s">
        <v>51</v>
      </c>
      <c r="H1039" t="s">
        <v>94</v>
      </c>
      <c r="I1039" t="s">
        <v>95</v>
      </c>
      <c r="J1039">
        <v>8</v>
      </c>
      <c r="K1039">
        <v>41440.019999999997</v>
      </c>
      <c r="L1039">
        <v>331520.15999999997</v>
      </c>
      <c r="M1039">
        <v>13951.39</v>
      </c>
      <c r="N1039">
        <v>0</v>
      </c>
      <c r="O1039">
        <v>317568.77</v>
      </c>
      <c r="P1039" t="s">
        <v>31</v>
      </c>
      <c r="Q1039" t="s">
        <v>32</v>
      </c>
    </row>
    <row r="1040" spans="1:17" x14ac:dyDescent="0.25">
      <c r="A1040" t="s">
        <v>1157</v>
      </c>
      <c r="B1040" s="1">
        <v>45984</v>
      </c>
      <c r="C1040" t="s">
        <v>18</v>
      </c>
      <c r="D1040" t="s">
        <v>28</v>
      </c>
      <c r="E1040" t="s">
        <v>20</v>
      </c>
      <c r="F1040" t="s">
        <v>36</v>
      </c>
      <c r="G1040" t="s">
        <v>51</v>
      </c>
      <c r="H1040" t="s">
        <v>57</v>
      </c>
      <c r="I1040" t="s">
        <v>160</v>
      </c>
      <c r="J1040">
        <v>32</v>
      </c>
      <c r="K1040">
        <v>5772.19</v>
      </c>
      <c r="L1040">
        <v>184710.08</v>
      </c>
      <c r="M1040">
        <v>33277.9</v>
      </c>
      <c r="N1040">
        <v>0</v>
      </c>
      <c r="O1040">
        <v>151432.18</v>
      </c>
      <c r="P1040" t="s">
        <v>25</v>
      </c>
      <c r="Q1040" t="s">
        <v>26</v>
      </c>
    </row>
    <row r="1041" spans="1:17" x14ac:dyDescent="0.25">
      <c r="A1041" t="s">
        <v>1158</v>
      </c>
      <c r="B1041" s="1">
        <v>45966</v>
      </c>
      <c r="C1041" t="s">
        <v>47</v>
      </c>
      <c r="D1041" t="s">
        <v>88</v>
      </c>
      <c r="E1041" t="s">
        <v>49</v>
      </c>
      <c r="F1041" t="s">
        <v>137</v>
      </c>
      <c r="G1041" t="s">
        <v>22</v>
      </c>
      <c r="H1041" t="s">
        <v>67</v>
      </c>
      <c r="I1041" t="s">
        <v>154</v>
      </c>
      <c r="J1041">
        <v>6</v>
      </c>
      <c r="K1041">
        <v>29399.54</v>
      </c>
      <c r="L1041">
        <v>176397.24</v>
      </c>
      <c r="M1041">
        <v>19682.7</v>
      </c>
      <c r="N1041">
        <v>0</v>
      </c>
      <c r="O1041">
        <v>156714.54</v>
      </c>
      <c r="P1041" t="s">
        <v>32</v>
      </c>
      <c r="Q1041" t="s">
        <v>32</v>
      </c>
    </row>
    <row r="1042" spans="1:17" x14ac:dyDescent="0.25">
      <c r="A1042" t="s">
        <v>1159</v>
      </c>
      <c r="B1042" s="1">
        <v>46001</v>
      </c>
      <c r="C1042" t="s">
        <v>54</v>
      </c>
      <c r="D1042" t="s">
        <v>55</v>
      </c>
      <c r="E1042" t="s">
        <v>20</v>
      </c>
      <c r="F1042" t="s">
        <v>36</v>
      </c>
      <c r="G1042" t="s">
        <v>22</v>
      </c>
      <c r="H1042" t="s">
        <v>38</v>
      </c>
      <c r="I1042" t="s">
        <v>82</v>
      </c>
      <c r="J1042">
        <v>11</v>
      </c>
      <c r="K1042">
        <v>32411.77</v>
      </c>
      <c r="L1042">
        <v>356529.47</v>
      </c>
      <c r="M1042">
        <v>0</v>
      </c>
      <c r="N1042">
        <v>0</v>
      </c>
      <c r="O1042">
        <v>356529.47</v>
      </c>
      <c r="P1042" t="s">
        <v>31</v>
      </c>
      <c r="Q1042" t="s">
        <v>32</v>
      </c>
    </row>
    <row r="1043" spans="1:17" x14ac:dyDescent="0.25">
      <c r="A1043" t="s">
        <v>1160</v>
      </c>
      <c r="B1043" s="1">
        <v>45969</v>
      </c>
      <c r="C1043" t="s">
        <v>79</v>
      </c>
      <c r="D1043" t="s">
        <v>91</v>
      </c>
      <c r="E1043" t="s">
        <v>20</v>
      </c>
      <c r="F1043" t="s">
        <v>36</v>
      </c>
      <c r="G1043" t="s">
        <v>56</v>
      </c>
      <c r="H1043" t="s">
        <v>57</v>
      </c>
      <c r="I1043" t="s">
        <v>58</v>
      </c>
      <c r="J1043">
        <v>50</v>
      </c>
      <c r="K1043">
        <v>12571.65</v>
      </c>
      <c r="L1043">
        <v>628582.5</v>
      </c>
      <c r="M1043">
        <v>0</v>
      </c>
      <c r="N1043">
        <v>0</v>
      </c>
      <c r="O1043">
        <v>628582.5</v>
      </c>
      <c r="P1043" t="s">
        <v>25</v>
      </c>
      <c r="Q1043" t="s">
        <v>26</v>
      </c>
    </row>
    <row r="1044" spans="1:17" x14ac:dyDescent="0.25">
      <c r="A1044" t="s">
        <v>1161</v>
      </c>
      <c r="B1044" s="1">
        <v>46024</v>
      </c>
      <c r="C1044" t="s">
        <v>18</v>
      </c>
      <c r="D1044" t="s">
        <v>75</v>
      </c>
      <c r="E1044" t="s">
        <v>49</v>
      </c>
      <c r="F1044" t="s">
        <v>112</v>
      </c>
      <c r="G1044" t="s">
        <v>66</v>
      </c>
      <c r="H1044" t="s">
        <v>38</v>
      </c>
      <c r="I1044" t="s">
        <v>120</v>
      </c>
      <c r="J1044">
        <v>43</v>
      </c>
      <c r="K1044">
        <v>21213.02</v>
      </c>
      <c r="L1044">
        <v>912159.86</v>
      </c>
      <c r="M1044">
        <v>0</v>
      </c>
      <c r="N1044">
        <v>0</v>
      </c>
      <c r="O1044">
        <v>912159.86</v>
      </c>
      <c r="P1044" t="s">
        <v>32</v>
      </c>
      <c r="Q1044" t="s">
        <v>32</v>
      </c>
    </row>
    <row r="1045" spans="1:17" x14ac:dyDescent="0.25">
      <c r="A1045" t="s">
        <v>1162</v>
      </c>
      <c r="B1045" s="1">
        <v>45955</v>
      </c>
      <c r="C1045" t="s">
        <v>18</v>
      </c>
      <c r="D1045" t="s">
        <v>19</v>
      </c>
      <c r="E1045" t="s">
        <v>49</v>
      </c>
      <c r="F1045" t="s">
        <v>50</v>
      </c>
      <c r="G1045" t="s">
        <v>81</v>
      </c>
      <c r="H1045" t="s">
        <v>23</v>
      </c>
      <c r="I1045" t="s">
        <v>110</v>
      </c>
      <c r="J1045">
        <v>27</v>
      </c>
      <c r="K1045">
        <v>20696.28</v>
      </c>
      <c r="L1045">
        <v>558799.56000000006</v>
      </c>
      <c r="M1045">
        <v>9024.15</v>
      </c>
      <c r="N1045">
        <v>0</v>
      </c>
      <c r="O1045">
        <v>549775.41</v>
      </c>
      <c r="P1045" t="s">
        <v>73</v>
      </c>
      <c r="Q1045" t="s">
        <v>26</v>
      </c>
    </row>
    <row r="1046" spans="1:17" x14ac:dyDescent="0.25">
      <c r="A1046" t="s">
        <v>1163</v>
      </c>
      <c r="B1046" s="1">
        <v>46037</v>
      </c>
      <c r="C1046" t="s">
        <v>54</v>
      </c>
      <c r="D1046" t="s">
        <v>70</v>
      </c>
      <c r="E1046" t="s">
        <v>41</v>
      </c>
      <c r="F1046" t="s">
        <v>21</v>
      </c>
      <c r="G1046" t="s">
        <v>29</v>
      </c>
      <c r="H1046" t="s">
        <v>23</v>
      </c>
      <c r="I1046" t="s">
        <v>24</v>
      </c>
      <c r="J1046">
        <v>18</v>
      </c>
      <c r="K1046">
        <v>44266.84</v>
      </c>
      <c r="L1046">
        <v>796803.12</v>
      </c>
      <c r="M1046">
        <v>21821.439999999999</v>
      </c>
      <c r="N1046">
        <v>0</v>
      </c>
      <c r="O1046">
        <v>774981.68</v>
      </c>
      <c r="P1046" t="s">
        <v>25</v>
      </c>
      <c r="Q1046" t="s">
        <v>26</v>
      </c>
    </row>
    <row r="1047" spans="1:17" x14ac:dyDescent="0.25">
      <c r="A1047" t="s">
        <v>1164</v>
      </c>
      <c r="B1047" s="1">
        <v>46044</v>
      </c>
      <c r="C1047" t="s">
        <v>18</v>
      </c>
      <c r="D1047" t="s">
        <v>34</v>
      </c>
      <c r="E1047" t="s">
        <v>41</v>
      </c>
      <c r="F1047" t="s">
        <v>84</v>
      </c>
      <c r="G1047" t="s">
        <v>29</v>
      </c>
      <c r="H1047" t="s">
        <v>94</v>
      </c>
      <c r="I1047" t="s">
        <v>115</v>
      </c>
      <c r="J1047">
        <v>40</v>
      </c>
      <c r="K1047">
        <v>47986.04</v>
      </c>
      <c r="L1047">
        <v>1919441.6</v>
      </c>
      <c r="M1047">
        <v>297656.49</v>
      </c>
      <c r="N1047">
        <v>0</v>
      </c>
      <c r="O1047">
        <v>1621785.11</v>
      </c>
      <c r="P1047" t="s">
        <v>25</v>
      </c>
      <c r="Q1047" t="s">
        <v>26</v>
      </c>
    </row>
    <row r="1048" spans="1:17" x14ac:dyDescent="0.25">
      <c r="A1048" t="s">
        <v>1165</v>
      </c>
      <c r="B1048" s="1">
        <v>46012</v>
      </c>
      <c r="C1048" t="s">
        <v>60</v>
      </c>
      <c r="D1048" t="s">
        <v>65</v>
      </c>
      <c r="E1048" t="s">
        <v>41</v>
      </c>
      <c r="F1048" t="s">
        <v>105</v>
      </c>
      <c r="G1048" t="s">
        <v>22</v>
      </c>
      <c r="H1048" t="s">
        <v>67</v>
      </c>
      <c r="I1048" t="s">
        <v>103</v>
      </c>
      <c r="J1048">
        <v>7</v>
      </c>
      <c r="K1048">
        <v>41095.4</v>
      </c>
      <c r="L1048">
        <v>287667.8</v>
      </c>
      <c r="M1048">
        <v>34300.21</v>
      </c>
      <c r="N1048">
        <v>0</v>
      </c>
      <c r="O1048">
        <v>253367.59</v>
      </c>
      <c r="P1048" t="s">
        <v>73</v>
      </c>
      <c r="Q1048" t="s">
        <v>32</v>
      </c>
    </row>
    <row r="1049" spans="1:17" x14ac:dyDescent="0.25">
      <c r="A1049" t="s">
        <v>1166</v>
      </c>
      <c r="B1049" s="1">
        <v>45985</v>
      </c>
      <c r="C1049" t="s">
        <v>47</v>
      </c>
      <c r="D1049" t="s">
        <v>88</v>
      </c>
      <c r="E1049" t="s">
        <v>41</v>
      </c>
      <c r="F1049" t="s">
        <v>42</v>
      </c>
      <c r="G1049" t="s">
        <v>37</v>
      </c>
      <c r="H1049" t="s">
        <v>94</v>
      </c>
      <c r="I1049" t="s">
        <v>95</v>
      </c>
      <c r="J1049">
        <v>48</v>
      </c>
      <c r="K1049">
        <v>33300.089999999997</v>
      </c>
      <c r="L1049">
        <v>1598404.32</v>
      </c>
      <c r="M1049">
        <v>161901.49</v>
      </c>
      <c r="N1049">
        <v>0</v>
      </c>
      <c r="O1049">
        <v>1436502.83</v>
      </c>
      <c r="P1049" t="s">
        <v>73</v>
      </c>
      <c r="Q1049" t="s">
        <v>32</v>
      </c>
    </row>
    <row r="1050" spans="1:17" x14ac:dyDescent="0.25">
      <c r="A1050" t="s">
        <v>1167</v>
      </c>
      <c r="B1050" s="1">
        <v>45991</v>
      </c>
      <c r="C1050" t="s">
        <v>18</v>
      </c>
      <c r="D1050" t="s">
        <v>75</v>
      </c>
      <c r="E1050" t="s">
        <v>35</v>
      </c>
      <c r="F1050" t="s">
        <v>112</v>
      </c>
      <c r="G1050" t="s">
        <v>37</v>
      </c>
      <c r="H1050" t="s">
        <v>94</v>
      </c>
      <c r="I1050" t="s">
        <v>163</v>
      </c>
      <c r="J1050">
        <v>21</v>
      </c>
      <c r="K1050">
        <v>46896.4</v>
      </c>
      <c r="L1050">
        <v>984824.4</v>
      </c>
      <c r="M1050">
        <v>0</v>
      </c>
      <c r="N1050">
        <v>181844.33</v>
      </c>
      <c r="O1050">
        <v>802980.07</v>
      </c>
      <c r="P1050" t="s">
        <v>73</v>
      </c>
      <c r="Q1050" t="s">
        <v>32</v>
      </c>
    </row>
    <row r="1051" spans="1:17" x14ac:dyDescent="0.25">
      <c r="A1051" t="s">
        <v>1168</v>
      </c>
      <c r="B1051" s="1">
        <v>45983</v>
      </c>
      <c r="C1051" t="s">
        <v>79</v>
      </c>
      <c r="D1051" t="s">
        <v>91</v>
      </c>
      <c r="E1051" t="s">
        <v>20</v>
      </c>
      <c r="F1051" t="s">
        <v>36</v>
      </c>
      <c r="G1051" t="s">
        <v>85</v>
      </c>
      <c r="H1051" t="s">
        <v>67</v>
      </c>
      <c r="I1051" t="s">
        <v>103</v>
      </c>
      <c r="J1051">
        <v>41</v>
      </c>
      <c r="K1051">
        <v>41346.51</v>
      </c>
      <c r="L1051">
        <v>1695206.91</v>
      </c>
      <c r="M1051">
        <v>0</v>
      </c>
      <c r="N1051">
        <v>0</v>
      </c>
      <c r="O1051">
        <v>1695206.91</v>
      </c>
      <c r="P1051" t="s">
        <v>31</v>
      </c>
      <c r="Q1051" t="s">
        <v>32</v>
      </c>
    </row>
    <row r="1052" spans="1:17" x14ac:dyDescent="0.25">
      <c r="A1052" t="s">
        <v>1169</v>
      </c>
      <c r="B1052" s="1">
        <v>45970</v>
      </c>
      <c r="C1052" t="s">
        <v>79</v>
      </c>
      <c r="D1052" t="s">
        <v>101</v>
      </c>
      <c r="E1052" t="s">
        <v>20</v>
      </c>
      <c r="F1052" t="s">
        <v>71</v>
      </c>
      <c r="G1052" t="s">
        <v>102</v>
      </c>
      <c r="H1052" t="s">
        <v>57</v>
      </c>
      <c r="I1052" t="s">
        <v>148</v>
      </c>
      <c r="J1052">
        <v>33</v>
      </c>
      <c r="K1052">
        <v>36016.53</v>
      </c>
      <c r="L1052">
        <v>1188545.49</v>
      </c>
      <c r="M1052">
        <v>107388.75</v>
      </c>
      <c r="N1052">
        <v>0</v>
      </c>
      <c r="O1052">
        <v>1081156.74</v>
      </c>
      <c r="P1052" t="s">
        <v>31</v>
      </c>
      <c r="Q1052" t="s">
        <v>32</v>
      </c>
    </row>
    <row r="1053" spans="1:17" x14ac:dyDescent="0.25">
      <c r="A1053" t="s">
        <v>1170</v>
      </c>
      <c r="B1053" s="1">
        <v>45954</v>
      </c>
      <c r="C1053" t="s">
        <v>18</v>
      </c>
      <c r="D1053" t="s">
        <v>19</v>
      </c>
      <c r="E1053" t="s">
        <v>49</v>
      </c>
      <c r="F1053" t="s">
        <v>50</v>
      </c>
      <c r="G1053" t="s">
        <v>85</v>
      </c>
      <c r="H1053" t="s">
        <v>23</v>
      </c>
      <c r="I1053" t="s">
        <v>110</v>
      </c>
      <c r="J1053">
        <v>15</v>
      </c>
      <c r="K1053">
        <v>28396.41</v>
      </c>
      <c r="L1053">
        <v>425946.15</v>
      </c>
      <c r="M1053">
        <v>76775.86</v>
      </c>
      <c r="N1053">
        <v>0</v>
      </c>
      <c r="O1053">
        <v>349170.29</v>
      </c>
      <c r="P1053" t="s">
        <v>73</v>
      </c>
      <c r="Q1053" t="s">
        <v>26</v>
      </c>
    </row>
    <row r="1054" spans="1:17" x14ac:dyDescent="0.25">
      <c r="A1054" t="s">
        <v>1171</v>
      </c>
      <c r="B1054" s="1">
        <v>46029</v>
      </c>
      <c r="C1054" t="s">
        <v>47</v>
      </c>
      <c r="D1054" t="s">
        <v>48</v>
      </c>
      <c r="E1054" t="s">
        <v>49</v>
      </c>
      <c r="F1054" t="s">
        <v>36</v>
      </c>
      <c r="G1054" t="s">
        <v>22</v>
      </c>
      <c r="H1054" t="s">
        <v>44</v>
      </c>
      <c r="I1054" t="s">
        <v>124</v>
      </c>
      <c r="J1054">
        <v>35</v>
      </c>
      <c r="K1054">
        <v>5820.64</v>
      </c>
      <c r="L1054">
        <v>203722.4</v>
      </c>
      <c r="M1054">
        <v>0</v>
      </c>
      <c r="N1054">
        <v>0</v>
      </c>
      <c r="O1054">
        <v>203722.4</v>
      </c>
      <c r="P1054" t="s">
        <v>25</v>
      </c>
      <c r="Q1054" t="s">
        <v>26</v>
      </c>
    </row>
    <row r="1055" spans="1:17" x14ac:dyDescent="0.25">
      <c r="A1055" t="s">
        <v>1172</v>
      </c>
      <c r="B1055" s="1">
        <v>46000</v>
      </c>
      <c r="C1055" t="s">
        <v>79</v>
      </c>
      <c r="D1055" t="s">
        <v>107</v>
      </c>
      <c r="E1055" t="s">
        <v>41</v>
      </c>
      <c r="F1055" t="s">
        <v>84</v>
      </c>
      <c r="G1055" t="s">
        <v>138</v>
      </c>
      <c r="H1055" t="s">
        <v>38</v>
      </c>
      <c r="I1055" t="s">
        <v>120</v>
      </c>
      <c r="J1055">
        <v>23</v>
      </c>
      <c r="K1055">
        <v>39754.82</v>
      </c>
      <c r="L1055">
        <v>914360.86</v>
      </c>
      <c r="M1055">
        <v>0</v>
      </c>
      <c r="N1055">
        <v>0</v>
      </c>
      <c r="O1055">
        <v>914360.86</v>
      </c>
      <c r="P1055" t="s">
        <v>25</v>
      </c>
      <c r="Q1055" t="s">
        <v>26</v>
      </c>
    </row>
    <row r="1056" spans="1:17" x14ac:dyDescent="0.25">
      <c r="A1056" t="s">
        <v>1173</v>
      </c>
      <c r="B1056" s="1">
        <v>46004</v>
      </c>
      <c r="C1056" t="s">
        <v>47</v>
      </c>
      <c r="D1056" t="s">
        <v>127</v>
      </c>
      <c r="E1056" t="s">
        <v>35</v>
      </c>
      <c r="F1056" t="s">
        <v>50</v>
      </c>
      <c r="G1056" t="s">
        <v>102</v>
      </c>
      <c r="H1056" t="s">
        <v>94</v>
      </c>
      <c r="I1056" t="s">
        <v>163</v>
      </c>
      <c r="J1056">
        <v>49</v>
      </c>
      <c r="K1056">
        <v>13860.13</v>
      </c>
      <c r="L1056">
        <v>679146.37</v>
      </c>
      <c r="M1056">
        <v>43508.32</v>
      </c>
      <c r="N1056">
        <v>0</v>
      </c>
      <c r="O1056">
        <v>635638.05000000005</v>
      </c>
      <c r="P1056" t="s">
        <v>31</v>
      </c>
      <c r="Q1056" t="s">
        <v>32</v>
      </c>
    </row>
    <row r="1057" spans="1:17" x14ac:dyDescent="0.25">
      <c r="A1057" t="s">
        <v>1174</v>
      </c>
      <c r="B1057" s="1">
        <v>45977</v>
      </c>
      <c r="C1057" t="s">
        <v>47</v>
      </c>
      <c r="D1057" t="s">
        <v>127</v>
      </c>
      <c r="E1057" t="s">
        <v>35</v>
      </c>
      <c r="F1057" t="s">
        <v>137</v>
      </c>
      <c r="G1057" t="s">
        <v>43</v>
      </c>
      <c r="H1057" t="s">
        <v>44</v>
      </c>
      <c r="I1057" t="s">
        <v>135</v>
      </c>
      <c r="J1057">
        <v>30</v>
      </c>
      <c r="K1057">
        <v>22956.26</v>
      </c>
      <c r="L1057">
        <v>688687.8</v>
      </c>
      <c r="M1057">
        <v>75384.06</v>
      </c>
      <c r="N1057">
        <v>0</v>
      </c>
      <c r="O1057">
        <v>613303.74</v>
      </c>
      <c r="P1057" t="s">
        <v>32</v>
      </c>
      <c r="Q1057" t="s">
        <v>32</v>
      </c>
    </row>
    <row r="1058" spans="1:17" x14ac:dyDescent="0.25">
      <c r="A1058" t="s">
        <v>1175</v>
      </c>
      <c r="B1058" s="1">
        <v>46018</v>
      </c>
      <c r="C1058" t="s">
        <v>79</v>
      </c>
      <c r="D1058" t="s">
        <v>101</v>
      </c>
      <c r="E1058" t="s">
        <v>41</v>
      </c>
      <c r="F1058" t="s">
        <v>42</v>
      </c>
      <c r="G1058" t="s">
        <v>63</v>
      </c>
      <c r="H1058" t="s">
        <v>23</v>
      </c>
      <c r="I1058" t="s">
        <v>24</v>
      </c>
      <c r="J1058">
        <v>40</v>
      </c>
      <c r="K1058">
        <v>21431.24</v>
      </c>
      <c r="L1058">
        <v>857249.6</v>
      </c>
      <c r="M1058">
        <v>133582.63</v>
      </c>
      <c r="N1058">
        <v>0</v>
      </c>
      <c r="O1058">
        <v>723666.97</v>
      </c>
      <c r="P1058" t="s">
        <v>73</v>
      </c>
      <c r="Q1058" t="s">
        <v>26</v>
      </c>
    </row>
    <row r="1059" spans="1:17" x14ac:dyDescent="0.25">
      <c r="A1059" t="s">
        <v>1176</v>
      </c>
      <c r="B1059" s="1">
        <v>45964</v>
      </c>
      <c r="C1059" t="s">
        <v>18</v>
      </c>
      <c r="D1059" t="s">
        <v>75</v>
      </c>
      <c r="E1059" t="s">
        <v>41</v>
      </c>
      <c r="F1059" t="s">
        <v>36</v>
      </c>
      <c r="G1059" t="s">
        <v>81</v>
      </c>
      <c r="H1059" t="s">
        <v>23</v>
      </c>
      <c r="I1059" t="s">
        <v>131</v>
      </c>
      <c r="J1059">
        <v>47</v>
      </c>
      <c r="K1059">
        <v>17699.14</v>
      </c>
      <c r="L1059">
        <v>831859.58</v>
      </c>
      <c r="M1059">
        <v>28451.63</v>
      </c>
      <c r="N1059">
        <v>0</v>
      </c>
      <c r="O1059">
        <v>803407.95</v>
      </c>
      <c r="P1059" t="s">
        <v>32</v>
      </c>
      <c r="Q1059" t="s">
        <v>32</v>
      </c>
    </row>
    <row r="1060" spans="1:17" x14ac:dyDescent="0.25">
      <c r="A1060" t="s">
        <v>1177</v>
      </c>
      <c r="B1060" s="1">
        <v>45994</v>
      </c>
      <c r="C1060" t="s">
        <v>54</v>
      </c>
      <c r="D1060" t="s">
        <v>97</v>
      </c>
      <c r="E1060" t="s">
        <v>20</v>
      </c>
      <c r="F1060" t="s">
        <v>50</v>
      </c>
      <c r="G1060" t="s">
        <v>66</v>
      </c>
      <c r="H1060" t="s">
        <v>94</v>
      </c>
      <c r="I1060" t="s">
        <v>193</v>
      </c>
      <c r="J1060">
        <v>32</v>
      </c>
      <c r="K1060">
        <v>33746.86</v>
      </c>
      <c r="L1060">
        <v>1079899.52</v>
      </c>
      <c r="M1060">
        <v>163655.13</v>
      </c>
      <c r="N1060">
        <v>0</v>
      </c>
      <c r="O1060">
        <v>916244.39</v>
      </c>
      <c r="P1060" t="s">
        <v>32</v>
      </c>
      <c r="Q1060" t="s">
        <v>32</v>
      </c>
    </row>
    <row r="1061" spans="1:17" x14ac:dyDescent="0.25">
      <c r="A1061" t="s">
        <v>1178</v>
      </c>
      <c r="B1061" s="1">
        <v>46000</v>
      </c>
      <c r="C1061" t="s">
        <v>79</v>
      </c>
      <c r="D1061" t="s">
        <v>101</v>
      </c>
      <c r="E1061" t="s">
        <v>41</v>
      </c>
      <c r="F1061" t="s">
        <v>112</v>
      </c>
      <c r="G1061" t="s">
        <v>56</v>
      </c>
      <c r="H1061" t="s">
        <v>44</v>
      </c>
      <c r="I1061" t="s">
        <v>124</v>
      </c>
      <c r="J1061">
        <v>28</v>
      </c>
      <c r="K1061">
        <v>12319.29</v>
      </c>
      <c r="L1061">
        <v>344940.12</v>
      </c>
      <c r="M1061">
        <v>15436.01</v>
      </c>
      <c r="N1061">
        <v>0</v>
      </c>
      <c r="O1061">
        <v>329504.11</v>
      </c>
      <c r="P1061" t="s">
        <v>32</v>
      </c>
      <c r="Q1061" t="s">
        <v>26</v>
      </c>
    </row>
    <row r="1062" spans="1:17" x14ac:dyDescent="0.25">
      <c r="A1062" t="s">
        <v>1179</v>
      </c>
      <c r="B1062" s="1">
        <v>46030</v>
      </c>
      <c r="C1062" t="s">
        <v>60</v>
      </c>
      <c r="D1062" t="s">
        <v>151</v>
      </c>
      <c r="E1062" t="s">
        <v>41</v>
      </c>
      <c r="F1062" t="s">
        <v>42</v>
      </c>
      <c r="G1062" t="s">
        <v>22</v>
      </c>
      <c r="H1062" t="s">
        <v>57</v>
      </c>
      <c r="I1062" t="s">
        <v>148</v>
      </c>
      <c r="J1062">
        <v>43</v>
      </c>
      <c r="K1062">
        <v>15298.31</v>
      </c>
      <c r="L1062">
        <v>657827.32999999996</v>
      </c>
      <c r="M1062">
        <v>0</v>
      </c>
      <c r="N1062">
        <v>0</v>
      </c>
      <c r="O1062">
        <v>657827.32999999996</v>
      </c>
      <c r="P1062" t="s">
        <v>32</v>
      </c>
      <c r="Q1062" t="s">
        <v>26</v>
      </c>
    </row>
    <row r="1063" spans="1:17" x14ac:dyDescent="0.25">
      <c r="A1063" t="s">
        <v>1180</v>
      </c>
      <c r="B1063" s="1">
        <v>45970</v>
      </c>
      <c r="C1063" t="s">
        <v>79</v>
      </c>
      <c r="D1063" t="s">
        <v>107</v>
      </c>
      <c r="E1063" t="s">
        <v>49</v>
      </c>
      <c r="F1063" t="s">
        <v>50</v>
      </c>
      <c r="G1063" t="s">
        <v>140</v>
      </c>
      <c r="H1063" t="s">
        <v>23</v>
      </c>
      <c r="I1063" t="s">
        <v>30</v>
      </c>
      <c r="J1063">
        <v>15</v>
      </c>
      <c r="K1063">
        <v>42873.23</v>
      </c>
      <c r="L1063">
        <v>643098.44999999995</v>
      </c>
      <c r="M1063">
        <v>0</v>
      </c>
      <c r="N1063">
        <v>190080.42</v>
      </c>
      <c r="O1063">
        <v>453018.03</v>
      </c>
      <c r="P1063" t="s">
        <v>32</v>
      </c>
      <c r="Q1063" t="s">
        <v>32</v>
      </c>
    </row>
    <row r="1064" spans="1:17" x14ac:dyDescent="0.25">
      <c r="A1064" t="s">
        <v>1181</v>
      </c>
      <c r="B1064" s="1">
        <v>46041</v>
      </c>
      <c r="C1064" t="s">
        <v>18</v>
      </c>
      <c r="D1064" t="s">
        <v>28</v>
      </c>
      <c r="E1064" t="s">
        <v>35</v>
      </c>
      <c r="F1064" t="s">
        <v>36</v>
      </c>
      <c r="G1064" t="s">
        <v>63</v>
      </c>
      <c r="H1064" t="s">
        <v>44</v>
      </c>
      <c r="I1064" t="s">
        <v>152</v>
      </c>
      <c r="J1064">
        <v>19</v>
      </c>
      <c r="K1064">
        <v>16231.32</v>
      </c>
      <c r="L1064">
        <v>308395.08</v>
      </c>
      <c r="M1064">
        <v>56495.54</v>
      </c>
      <c r="N1064">
        <v>0</v>
      </c>
      <c r="O1064">
        <v>251899.54</v>
      </c>
      <c r="P1064" t="s">
        <v>32</v>
      </c>
      <c r="Q1064" t="s">
        <v>32</v>
      </c>
    </row>
    <row r="1065" spans="1:17" x14ac:dyDescent="0.25">
      <c r="A1065" t="s">
        <v>1182</v>
      </c>
      <c r="B1065" s="1">
        <v>45962</v>
      </c>
      <c r="C1065" t="s">
        <v>60</v>
      </c>
      <c r="D1065" t="s">
        <v>61</v>
      </c>
      <c r="E1065" t="s">
        <v>20</v>
      </c>
      <c r="F1065" t="s">
        <v>50</v>
      </c>
      <c r="G1065" t="s">
        <v>29</v>
      </c>
      <c r="H1065" t="s">
        <v>38</v>
      </c>
      <c r="I1065" t="s">
        <v>108</v>
      </c>
      <c r="J1065">
        <v>32</v>
      </c>
      <c r="K1065">
        <v>1367.16</v>
      </c>
      <c r="L1065">
        <v>43749.120000000003</v>
      </c>
      <c r="M1065">
        <v>0</v>
      </c>
      <c r="N1065">
        <v>0</v>
      </c>
      <c r="O1065">
        <v>43749.120000000003</v>
      </c>
      <c r="P1065" t="s">
        <v>25</v>
      </c>
      <c r="Q1065" t="s">
        <v>26</v>
      </c>
    </row>
    <row r="1066" spans="1:17" x14ac:dyDescent="0.25">
      <c r="A1066" t="s">
        <v>1183</v>
      </c>
      <c r="B1066" s="1">
        <v>46007</v>
      </c>
      <c r="C1066" t="s">
        <v>54</v>
      </c>
      <c r="D1066" t="s">
        <v>55</v>
      </c>
      <c r="E1066" t="s">
        <v>49</v>
      </c>
      <c r="F1066" t="s">
        <v>50</v>
      </c>
      <c r="G1066" t="s">
        <v>56</v>
      </c>
      <c r="H1066" t="s">
        <v>38</v>
      </c>
      <c r="I1066" t="s">
        <v>175</v>
      </c>
      <c r="J1066">
        <v>24</v>
      </c>
      <c r="K1066">
        <v>31126.14</v>
      </c>
      <c r="L1066">
        <v>747027.36</v>
      </c>
      <c r="M1066">
        <v>81019.03</v>
      </c>
      <c r="N1066">
        <v>0</v>
      </c>
      <c r="O1066">
        <v>666008.32999999996</v>
      </c>
      <c r="P1066" t="s">
        <v>31</v>
      </c>
      <c r="Q1066" t="s">
        <v>32</v>
      </c>
    </row>
    <row r="1067" spans="1:17" x14ac:dyDescent="0.25">
      <c r="A1067" t="s">
        <v>1184</v>
      </c>
      <c r="B1067" s="1">
        <v>45979</v>
      </c>
      <c r="C1067" t="s">
        <v>47</v>
      </c>
      <c r="D1067" t="s">
        <v>127</v>
      </c>
      <c r="E1067" t="s">
        <v>35</v>
      </c>
      <c r="F1067" t="s">
        <v>62</v>
      </c>
      <c r="G1067" t="s">
        <v>138</v>
      </c>
      <c r="H1067" t="s">
        <v>44</v>
      </c>
      <c r="I1067" t="s">
        <v>281</v>
      </c>
      <c r="J1067">
        <v>32</v>
      </c>
      <c r="K1067">
        <v>3090.23</v>
      </c>
      <c r="L1067">
        <v>98887.360000000001</v>
      </c>
      <c r="M1067">
        <v>0</v>
      </c>
      <c r="N1067">
        <v>0</v>
      </c>
      <c r="O1067">
        <v>98887.360000000001</v>
      </c>
      <c r="P1067" t="s">
        <v>25</v>
      </c>
      <c r="Q1067" t="s">
        <v>26</v>
      </c>
    </row>
    <row r="1068" spans="1:17" x14ac:dyDescent="0.25">
      <c r="A1068" t="s">
        <v>1185</v>
      </c>
      <c r="B1068" s="1">
        <v>46027</v>
      </c>
      <c r="C1068" t="s">
        <v>18</v>
      </c>
      <c r="D1068" t="s">
        <v>19</v>
      </c>
      <c r="E1068" t="s">
        <v>35</v>
      </c>
      <c r="F1068" t="s">
        <v>84</v>
      </c>
      <c r="G1068" t="s">
        <v>63</v>
      </c>
      <c r="H1068" t="s">
        <v>94</v>
      </c>
      <c r="I1068" t="s">
        <v>163</v>
      </c>
      <c r="J1068">
        <v>43</v>
      </c>
      <c r="K1068">
        <v>36217.839999999997</v>
      </c>
      <c r="L1068">
        <v>1557367.12</v>
      </c>
      <c r="M1068">
        <v>300977.76</v>
      </c>
      <c r="N1068">
        <v>0</v>
      </c>
      <c r="O1068">
        <v>1256389.3600000001</v>
      </c>
      <c r="P1068" t="s">
        <v>31</v>
      </c>
      <c r="Q1068" t="s">
        <v>32</v>
      </c>
    </row>
    <row r="1069" spans="1:17" x14ac:dyDescent="0.25">
      <c r="A1069" t="s">
        <v>1186</v>
      </c>
      <c r="B1069" s="1">
        <v>45965</v>
      </c>
      <c r="C1069" t="s">
        <v>79</v>
      </c>
      <c r="D1069" t="s">
        <v>91</v>
      </c>
      <c r="E1069" t="s">
        <v>20</v>
      </c>
      <c r="F1069" t="s">
        <v>21</v>
      </c>
      <c r="G1069" t="s">
        <v>89</v>
      </c>
      <c r="H1069" t="s">
        <v>94</v>
      </c>
      <c r="I1069" t="s">
        <v>163</v>
      </c>
      <c r="J1069">
        <v>29</v>
      </c>
      <c r="K1069">
        <v>38079.19</v>
      </c>
      <c r="L1069">
        <v>1104296.51</v>
      </c>
      <c r="M1069">
        <v>190613.38</v>
      </c>
      <c r="N1069">
        <v>0</v>
      </c>
      <c r="O1069">
        <v>913683.13</v>
      </c>
      <c r="P1069" t="s">
        <v>32</v>
      </c>
      <c r="Q1069" t="s">
        <v>32</v>
      </c>
    </row>
    <row r="1070" spans="1:17" x14ac:dyDescent="0.25">
      <c r="A1070" t="s">
        <v>1187</v>
      </c>
      <c r="B1070" s="1">
        <v>45973</v>
      </c>
      <c r="C1070" t="s">
        <v>54</v>
      </c>
      <c r="D1070" t="s">
        <v>97</v>
      </c>
      <c r="E1070" t="s">
        <v>20</v>
      </c>
      <c r="F1070" t="s">
        <v>84</v>
      </c>
      <c r="G1070" t="s">
        <v>43</v>
      </c>
      <c r="H1070" t="s">
        <v>44</v>
      </c>
      <c r="I1070" t="s">
        <v>135</v>
      </c>
      <c r="J1070">
        <v>7</v>
      </c>
      <c r="K1070">
        <v>20802.919999999998</v>
      </c>
      <c r="L1070">
        <v>145620.44</v>
      </c>
      <c r="M1070">
        <v>13816.23</v>
      </c>
      <c r="N1070">
        <v>0</v>
      </c>
      <c r="O1070">
        <v>131804.21</v>
      </c>
      <c r="P1070" t="s">
        <v>73</v>
      </c>
      <c r="Q1070" t="s">
        <v>32</v>
      </c>
    </row>
    <row r="1071" spans="1:17" x14ac:dyDescent="0.25">
      <c r="A1071" t="s">
        <v>1188</v>
      </c>
      <c r="B1071" s="1">
        <v>46036</v>
      </c>
      <c r="C1071" t="s">
        <v>18</v>
      </c>
      <c r="D1071" t="s">
        <v>28</v>
      </c>
      <c r="E1071" t="s">
        <v>49</v>
      </c>
      <c r="F1071" t="s">
        <v>36</v>
      </c>
      <c r="G1071" t="s">
        <v>22</v>
      </c>
      <c r="H1071" t="s">
        <v>23</v>
      </c>
      <c r="I1071" t="s">
        <v>24</v>
      </c>
      <c r="J1071">
        <v>47</v>
      </c>
      <c r="K1071">
        <v>24403.09</v>
      </c>
      <c r="L1071">
        <v>1146945.23</v>
      </c>
      <c r="M1071">
        <v>0</v>
      </c>
      <c r="N1071">
        <v>0</v>
      </c>
      <c r="O1071">
        <v>1146945.23</v>
      </c>
      <c r="P1071" t="s">
        <v>31</v>
      </c>
      <c r="Q1071" t="s">
        <v>32</v>
      </c>
    </row>
    <row r="1072" spans="1:17" x14ac:dyDescent="0.25">
      <c r="A1072" t="s">
        <v>1189</v>
      </c>
      <c r="B1072" s="1">
        <v>46019</v>
      </c>
      <c r="C1072" t="s">
        <v>60</v>
      </c>
      <c r="D1072" t="s">
        <v>123</v>
      </c>
      <c r="E1072" t="s">
        <v>41</v>
      </c>
      <c r="F1072" t="s">
        <v>36</v>
      </c>
      <c r="G1072" t="s">
        <v>138</v>
      </c>
      <c r="H1072" t="s">
        <v>23</v>
      </c>
      <c r="I1072" t="s">
        <v>52</v>
      </c>
      <c r="J1072">
        <v>15</v>
      </c>
      <c r="K1072">
        <v>17882.89</v>
      </c>
      <c r="L1072">
        <v>268243.34999999998</v>
      </c>
      <c r="M1072">
        <v>53103.54</v>
      </c>
      <c r="N1072">
        <v>0</v>
      </c>
      <c r="O1072">
        <v>215139.81</v>
      </c>
      <c r="P1072" t="s">
        <v>31</v>
      </c>
      <c r="Q1072" t="s">
        <v>32</v>
      </c>
    </row>
    <row r="1073" spans="1:17" x14ac:dyDescent="0.25">
      <c r="A1073" t="s">
        <v>1190</v>
      </c>
      <c r="B1073" s="1">
        <v>46025</v>
      </c>
      <c r="C1073" t="s">
        <v>47</v>
      </c>
      <c r="D1073" t="s">
        <v>127</v>
      </c>
      <c r="E1073" t="s">
        <v>41</v>
      </c>
      <c r="F1073" t="s">
        <v>112</v>
      </c>
      <c r="G1073" t="s">
        <v>29</v>
      </c>
      <c r="H1073" t="s">
        <v>67</v>
      </c>
      <c r="I1073" t="s">
        <v>201</v>
      </c>
      <c r="J1073">
        <v>13</v>
      </c>
      <c r="K1073">
        <v>17146.23</v>
      </c>
      <c r="L1073">
        <v>222900.99</v>
      </c>
      <c r="M1073">
        <v>0</v>
      </c>
      <c r="N1073">
        <v>0</v>
      </c>
      <c r="O1073">
        <v>222900.99</v>
      </c>
      <c r="P1073" t="s">
        <v>25</v>
      </c>
      <c r="Q1073" t="s">
        <v>26</v>
      </c>
    </row>
    <row r="1074" spans="1:17" x14ac:dyDescent="0.25">
      <c r="A1074" t="s">
        <v>1191</v>
      </c>
      <c r="B1074" s="1">
        <v>46005</v>
      </c>
      <c r="C1074" t="s">
        <v>54</v>
      </c>
      <c r="D1074" t="s">
        <v>55</v>
      </c>
      <c r="E1074" t="s">
        <v>49</v>
      </c>
      <c r="F1074" t="s">
        <v>62</v>
      </c>
      <c r="G1074" t="s">
        <v>138</v>
      </c>
      <c r="H1074" t="s">
        <v>44</v>
      </c>
      <c r="I1074" t="s">
        <v>141</v>
      </c>
      <c r="J1074">
        <v>27</v>
      </c>
      <c r="K1074">
        <v>6949.39</v>
      </c>
      <c r="L1074">
        <v>187633.53</v>
      </c>
      <c r="M1074">
        <v>7827</v>
      </c>
      <c r="N1074">
        <v>0</v>
      </c>
      <c r="O1074">
        <v>179806.53</v>
      </c>
      <c r="P1074" t="s">
        <v>32</v>
      </c>
      <c r="Q1074" t="s">
        <v>32</v>
      </c>
    </row>
    <row r="1075" spans="1:17" x14ac:dyDescent="0.25">
      <c r="A1075" t="s">
        <v>1192</v>
      </c>
      <c r="B1075" s="1">
        <v>45955</v>
      </c>
      <c r="C1075" t="s">
        <v>79</v>
      </c>
      <c r="D1075" t="s">
        <v>91</v>
      </c>
      <c r="E1075" t="s">
        <v>35</v>
      </c>
      <c r="F1075" t="s">
        <v>21</v>
      </c>
      <c r="G1075" t="s">
        <v>56</v>
      </c>
      <c r="H1075" t="s">
        <v>57</v>
      </c>
      <c r="I1075" t="s">
        <v>148</v>
      </c>
      <c r="J1075">
        <v>16</v>
      </c>
      <c r="K1075">
        <v>24342.560000000001</v>
      </c>
      <c r="L1075">
        <v>389480.96000000002</v>
      </c>
      <c r="M1075">
        <v>3755.54</v>
      </c>
      <c r="N1075">
        <v>0</v>
      </c>
      <c r="O1075">
        <v>385725.42</v>
      </c>
      <c r="P1075" t="s">
        <v>73</v>
      </c>
      <c r="Q1075" t="s">
        <v>26</v>
      </c>
    </row>
    <row r="1076" spans="1:17" x14ac:dyDescent="0.25">
      <c r="A1076" t="s">
        <v>1193</v>
      </c>
      <c r="B1076" s="1">
        <v>46013</v>
      </c>
      <c r="C1076" t="s">
        <v>18</v>
      </c>
      <c r="D1076" t="s">
        <v>34</v>
      </c>
      <c r="E1076" t="s">
        <v>41</v>
      </c>
      <c r="F1076" t="s">
        <v>62</v>
      </c>
      <c r="G1076" t="s">
        <v>43</v>
      </c>
      <c r="H1076" t="s">
        <v>38</v>
      </c>
      <c r="I1076" t="s">
        <v>86</v>
      </c>
      <c r="J1076">
        <v>35</v>
      </c>
      <c r="K1076">
        <v>18348.689999999999</v>
      </c>
      <c r="L1076">
        <v>642204.15</v>
      </c>
      <c r="M1076">
        <v>0</v>
      </c>
      <c r="N1076">
        <v>0</v>
      </c>
      <c r="O1076">
        <v>642204.15</v>
      </c>
      <c r="P1076" t="s">
        <v>25</v>
      </c>
      <c r="Q1076" t="s">
        <v>26</v>
      </c>
    </row>
    <row r="1077" spans="1:17" x14ac:dyDescent="0.25">
      <c r="A1077" t="s">
        <v>1194</v>
      </c>
      <c r="B1077" s="1">
        <v>46006</v>
      </c>
      <c r="C1077" t="s">
        <v>47</v>
      </c>
      <c r="D1077" t="s">
        <v>114</v>
      </c>
      <c r="E1077" t="s">
        <v>41</v>
      </c>
      <c r="F1077" t="s">
        <v>105</v>
      </c>
      <c r="G1077" t="s">
        <v>138</v>
      </c>
      <c r="H1077" t="s">
        <v>67</v>
      </c>
      <c r="I1077" t="s">
        <v>170</v>
      </c>
      <c r="J1077">
        <v>12</v>
      </c>
      <c r="K1077">
        <v>37883.47</v>
      </c>
      <c r="L1077">
        <v>454601.64</v>
      </c>
      <c r="M1077">
        <v>7538.61</v>
      </c>
      <c r="N1077">
        <v>0</v>
      </c>
      <c r="O1077">
        <v>447063.03</v>
      </c>
      <c r="P1077" t="s">
        <v>73</v>
      </c>
      <c r="Q1077" t="s">
        <v>26</v>
      </c>
    </row>
    <row r="1078" spans="1:17" x14ac:dyDescent="0.25">
      <c r="A1078" t="s">
        <v>1195</v>
      </c>
      <c r="B1078" s="1">
        <v>46003</v>
      </c>
      <c r="C1078" t="s">
        <v>54</v>
      </c>
      <c r="D1078" t="s">
        <v>55</v>
      </c>
      <c r="E1078" t="s">
        <v>20</v>
      </c>
      <c r="F1078" t="s">
        <v>21</v>
      </c>
      <c r="G1078" t="s">
        <v>98</v>
      </c>
      <c r="H1078" t="s">
        <v>38</v>
      </c>
      <c r="I1078" t="s">
        <v>39</v>
      </c>
      <c r="J1078">
        <v>45</v>
      </c>
      <c r="K1078">
        <v>39471.800000000003</v>
      </c>
      <c r="L1078">
        <v>1776231</v>
      </c>
      <c r="M1078">
        <v>0</v>
      </c>
      <c r="N1078">
        <v>0</v>
      </c>
      <c r="O1078">
        <v>1776231</v>
      </c>
      <c r="P1078" t="s">
        <v>31</v>
      </c>
      <c r="Q1078" t="s">
        <v>32</v>
      </c>
    </row>
    <row r="1079" spans="1:17" x14ac:dyDescent="0.25">
      <c r="A1079" t="s">
        <v>1196</v>
      </c>
      <c r="B1079" s="1">
        <v>45963</v>
      </c>
      <c r="C1079" t="s">
        <v>79</v>
      </c>
      <c r="D1079" t="s">
        <v>101</v>
      </c>
      <c r="E1079" t="s">
        <v>49</v>
      </c>
      <c r="F1079" t="s">
        <v>112</v>
      </c>
      <c r="G1079" t="s">
        <v>81</v>
      </c>
      <c r="H1079" t="s">
        <v>23</v>
      </c>
      <c r="I1079" t="s">
        <v>99</v>
      </c>
      <c r="J1079">
        <v>3</v>
      </c>
      <c r="K1079">
        <v>19798.29</v>
      </c>
      <c r="L1079">
        <v>59394.87</v>
      </c>
      <c r="M1079">
        <v>2082.69</v>
      </c>
      <c r="N1079">
        <v>0</v>
      </c>
      <c r="O1079">
        <v>57312.18</v>
      </c>
      <c r="P1079" t="s">
        <v>32</v>
      </c>
      <c r="Q1079" t="s">
        <v>32</v>
      </c>
    </row>
    <row r="1080" spans="1:17" x14ac:dyDescent="0.25">
      <c r="A1080" t="s">
        <v>1197</v>
      </c>
      <c r="B1080" s="1">
        <v>45956</v>
      </c>
      <c r="C1080" t="s">
        <v>60</v>
      </c>
      <c r="D1080" t="s">
        <v>151</v>
      </c>
      <c r="E1080" t="s">
        <v>41</v>
      </c>
      <c r="F1080" t="s">
        <v>71</v>
      </c>
      <c r="G1080" t="s">
        <v>66</v>
      </c>
      <c r="H1080" t="s">
        <v>67</v>
      </c>
      <c r="I1080" t="s">
        <v>154</v>
      </c>
      <c r="J1080">
        <v>28</v>
      </c>
      <c r="K1080">
        <v>12960.99</v>
      </c>
      <c r="L1080">
        <v>362907.72</v>
      </c>
      <c r="M1080">
        <v>7060.59</v>
      </c>
      <c r="N1080">
        <v>0</v>
      </c>
      <c r="O1080">
        <v>355847.13</v>
      </c>
      <c r="P1080" t="s">
        <v>73</v>
      </c>
      <c r="Q1080" t="s">
        <v>26</v>
      </c>
    </row>
    <row r="1081" spans="1:17" x14ac:dyDescent="0.25">
      <c r="A1081" t="s">
        <v>1198</v>
      </c>
      <c r="B1081" s="1">
        <v>46019</v>
      </c>
      <c r="C1081" t="s">
        <v>60</v>
      </c>
      <c r="D1081" t="s">
        <v>65</v>
      </c>
      <c r="E1081" t="s">
        <v>35</v>
      </c>
      <c r="F1081" t="s">
        <v>50</v>
      </c>
      <c r="G1081" t="s">
        <v>138</v>
      </c>
      <c r="H1081" t="s">
        <v>94</v>
      </c>
      <c r="I1081" t="s">
        <v>95</v>
      </c>
      <c r="J1081">
        <v>8</v>
      </c>
      <c r="K1081">
        <v>21668.15</v>
      </c>
      <c r="L1081">
        <v>173345.2</v>
      </c>
      <c r="M1081">
        <v>607.72</v>
      </c>
      <c r="N1081">
        <v>0</v>
      </c>
      <c r="O1081">
        <v>172737.48</v>
      </c>
      <c r="P1081" t="s">
        <v>32</v>
      </c>
      <c r="Q1081" t="s">
        <v>32</v>
      </c>
    </row>
    <row r="1082" spans="1:17" x14ac:dyDescent="0.25">
      <c r="A1082" t="s">
        <v>1199</v>
      </c>
      <c r="B1082" s="1">
        <v>46010</v>
      </c>
      <c r="C1082" t="s">
        <v>60</v>
      </c>
      <c r="D1082" t="s">
        <v>61</v>
      </c>
      <c r="E1082" t="s">
        <v>35</v>
      </c>
      <c r="F1082" t="s">
        <v>42</v>
      </c>
      <c r="G1082" t="s">
        <v>81</v>
      </c>
      <c r="H1082" t="s">
        <v>23</v>
      </c>
      <c r="I1082" t="s">
        <v>131</v>
      </c>
      <c r="J1082">
        <v>21</v>
      </c>
      <c r="K1082">
        <v>15434.27</v>
      </c>
      <c r="L1082">
        <v>324119.67</v>
      </c>
      <c r="M1082">
        <v>0</v>
      </c>
      <c r="N1082">
        <v>0</v>
      </c>
      <c r="O1082">
        <v>324119.67</v>
      </c>
      <c r="P1082" t="s">
        <v>31</v>
      </c>
      <c r="Q1082" t="s">
        <v>32</v>
      </c>
    </row>
    <row r="1083" spans="1:17" x14ac:dyDescent="0.25">
      <c r="A1083" t="s">
        <v>1200</v>
      </c>
      <c r="B1083" s="1">
        <v>45980</v>
      </c>
      <c r="C1083" t="s">
        <v>47</v>
      </c>
      <c r="D1083" t="s">
        <v>114</v>
      </c>
      <c r="E1083" t="s">
        <v>20</v>
      </c>
      <c r="F1083" t="s">
        <v>137</v>
      </c>
      <c r="G1083" t="s">
        <v>98</v>
      </c>
      <c r="H1083" t="s">
        <v>44</v>
      </c>
      <c r="I1083" t="s">
        <v>135</v>
      </c>
      <c r="J1083">
        <v>27</v>
      </c>
      <c r="K1083">
        <v>26197.48</v>
      </c>
      <c r="L1083">
        <v>707331.96</v>
      </c>
      <c r="M1083">
        <v>58281.85</v>
      </c>
      <c r="N1083">
        <v>0</v>
      </c>
      <c r="O1083">
        <v>649050.11</v>
      </c>
      <c r="P1083" t="s">
        <v>25</v>
      </c>
      <c r="Q1083" t="s">
        <v>128</v>
      </c>
    </row>
    <row r="1084" spans="1:17" x14ac:dyDescent="0.25">
      <c r="A1084" t="s">
        <v>1201</v>
      </c>
      <c r="B1084" s="1">
        <v>46037</v>
      </c>
      <c r="C1084" t="s">
        <v>79</v>
      </c>
      <c r="D1084" t="s">
        <v>91</v>
      </c>
      <c r="E1084" t="s">
        <v>35</v>
      </c>
      <c r="F1084" t="s">
        <v>62</v>
      </c>
      <c r="G1084" t="s">
        <v>81</v>
      </c>
      <c r="H1084" t="s">
        <v>44</v>
      </c>
      <c r="I1084" t="s">
        <v>124</v>
      </c>
      <c r="J1084">
        <v>12</v>
      </c>
      <c r="K1084">
        <v>26096.27</v>
      </c>
      <c r="L1084">
        <v>313155.24</v>
      </c>
      <c r="M1084">
        <v>21776.69</v>
      </c>
      <c r="N1084">
        <v>0</v>
      </c>
      <c r="O1084">
        <v>291378.55</v>
      </c>
      <c r="P1084" t="s">
        <v>31</v>
      </c>
      <c r="Q1084" t="s">
        <v>32</v>
      </c>
    </row>
    <row r="1085" spans="1:17" x14ac:dyDescent="0.25">
      <c r="A1085" t="s">
        <v>1202</v>
      </c>
      <c r="B1085" s="1">
        <v>45961</v>
      </c>
      <c r="C1085" t="s">
        <v>60</v>
      </c>
      <c r="D1085" t="s">
        <v>65</v>
      </c>
      <c r="E1085" t="s">
        <v>35</v>
      </c>
      <c r="F1085" t="s">
        <v>137</v>
      </c>
      <c r="G1085" t="s">
        <v>66</v>
      </c>
      <c r="H1085" t="s">
        <v>67</v>
      </c>
      <c r="I1085" t="s">
        <v>154</v>
      </c>
      <c r="J1085">
        <v>30</v>
      </c>
      <c r="K1085">
        <v>16762.34</v>
      </c>
      <c r="L1085">
        <v>502870.2</v>
      </c>
      <c r="M1085">
        <v>0</v>
      </c>
      <c r="N1085">
        <v>0</v>
      </c>
      <c r="O1085">
        <v>502870.2</v>
      </c>
      <c r="P1085" t="s">
        <v>73</v>
      </c>
      <c r="Q1085" t="s">
        <v>26</v>
      </c>
    </row>
    <row r="1086" spans="1:17" x14ac:dyDescent="0.25">
      <c r="A1086" t="s">
        <v>1203</v>
      </c>
      <c r="B1086" s="1">
        <v>46021</v>
      </c>
      <c r="C1086" t="s">
        <v>47</v>
      </c>
      <c r="D1086" t="s">
        <v>127</v>
      </c>
      <c r="E1086" t="s">
        <v>41</v>
      </c>
      <c r="F1086" t="s">
        <v>21</v>
      </c>
      <c r="G1086" t="s">
        <v>140</v>
      </c>
      <c r="H1086" t="s">
        <v>57</v>
      </c>
      <c r="I1086" t="s">
        <v>92</v>
      </c>
      <c r="J1086">
        <v>31</v>
      </c>
      <c r="K1086">
        <v>47919.99</v>
      </c>
      <c r="L1086">
        <v>1485519.69</v>
      </c>
      <c r="M1086">
        <v>0</v>
      </c>
      <c r="N1086">
        <v>0</v>
      </c>
      <c r="O1086">
        <v>1485519.69</v>
      </c>
      <c r="P1086" t="s">
        <v>32</v>
      </c>
      <c r="Q1086" t="s">
        <v>32</v>
      </c>
    </row>
    <row r="1087" spans="1:17" x14ac:dyDescent="0.25">
      <c r="A1087" t="s">
        <v>1204</v>
      </c>
      <c r="B1087" s="1">
        <v>46016</v>
      </c>
      <c r="C1087" t="s">
        <v>18</v>
      </c>
      <c r="D1087" t="s">
        <v>28</v>
      </c>
      <c r="E1087" t="s">
        <v>35</v>
      </c>
      <c r="F1087" t="s">
        <v>50</v>
      </c>
      <c r="G1087" t="s">
        <v>89</v>
      </c>
      <c r="H1087" t="s">
        <v>57</v>
      </c>
      <c r="I1087" t="s">
        <v>58</v>
      </c>
      <c r="J1087">
        <v>49</v>
      </c>
      <c r="K1087">
        <v>26604.54</v>
      </c>
      <c r="L1087">
        <v>1303622.46</v>
      </c>
      <c r="M1087">
        <v>125970.27</v>
      </c>
      <c r="N1087">
        <v>31130.799999999999</v>
      </c>
      <c r="O1087">
        <v>1146521.3899999999</v>
      </c>
      <c r="P1087" t="s">
        <v>32</v>
      </c>
      <c r="Q1087" t="s">
        <v>32</v>
      </c>
    </row>
    <row r="1088" spans="1:17" x14ac:dyDescent="0.25">
      <c r="A1088" t="s">
        <v>1205</v>
      </c>
      <c r="B1088" s="1">
        <v>45978</v>
      </c>
      <c r="C1088" t="s">
        <v>79</v>
      </c>
      <c r="D1088" t="s">
        <v>91</v>
      </c>
      <c r="E1088" t="s">
        <v>41</v>
      </c>
      <c r="F1088" t="s">
        <v>71</v>
      </c>
      <c r="G1088" t="s">
        <v>63</v>
      </c>
      <c r="H1088" t="s">
        <v>38</v>
      </c>
      <c r="I1088" t="s">
        <v>175</v>
      </c>
      <c r="J1088">
        <v>23</v>
      </c>
      <c r="K1088">
        <v>14431.47</v>
      </c>
      <c r="L1088">
        <v>331923.81</v>
      </c>
      <c r="M1088">
        <v>27967.91</v>
      </c>
      <c r="N1088">
        <v>0</v>
      </c>
      <c r="O1088">
        <v>303955.90000000002</v>
      </c>
      <c r="P1088" t="s">
        <v>25</v>
      </c>
      <c r="Q1088" t="s">
        <v>32</v>
      </c>
    </row>
    <row r="1089" spans="1:17" x14ac:dyDescent="0.25">
      <c r="A1089" t="s">
        <v>1206</v>
      </c>
      <c r="B1089" s="1">
        <v>46021</v>
      </c>
      <c r="C1089" t="s">
        <v>18</v>
      </c>
      <c r="D1089" t="s">
        <v>75</v>
      </c>
      <c r="E1089" t="s">
        <v>35</v>
      </c>
      <c r="F1089" t="s">
        <v>105</v>
      </c>
      <c r="G1089" t="s">
        <v>85</v>
      </c>
      <c r="H1089" t="s">
        <v>67</v>
      </c>
      <c r="I1089" t="s">
        <v>201</v>
      </c>
      <c r="J1089">
        <v>35</v>
      </c>
      <c r="K1089">
        <v>13809.62</v>
      </c>
      <c r="L1089">
        <v>483336.7</v>
      </c>
      <c r="M1089">
        <v>19462.54</v>
      </c>
      <c r="N1089">
        <v>0</v>
      </c>
      <c r="O1089">
        <v>463874.16</v>
      </c>
      <c r="P1089" t="s">
        <v>31</v>
      </c>
      <c r="Q1089" t="s">
        <v>32</v>
      </c>
    </row>
    <row r="1090" spans="1:17" x14ac:dyDescent="0.25">
      <c r="A1090" t="s">
        <v>1207</v>
      </c>
      <c r="B1090" s="1">
        <v>45997</v>
      </c>
      <c r="C1090" t="s">
        <v>60</v>
      </c>
      <c r="D1090" t="s">
        <v>123</v>
      </c>
      <c r="E1090" t="s">
        <v>35</v>
      </c>
      <c r="F1090" t="s">
        <v>71</v>
      </c>
      <c r="G1090" t="s">
        <v>22</v>
      </c>
      <c r="H1090" t="s">
        <v>67</v>
      </c>
      <c r="I1090" t="s">
        <v>68</v>
      </c>
      <c r="J1090">
        <v>49</v>
      </c>
      <c r="K1090">
        <v>13471.43</v>
      </c>
      <c r="L1090">
        <v>660100.06999999995</v>
      </c>
      <c r="M1090">
        <v>5655.53</v>
      </c>
      <c r="N1090">
        <v>0</v>
      </c>
      <c r="O1090">
        <v>654444.54</v>
      </c>
      <c r="P1090" t="s">
        <v>32</v>
      </c>
      <c r="Q1090" t="s">
        <v>32</v>
      </c>
    </row>
    <row r="1091" spans="1:17" x14ac:dyDescent="0.25">
      <c r="A1091" t="s">
        <v>1208</v>
      </c>
      <c r="B1091" s="1">
        <v>45995</v>
      </c>
      <c r="C1091" t="s">
        <v>79</v>
      </c>
      <c r="D1091" t="s">
        <v>101</v>
      </c>
      <c r="E1091" t="s">
        <v>35</v>
      </c>
      <c r="F1091" t="s">
        <v>36</v>
      </c>
      <c r="G1091" t="s">
        <v>43</v>
      </c>
      <c r="H1091" t="s">
        <v>94</v>
      </c>
      <c r="I1091" t="s">
        <v>177</v>
      </c>
      <c r="J1091">
        <v>27</v>
      </c>
      <c r="K1091">
        <v>1673.51</v>
      </c>
      <c r="L1091">
        <v>45184.77</v>
      </c>
      <c r="M1091">
        <v>376.08</v>
      </c>
      <c r="N1091">
        <v>0</v>
      </c>
      <c r="O1091">
        <v>44808.69</v>
      </c>
      <c r="P1091" t="s">
        <v>31</v>
      </c>
      <c r="Q1091" t="s">
        <v>32</v>
      </c>
    </row>
    <row r="1092" spans="1:17" x14ac:dyDescent="0.25">
      <c r="A1092" t="s">
        <v>1209</v>
      </c>
      <c r="B1092" s="1">
        <v>46003</v>
      </c>
      <c r="C1092" t="s">
        <v>79</v>
      </c>
      <c r="D1092" t="s">
        <v>80</v>
      </c>
      <c r="E1092" t="s">
        <v>35</v>
      </c>
      <c r="F1092" t="s">
        <v>21</v>
      </c>
      <c r="G1092" t="s">
        <v>56</v>
      </c>
      <c r="H1092" t="s">
        <v>67</v>
      </c>
      <c r="I1092" t="s">
        <v>103</v>
      </c>
      <c r="J1092">
        <v>21</v>
      </c>
      <c r="K1092">
        <v>24600.85</v>
      </c>
      <c r="L1092">
        <v>516617.85</v>
      </c>
      <c r="M1092">
        <v>0</v>
      </c>
      <c r="N1092">
        <v>111220.49</v>
      </c>
      <c r="O1092">
        <v>405397.36</v>
      </c>
      <c r="P1092" t="s">
        <v>73</v>
      </c>
      <c r="Q1092" t="s">
        <v>26</v>
      </c>
    </row>
    <row r="1093" spans="1:17" x14ac:dyDescent="0.25">
      <c r="A1093" t="s">
        <v>1210</v>
      </c>
      <c r="B1093" s="1">
        <v>45965</v>
      </c>
      <c r="C1093" t="s">
        <v>79</v>
      </c>
      <c r="D1093" t="s">
        <v>91</v>
      </c>
      <c r="E1093" t="s">
        <v>41</v>
      </c>
      <c r="F1093" t="s">
        <v>105</v>
      </c>
      <c r="G1093" t="s">
        <v>37</v>
      </c>
      <c r="H1093" t="s">
        <v>57</v>
      </c>
      <c r="I1093" t="s">
        <v>148</v>
      </c>
      <c r="J1093">
        <v>2</v>
      </c>
      <c r="K1093">
        <v>4288.91</v>
      </c>
      <c r="L1093">
        <v>8577.82</v>
      </c>
      <c r="M1093">
        <v>0</v>
      </c>
      <c r="N1093">
        <v>0</v>
      </c>
      <c r="O1093">
        <v>8577.82</v>
      </c>
      <c r="P1093" t="s">
        <v>25</v>
      </c>
      <c r="Q1093" t="s">
        <v>32</v>
      </c>
    </row>
    <row r="1094" spans="1:17" x14ac:dyDescent="0.25">
      <c r="A1094" t="s">
        <v>1211</v>
      </c>
      <c r="B1094" s="1">
        <v>46010</v>
      </c>
      <c r="C1094" t="s">
        <v>54</v>
      </c>
      <c r="D1094" t="s">
        <v>133</v>
      </c>
      <c r="E1094" t="s">
        <v>20</v>
      </c>
      <c r="F1094" t="s">
        <v>50</v>
      </c>
      <c r="G1094" t="s">
        <v>138</v>
      </c>
      <c r="H1094" t="s">
        <v>44</v>
      </c>
      <c r="I1094" t="s">
        <v>141</v>
      </c>
      <c r="J1094">
        <v>48</v>
      </c>
      <c r="K1094">
        <v>28936.57</v>
      </c>
      <c r="L1094">
        <v>1388955.36</v>
      </c>
      <c r="M1094">
        <v>0</v>
      </c>
      <c r="N1094">
        <v>0</v>
      </c>
      <c r="O1094">
        <v>1388955.36</v>
      </c>
      <c r="P1094" t="s">
        <v>31</v>
      </c>
      <c r="Q1094" t="s">
        <v>32</v>
      </c>
    </row>
    <row r="1095" spans="1:17" x14ac:dyDescent="0.25">
      <c r="A1095" t="s">
        <v>1212</v>
      </c>
      <c r="B1095" s="1">
        <v>46020</v>
      </c>
      <c r="C1095" t="s">
        <v>54</v>
      </c>
      <c r="D1095" t="s">
        <v>133</v>
      </c>
      <c r="E1095" t="s">
        <v>41</v>
      </c>
      <c r="F1095" t="s">
        <v>137</v>
      </c>
      <c r="G1095" t="s">
        <v>66</v>
      </c>
      <c r="H1095" t="s">
        <v>44</v>
      </c>
      <c r="I1095" t="s">
        <v>141</v>
      </c>
      <c r="J1095">
        <v>35</v>
      </c>
      <c r="K1095">
        <v>4570.2</v>
      </c>
      <c r="L1095">
        <v>159957</v>
      </c>
      <c r="M1095">
        <v>20231.599999999999</v>
      </c>
      <c r="N1095">
        <v>0</v>
      </c>
      <c r="O1095">
        <v>139725.4</v>
      </c>
      <c r="P1095" t="s">
        <v>31</v>
      </c>
      <c r="Q1095" t="s">
        <v>32</v>
      </c>
    </row>
    <row r="1096" spans="1:17" x14ac:dyDescent="0.25">
      <c r="A1096" t="s">
        <v>1213</v>
      </c>
      <c r="B1096" s="1">
        <v>46030</v>
      </c>
      <c r="C1096" t="s">
        <v>60</v>
      </c>
      <c r="D1096" t="s">
        <v>123</v>
      </c>
      <c r="E1096" t="s">
        <v>35</v>
      </c>
      <c r="F1096" t="s">
        <v>62</v>
      </c>
      <c r="G1096" t="s">
        <v>22</v>
      </c>
      <c r="H1096" t="s">
        <v>94</v>
      </c>
      <c r="I1096" t="s">
        <v>144</v>
      </c>
      <c r="J1096">
        <v>37</v>
      </c>
      <c r="K1096">
        <v>37066.46</v>
      </c>
      <c r="L1096">
        <v>1371459.02</v>
      </c>
      <c r="M1096">
        <v>204088.83</v>
      </c>
      <c r="N1096">
        <v>0</v>
      </c>
      <c r="O1096">
        <v>1167370.19</v>
      </c>
      <c r="P1096" t="s">
        <v>32</v>
      </c>
      <c r="Q1096" t="s">
        <v>26</v>
      </c>
    </row>
    <row r="1097" spans="1:17" x14ac:dyDescent="0.25">
      <c r="A1097" t="s">
        <v>1214</v>
      </c>
      <c r="B1097" s="1">
        <v>46004</v>
      </c>
      <c r="C1097" t="s">
        <v>18</v>
      </c>
      <c r="D1097" t="s">
        <v>19</v>
      </c>
      <c r="E1097" t="s">
        <v>20</v>
      </c>
      <c r="F1097" t="s">
        <v>42</v>
      </c>
      <c r="G1097" t="s">
        <v>43</v>
      </c>
      <c r="H1097" t="s">
        <v>23</v>
      </c>
      <c r="I1097" t="s">
        <v>52</v>
      </c>
      <c r="J1097">
        <v>41</v>
      </c>
      <c r="K1097">
        <v>23457.200000000001</v>
      </c>
      <c r="L1097">
        <v>961745.2</v>
      </c>
      <c r="M1097">
        <v>0</v>
      </c>
      <c r="N1097">
        <v>0</v>
      </c>
      <c r="O1097">
        <v>961745.2</v>
      </c>
      <c r="P1097" t="s">
        <v>31</v>
      </c>
      <c r="Q1097" t="s">
        <v>32</v>
      </c>
    </row>
    <row r="1098" spans="1:17" x14ac:dyDescent="0.25">
      <c r="A1098" t="s">
        <v>1215</v>
      </c>
      <c r="B1098" s="1">
        <v>46025</v>
      </c>
      <c r="C1098" t="s">
        <v>47</v>
      </c>
      <c r="D1098" t="s">
        <v>48</v>
      </c>
      <c r="E1098" t="s">
        <v>35</v>
      </c>
      <c r="F1098" t="s">
        <v>50</v>
      </c>
      <c r="G1098" t="s">
        <v>140</v>
      </c>
      <c r="H1098" t="s">
        <v>44</v>
      </c>
      <c r="I1098" t="s">
        <v>124</v>
      </c>
      <c r="J1098">
        <v>21</v>
      </c>
      <c r="K1098">
        <v>34519.089999999997</v>
      </c>
      <c r="L1098">
        <v>724900.89</v>
      </c>
      <c r="M1098">
        <v>0</v>
      </c>
      <c r="N1098">
        <v>0</v>
      </c>
      <c r="O1098">
        <v>724900.89</v>
      </c>
      <c r="P1098" t="s">
        <v>31</v>
      </c>
      <c r="Q1098" t="s">
        <v>32</v>
      </c>
    </row>
    <row r="1099" spans="1:17" x14ac:dyDescent="0.25">
      <c r="A1099" t="s">
        <v>1216</v>
      </c>
      <c r="B1099" s="1">
        <v>45982</v>
      </c>
      <c r="C1099" t="s">
        <v>47</v>
      </c>
      <c r="D1099" t="s">
        <v>127</v>
      </c>
      <c r="E1099" t="s">
        <v>35</v>
      </c>
      <c r="F1099" t="s">
        <v>62</v>
      </c>
      <c r="G1099" t="s">
        <v>89</v>
      </c>
      <c r="H1099" t="s">
        <v>38</v>
      </c>
      <c r="I1099" t="s">
        <v>82</v>
      </c>
      <c r="J1099">
        <v>3</v>
      </c>
      <c r="K1099">
        <v>33801.69</v>
      </c>
      <c r="L1099">
        <v>101405.07</v>
      </c>
      <c r="M1099">
        <v>3742.14</v>
      </c>
      <c r="N1099">
        <v>0</v>
      </c>
      <c r="O1099">
        <v>97662.93</v>
      </c>
      <c r="P1099" t="s">
        <v>25</v>
      </c>
      <c r="Q1099" t="s">
        <v>26</v>
      </c>
    </row>
    <row r="1100" spans="1:17" x14ac:dyDescent="0.25">
      <c r="A1100" t="s">
        <v>1217</v>
      </c>
      <c r="B1100" s="1">
        <v>45964</v>
      </c>
      <c r="C1100" t="s">
        <v>79</v>
      </c>
      <c r="D1100" t="s">
        <v>80</v>
      </c>
      <c r="E1100" t="s">
        <v>20</v>
      </c>
      <c r="F1100" t="s">
        <v>62</v>
      </c>
      <c r="G1100" t="s">
        <v>63</v>
      </c>
      <c r="H1100" t="s">
        <v>67</v>
      </c>
      <c r="I1100" t="s">
        <v>77</v>
      </c>
      <c r="J1100">
        <v>27</v>
      </c>
      <c r="K1100">
        <v>20097.810000000001</v>
      </c>
      <c r="L1100">
        <v>542640.87</v>
      </c>
      <c r="M1100">
        <v>0</v>
      </c>
      <c r="N1100">
        <v>0</v>
      </c>
      <c r="O1100">
        <v>542640.87</v>
      </c>
      <c r="P1100" t="s">
        <v>25</v>
      </c>
      <c r="Q1100" t="s">
        <v>26</v>
      </c>
    </row>
    <row r="1101" spans="1:17" x14ac:dyDescent="0.25">
      <c r="A1101" t="s">
        <v>1218</v>
      </c>
      <c r="B1101" s="1">
        <v>46024</v>
      </c>
      <c r="C1101" t="s">
        <v>18</v>
      </c>
      <c r="D1101" t="s">
        <v>75</v>
      </c>
      <c r="E1101" t="s">
        <v>20</v>
      </c>
      <c r="F1101" t="s">
        <v>105</v>
      </c>
      <c r="G1101" t="s">
        <v>140</v>
      </c>
      <c r="H1101" t="s">
        <v>94</v>
      </c>
      <c r="I1101" t="s">
        <v>95</v>
      </c>
      <c r="J1101">
        <v>46</v>
      </c>
      <c r="K1101">
        <v>33394.870000000003</v>
      </c>
      <c r="L1101">
        <v>1536164.02</v>
      </c>
      <c r="M1101">
        <v>0</v>
      </c>
      <c r="N1101">
        <v>0</v>
      </c>
      <c r="O1101">
        <v>1536164.02</v>
      </c>
      <c r="P1101" t="s">
        <v>32</v>
      </c>
      <c r="Q1101" t="s">
        <v>32</v>
      </c>
    </row>
    <row r="1102" spans="1:17" x14ac:dyDescent="0.25">
      <c r="A1102" t="s">
        <v>1219</v>
      </c>
      <c r="B1102" s="1">
        <v>45966</v>
      </c>
      <c r="C1102" t="s">
        <v>79</v>
      </c>
      <c r="D1102" t="s">
        <v>101</v>
      </c>
      <c r="E1102" t="s">
        <v>35</v>
      </c>
      <c r="F1102" t="s">
        <v>84</v>
      </c>
      <c r="G1102" t="s">
        <v>85</v>
      </c>
      <c r="H1102" t="s">
        <v>38</v>
      </c>
      <c r="I1102" t="s">
        <v>120</v>
      </c>
      <c r="J1102">
        <v>15</v>
      </c>
      <c r="K1102">
        <v>4838.51</v>
      </c>
      <c r="L1102">
        <v>72577.649999999994</v>
      </c>
      <c r="M1102">
        <v>0</v>
      </c>
      <c r="N1102">
        <v>0</v>
      </c>
      <c r="O1102">
        <v>72577.649999999994</v>
      </c>
      <c r="P1102" t="s">
        <v>73</v>
      </c>
      <c r="Q1102" t="s">
        <v>32</v>
      </c>
    </row>
    <row r="1103" spans="1:17" x14ac:dyDescent="0.25">
      <c r="A1103" t="s">
        <v>1220</v>
      </c>
      <c r="B1103" s="1">
        <v>46040</v>
      </c>
      <c r="C1103" t="s">
        <v>79</v>
      </c>
      <c r="D1103" t="s">
        <v>101</v>
      </c>
      <c r="E1103" t="s">
        <v>35</v>
      </c>
      <c r="F1103" t="s">
        <v>84</v>
      </c>
      <c r="G1103" t="s">
        <v>29</v>
      </c>
      <c r="H1103" t="s">
        <v>23</v>
      </c>
      <c r="I1103" t="s">
        <v>131</v>
      </c>
      <c r="J1103">
        <v>48</v>
      </c>
      <c r="K1103">
        <v>5218.37</v>
      </c>
      <c r="L1103">
        <v>250481.76</v>
      </c>
      <c r="M1103">
        <v>7985.84</v>
      </c>
      <c r="N1103">
        <v>0</v>
      </c>
      <c r="O1103">
        <v>242495.92</v>
      </c>
      <c r="P1103" t="s">
        <v>32</v>
      </c>
      <c r="Q1103" t="s">
        <v>32</v>
      </c>
    </row>
    <row r="1104" spans="1:17" x14ac:dyDescent="0.25">
      <c r="A1104" t="s">
        <v>1221</v>
      </c>
      <c r="B1104" s="1">
        <v>46018</v>
      </c>
      <c r="C1104" t="s">
        <v>60</v>
      </c>
      <c r="D1104" t="s">
        <v>61</v>
      </c>
      <c r="E1104" t="s">
        <v>20</v>
      </c>
      <c r="F1104" t="s">
        <v>71</v>
      </c>
      <c r="G1104" t="s">
        <v>29</v>
      </c>
      <c r="H1104" t="s">
        <v>67</v>
      </c>
      <c r="I1104" t="s">
        <v>170</v>
      </c>
      <c r="J1104">
        <v>25</v>
      </c>
      <c r="K1104">
        <v>5166.8999999999996</v>
      </c>
      <c r="L1104">
        <v>129172.5</v>
      </c>
      <c r="M1104">
        <v>10471.459999999999</v>
      </c>
      <c r="N1104">
        <v>0</v>
      </c>
      <c r="O1104">
        <v>118701.04</v>
      </c>
      <c r="P1104" t="s">
        <v>31</v>
      </c>
      <c r="Q1104" t="s">
        <v>32</v>
      </c>
    </row>
    <row r="1105" spans="1:17" x14ac:dyDescent="0.25">
      <c r="A1105" t="s">
        <v>1222</v>
      </c>
      <c r="B1105" s="1">
        <v>45993</v>
      </c>
      <c r="C1105" t="s">
        <v>47</v>
      </c>
      <c r="D1105" t="s">
        <v>48</v>
      </c>
      <c r="E1105" t="s">
        <v>20</v>
      </c>
      <c r="F1105" t="s">
        <v>21</v>
      </c>
      <c r="G1105" t="s">
        <v>102</v>
      </c>
      <c r="H1105" t="s">
        <v>57</v>
      </c>
      <c r="I1105" t="s">
        <v>148</v>
      </c>
      <c r="J1105">
        <v>19</v>
      </c>
      <c r="K1105">
        <v>20302.150000000001</v>
      </c>
      <c r="L1105">
        <v>385740.85</v>
      </c>
      <c r="M1105">
        <v>0</v>
      </c>
      <c r="N1105">
        <v>0</v>
      </c>
      <c r="O1105">
        <v>385740.85</v>
      </c>
      <c r="P1105" t="s">
        <v>32</v>
      </c>
      <c r="Q1105" t="s">
        <v>32</v>
      </c>
    </row>
    <row r="1106" spans="1:17" x14ac:dyDescent="0.25">
      <c r="A1106" t="s">
        <v>1223</v>
      </c>
      <c r="B1106" s="1">
        <v>45976</v>
      </c>
      <c r="C1106" t="s">
        <v>18</v>
      </c>
      <c r="D1106" t="s">
        <v>75</v>
      </c>
      <c r="E1106" t="s">
        <v>41</v>
      </c>
      <c r="F1106" t="s">
        <v>36</v>
      </c>
      <c r="G1106" t="s">
        <v>22</v>
      </c>
      <c r="H1106" t="s">
        <v>23</v>
      </c>
      <c r="I1106" t="s">
        <v>99</v>
      </c>
      <c r="J1106">
        <v>49</v>
      </c>
      <c r="K1106">
        <v>31324.14</v>
      </c>
      <c r="L1106">
        <v>1534882.86</v>
      </c>
      <c r="M1106">
        <v>250915.73</v>
      </c>
      <c r="N1106">
        <v>368852.69</v>
      </c>
      <c r="O1106">
        <v>915114.44</v>
      </c>
      <c r="P1106" t="s">
        <v>73</v>
      </c>
      <c r="Q1106" t="s">
        <v>26</v>
      </c>
    </row>
    <row r="1107" spans="1:17" x14ac:dyDescent="0.25">
      <c r="A1107" t="s">
        <v>1224</v>
      </c>
      <c r="B1107" s="1">
        <v>46037</v>
      </c>
      <c r="C1107" t="s">
        <v>60</v>
      </c>
      <c r="D1107" t="s">
        <v>151</v>
      </c>
      <c r="E1107" t="s">
        <v>49</v>
      </c>
      <c r="F1107" t="s">
        <v>71</v>
      </c>
      <c r="G1107" t="s">
        <v>22</v>
      </c>
      <c r="H1107" t="s">
        <v>23</v>
      </c>
      <c r="I1107" t="s">
        <v>110</v>
      </c>
      <c r="J1107">
        <v>45</v>
      </c>
      <c r="K1107">
        <v>48867.27</v>
      </c>
      <c r="L1107">
        <v>2199027.15</v>
      </c>
      <c r="M1107">
        <v>39624.949999999997</v>
      </c>
      <c r="N1107">
        <v>0</v>
      </c>
      <c r="O1107">
        <v>2159402.2000000002</v>
      </c>
      <c r="P1107" t="s">
        <v>25</v>
      </c>
      <c r="Q1107" t="s">
        <v>26</v>
      </c>
    </row>
    <row r="1108" spans="1:17" x14ac:dyDescent="0.25">
      <c r="A1108" t="s">
        <v>1225</v>
      </c>
      <c r="B1108" s="1">
        <v>46028</v>
      </c>
      <c r="C1108" t="s">
        <v>47</v>
      </c>
      <c r="D1108" t="s">
        <v>114</v>
      </c>
      <c r="E1108" t="s">
        <v>41</v>
      </c>
      <c r="F1108" t="s">
        <v>36</v>
      </c>
      <c r="G1108" t="s">
        <v>81</v>
      </c>
      <c r="H1108" t="s">
        <v>57</v>
      </c>
      <c r="I1108" t="s">
        <v>148</v>
      </c>
      <c r="J1108">
        <v>2</v>
      </c>
      <c r="K1108">
        <v>19237.45</v>
      </c>
      <c r="L1108">
        <v>38474.9</v>
      </c>
      <c r="M1108">
        <v>0</v>
      </c>
      <c r="N1108">
        <v>0</v>
      </c>
      <c r="O1108">
        <v>38474.9</v>
      </c>
      <c r="P1108" t="s">
        <v>25</v>
      </c>
      <c r="Q1108" t="s">
        <v>26</v>
      </c>
    </row>
    <row r="1109" spans="1:17" x14ac:dyDescent="0.25">
      <c r="A1109" t="s">
        <v>1226</v>
      </c>
      <c r="B1109" s="1">
        <v>45956</v>
      </c>
      <c r="C1109" t="s">
        <v>79</v>
      </c>
      <c r="D1109" t="s">
        <v>80</v>
      </c>
      <c r="E1109" t="s">
        <v>35</v>
      </c>
      <c r="F1109" t="s">
        <v>71</v>
      </c>
      <c r="G1109" t="s">
        <v>85</v>
      </c>
      <c r="H1109" t="s">
        <v>38</v>
      </c>
      <c r="I1109" t="s">
        <v>82</v>
      </c>
      <c r="J1109">
        <v>16</v>
      </c>
      <c r="K1109">
        <v>48395.64</v>
      </c>
      <c r="L1109">
        <v>774330.24</v>
      </c>
      <c r="M1109">
        <v>3427.42</v>
      </c>
      <c r="N1109">
        <v>0</v>
      </c>
      <c r="O1109">
        <v>770902.82</v>
      </c>
      <c r="P1109" t="s">
        <v>25</v>
      </c>
      <c r="Q1109" t="s">
        <v>26</v>
      </c>
    </row>
    <row r="1110" spans="1:17" x14ac:dyDescent="0.25">
      <c r="A1110" t="s">
        <v>1227</v>
      </c>
      <c r="B1110" s="1">
        <v>45997</v>
      </c>
      <c r="C1110" t="s">
        <v>60</v>
      </c>
      <c r="D1110" t="s">
        <v>65</v>
      </c>
      <c r="E1110" t="s">
        <v>35</v>
      </c>
      <c r="F1110" t="s">
        <v>71</v>
      </c>
      <c r="G1110" t="s">
        <v>37</v>
      </c>
      <c r="H1110" t="s">
        <v>38</v>
      </c>
      <c r="I1110" t="s">
        <v>120</v>
      </c>
      <c r="J1110">
        <v>24</v>
      </c>
      <c r="K1110">
        <v>13523.33</v>
      </c>
      <c r="L1110">
        <v>324559.92</v>
      </c>
      <c r="M1110">
        <v>36467.019999999997</v>
      </c>
      <c r="N1110">
        <v>0</v>
      </c>
      <c r="O1110">
        <v>288092.90000000002</v>
      </c>
      <c r="P1110" t="s">
        <v>32</v>
      </c>
      <c r="Q1110" t="s">
        <v>32</v>
      </c>
    </row>
    <row r="1111" spans="1:17" x14ac:dyDescent="0.25">
      <c r="A1111" t="s">
        <v>1228</v>
      </c>
      <c r="B1111" s="1">
        <v>46013</v>
      </c>
      <c r="C1111" t="s">
        <v>47</v>
      </c>
      <c r="D1111" t="s">
        <v>114</v>
      </c>
      <c r="E1111" t="s">
        <v>41</v>
      </c>
      <c r="F1111" t="s">
        <v>36</v>
      </c>
      <c r="G1111" t="s">
        <v>98</v>
      </c>
      <c r="H1111" t="s">
        <v>67</v>
      </c>
      <c r="I1111" t="s">
        <v>103</v>
      </c>
      <c r="J1111">
        <v>7</v>
      </c>
      <c r="K1111">
        <v>43613.96</v>
      </c>
      <c r="L1111">
        <v>305297.71999999997</v>
      </c>
      <c r="M1111">
        <v>0</v>
      </c>
      <c r="N1111">
        <v>64952.84</v>
      </c>
      <c r="O1111">
        <v>240344.88</v>
      </c>
      <c r="P1111" t="s">
        <v>25</v>
      </c>
      <c r="Q1111" t="s">
        <v>32</v>
      </c>
    </row>
    <row r="1112" spans="1:17" x14ac:dyDescent="0.25">
      <c r="A1112" t="s">
        <v>1229</v>
      </c>
      <c r="B1112" s="1">
        <v>46015</v>
      </c>
      <c r="C1112" t="s">
        <v>54</v>
      </c>
      <c r="D1112" t="s">
        <v>55</v>
      </c>
      <c r="E1112" t="s">
        <v>49</v>
      </c>
      <c r="F1112" t="s">
        <v>84</v>
      </c>
      <c r="G1112" t="s">
        <v>89</v>
      </c>
      <c r="H1112" t="s">
        <v>67</v>
      </c>
      <c r="I1112" t="s">
        <v>68</v>
      </c>
      <c r="J1112">
        <v>44</v>
      </c>
      <c r="K1112">
        <v>40870.86</v>
      </c>
      <c r="L1112">
        <v>1798317.84</v>
      </c>
      <c r="M1112">
        <v>207523.89</v>
      </c>
      <c r="N1112">
        <v>0</v>
      </c>
      <c r="O1112">
        <v>1590793.95</v>
      </c>
      <c r="P1112" t="s">
        <v>25</v>
      </c>
      <c r="Q1112" t="s">
        <v>26</v>
      </c>
    </row>
    <row r="1113" spans="1:17" x14ac:dyDescent="0.25">
      <c r="A1113" t="s">
        <v>1230</v>
      </c>
      <c r="B1113" s="1">
        <v>45982</v>
      </c>
      <c r="C1113" t="s">
        <v>60</v>
      </c>
      <c r="D1113" t="s">
        <v>151</v>
      </c>
      <c r="E1113" t="s">
        <v>20</v>
      </c>
      <c r="F1113" t="s">
        <v>42</v>
      </c>
      <c r="G1113" t="s">
        <v>81</v>
      </c>
      <c r="H1113" t="s">
        <v>94</v>
      </c>
      <c r="I1113" t="s">
        <v>144</v>
      </c>
      <c r="J1113">
        <v>7</v>
      </c>
      <c r="K1113">
        <v>50112.61</v>
      </c>
      <c r="L1113">
        <v>350788.27</v>
      </c>
      <c r="M1113">
        <v>20269.62</v>
      </c>
      <c r="N1113">
        <v>0</v>
      </c>
      <c r="O1113">
        <v>330518.65000000002</v>
      </c>
      <c r="P1113" t="s">
        <v>31</v>
      </c>
      <c r="Q1113" t="s">
        <v>32</v>
      </c>
    </row>
    <row r="1114" spans="1:17" x14ac:dyDescent="0.25">
      <c r="A1114" t="s">
        <v>1231</v>
      </c>
      <c r="B1114" s="1">
        <v>46037</v>
      </c>
      <c r="C1114" t="s">
        <v>54</v>
      </c>
      <c r="D1114" t="s">
        <v>97</v>
      </c>
      <c r="E1114" t="s">
        <v>35</v>
      </c>
      <c r="F1114" t="s">
        <v>62</v>
      </c>
      <c r="G1114" t="s">
        <v>37</v>
      </c>
      <c r="H1114" t="s">
        <v>23</v>
      </c>
      <c r="I1114" t="s">
        <v>52</v>
      </c>
      <c r="J1114">
        <v>25</v>
      </c>
      <c r="K1114">
        <v>35831.89</v>
      </c>
      <c r="L1114">
        <v>895797.25</v>
      </c>
      <c r="M1114">
        <v>115142.76</v>
      </c>
      <c r="N1114">
        <v>0</v>
      </c>
      <c r="O1114">
        <v>780654.49</v>
      </c>
      <c r="P1114" t="s">
        <v>32</v>
      </c>
      <c r="Q1114" t="s">
        <v>32</v>
      </c>
    </row>
    <row r="1115" spans="1:17" x14ac:dyDescent="0.25">
      <c r="A1115" t="s">
        <v>1232</v>
      </c>
      <c r="B1115" s="1">
        <v>45977</v>
      </c>
      <c r="C1115" t="s">
        <v>54</v>
      </c>
      <c r="D1115" t="s">
        <v>55</v>
      </c>
      <c r="E1115" t="s">
        <v>20</v>
      </c>
      <c r="F1115" t="s">
        <v>71</v>
      </c>
      <c r="G1115" t="s">
        <v>89</v>
      </c>
      <c r="H1115" t="s">
        <v>57</v>
      </c>
      <c r="I1115" t="s">
        <v>58</v>
      </c>
      <c r="J1115">
        <v>9</v>
      </c>
      <c r="K1115">
        <v>838.95</v>
      </c>
      <c r="L1115">
        <v>7550.55</v>
      </c>
      <c r="M1115">
        <v>0</v>
      </c>
      <c r="N1115">
        <v>0</v>
      </c>
      <c r="O1115">
        <v>7550.55</v>
      </c>
      <c r="P1115" t="s">
        <v>31</v>
      </c>
      <c r="Q1115" t="s">
        <v>32</v>
      </c>
    </row>
    <row r="1116" spans="1:17" x14ac:dyDescent="0.25">
      <c r="A1116" t="s">
        <v>1233</v>
      </c>
      <c r="B1116" s="1">
        <v>46001</v>
      </c>
      <c r="C1116" t="s">
        <v>18</v>
      </c>
      <c r="D1116" t="s">
        <v>75</v>
      </c>
      <c r="E1116" t="s">
        <v>20</v>
      </c>
      <c r="F1116" t="s">
        <v>36</v>
      </c>
      <c r="G1116" t="s">
        <v>138</v>
      </c>
      <c r="H1116" t="s">
        <v>23</v>
      </c>
      <c r="I1116" t="s">
        <v>30</v>
      </c>
      <c r="J1116">
        <v>21</v>
      </c>
      <c r="K1116">
        <v>20277.18</v>
      </c>
      <c r="L1116">
        <v>425820.78</v>
      </c>
      <c r="M1116">
        <v>0</v>
      </c>
      <c r="N1116">
        <v>0</v>
      </c>
      <c r="O1116">
        <v>425820.78</v>
      </c>
      <c r="P1116" t="s">
        <v>73</v>
      </c>
      <c r="Q1116" t="s">
        <v>32</v>
      </c>
    </row>
    <row r="1117" spans="1:17" x14ac:dyDescent="0.25">
      <c r="A1117" t="s">
        <v>1234</v>
      </c>
      <c r="B1117" s="1">
        <v>45987</v>
      </c>
      <c r="C1117" t="s">
        <v>60</v>
      </c>
      <c r="D1117" t="s">
        <v>123</v>
      </c>
      <c r="E1117" t="s">
        <v>35</v>
      </c>
      <c r="F1117" t="s">
        <v>71</v>
      </c>
      <c r="G1117" t="s">
        <v>29</v>
      </c>
      <c r="H1117" t="s">
        <v>44</v>
      </c>
      <c r="I1117" t="s">
        <v>152</v>
      </c>
      <c r="J1117">
        <v>45</v>
      </c>
      <c r="K1117">
        <v>12777.53</v>
      </c>
      <c r="L1117">
        <v>574988.85</v>
      </c>
      <c r="M1117">
        <v>0</v>
      </c>
      <c r="N1117">
        <v>0</v>
      </c>
      <c r="O1117">
        <v>574988.85</v>
      </c>
      <c r="P1117" t="s">
        <v>32</v>
      </c>
      <c r="Q1117" t="s">
        <v>32</v>
      </c>
    </row>
    <row r="1118" spans="1:17" x14ac:dyDescent="0.25">
      <c r="A1118" t="s">
        <v>1235</v>
      </c>
      <c r="B1118" s="1">
        <v>45983</v>
      </c>
      <c r="C1118" t="s">
        <v>79</v>
      </c>
      <c r="D1118" t="s">
        <v>101</v>
      </c>
      <c r="E1118" t="s">
        <v>49</v>
      </c>
      <c r="F1118" t="s">
        <v>71</v>
      </c>
      <c r="G1118" t="s">
        <v>56</v>
      </c>
      <c r="H1118" t="s">
        <v>23</v>
      </c>
      <c r="I1118" t="s">
        <v>52</v>
      </c>
      <c r="J1118">
        <v>6</v>
      </c>
      <c r="K1118">
        <v>16736.919999999998</v>
      </c>
      <c r="L1118">
        <v>100421.52</v>
      </c>
      <c r="M1118">
        <v>6173.7</v>
      </c>
      <c r="N1118">
        <v>0</v>
      </c>
      <c r="O1118">
        <v>94247.82</v>
      </c>
      <c r="P1118" t="s">
        <v>31</v>
      </c>
      <c r="Q1118" t="s">
        <v>32</v>
      </c>
    </row>
    <row r="1119" spans="1:17" x14ac:dyDescent="0.25">
      <c r="A1119" t="s">
        <v>1236</v>
      </c>
      <c r="B1119" s="1">
        <v>46007</v>
      </c>
      <c r="C1119" t="s">
        <v>60</v>
      </c>
      <c r="D1119" t="s">
        <v>151</v>
      </c>
      <c r="E1119" t="s">
        <v>20</v>
      </c>
      <c r="F1119" t="s">
        <v>62</v>
      </c>
      <c r="G1119" t="s">
        <v>102</v>
      </c>
      <c r="H1119" t="s">
        <v>57</v>
      </c>
      <c r="I1119" t="s">
        <v>148</v>
      </c>
      <c r="J1119">
        <v>37</v>
      </c>
      <c r="K1119">
        <v>48096.639999999999</v>
      </c>
      <c r="L1119">
        <v>1779575.68</v>
      </c>
      <c r="M1119">
        <v>115334.62</v>
      </c>
      <c r="N1119">
        <v>0</v>
      </c>
      <c r="O1119">
        <v>1664241.06</v>
      </c>
      <c r="P1119" t="s">
        <v>31</v>
      </c>
      <c r="Q1119" t="s">
        <v>32</v>
      </c>
    </row>
    <row r="1120" spans="1:17" x14ac:dyDescent="0.25">
      <c r="A1120" t="s">
        <v>1237</v>
      </c>
      <c r="B1120" s="1">
        <v>46037</v>
      </c>
      <c r="C1120" t="s">
        <v>54</v>
      </c>
      <c r="D1120" t="s">
        <v>133</v>
      </c>
      <c r="E1120" t="s">
        <v>35</v>
      </c>
      <c r="F1120" t="s">
        <v>42</v>
      </c>
      <c r="G1120" t="s">
        <v>81</v>
      </c>
      <c r="H1120" t="s">
        <v>57</v>
      </c>
      <c r="I1120" t="s">
        <v>58</v>
      </c>
      <c r="J1120">
        <v>10</v>
      </c>
      <c r="K1120">
        <v>22285.919999999998</v>
      </c>
      <c r="L1120">
        <v>222859.2</v>
      </c>
      <c r="M1120">
        <v>0</v>
      </c>
      <c r="N1120">
        <v>63305.86</v>
      </c>
      <c r="O1120">
        <v>159553.34</v>
      </c>
      <c r="P1120" t="s">
        <v>32</v>
      </c>
      <c r="Q1120" t="s">
        <v>26</v>
      </c>
    </row>
    <row r="1121" spans="1:17" x14ac:dyDescent="0.25">
      <c r="A1121" t="s">
        <v>1238</v>
      </c>
      <c r="B1121" s="1">
        <v>46036</v>
      </c>
      <c r="C1121" t="s">
        <v>47</v>
      </c>
      <c r="D1121" t="s">
        <v>48</v>
      </c>
      <c r="E1121" t="s">
        <v>49</v>
      </c>
      <c r="F1121" t="s">
        <v>71</v>
      </c>
      <c r="G1121" t="s">
        <v>66</v>
      </c>
      <c r="H1121" t="s">
        <v>67</v>
      </c>
      <c r="I1121" t="s">
        <v>201</v>
      </c>
      <c r="J1121">
        <v>50</v>
      </c>
      <c r="K1121">
        <v>36566.269999999997</v>
      </c>
      <c r="L1121">
        <v>1828313.5</v>
      </c>
      <c r="M1121">
        <v>209375.35999999999</v>
      </c>
      <c r="N1121">
        <v>240859.25</v>
      </c>
      <c r="O1121">
        <v>1378078.89</v>
      </c>
      <c r="P1121" t="s">
        <v>73</v>
      </c>
      <c r="Q1121" t="s">
        <v>32</v>
      </c>
    </row>
    <row r="1122" spans="1:17" x14ac:dyDescent="0.25">
      <c r="A1122" t="s">
        <v>1239</v>
      </c>
      <c r="B1122" s="1">
        <v>46008</v>
      </c>
      <c r="C1122" t="s">
        <v>60</v>
      </c>
      <c r="D1122" t="s">
        <v>123</v>
      </c>
      <c r="E1122" t="s">
        <v>41</v>
      </c>
      <c r="F1122" t="s">
        <v>137</v>
      </c>
      <c r="G1122" t="s">
        <v>98</v>
      </c>
      <c r="H1122" t="s">
        <v>94</v>
      </c>
      <c r="I1122" t="s">
        <v>177</v>
      </c>
      <c r="J1122">
        <v>17</v>
      </c>
      <c r="K1122">
        <v>8744.74</v>
      </c>
      <c r="L1122">
        <v>148660.57999999999</v>
      </c>
      <c r="M1122">
        <v>3204.28</v>
      </c>
      <c r="N1122">
        <v>0</v>
      </c>
      <c r="O1122">
        <v>145456.29999999999</v>
      </c>
      <c r="P1122" t="s">
        <v>73</v>
      </c>
      <c r="Q1122" t="s">
        <v>32</v>
      </c>
    </row>
    <row r="1123" spans="1:17" x14ac:dyDescent="0.25">
      <c r="A1123" t="s">
        <v>1240</v>
      </c>
      <c r="B1123" s="1">
        <v>46015</v>
      </c>
      <c r="C1123" t="s">
        <v>60</v>
      </c>
      <c r="D1123" t="s">
        <v>61</v>
      </c>
      <c r="E1123" t="s">
        <v>49</v>
      </c>
      <c r="F1123" t="s">
        <v>36</v>
      </c>
      <c r="G1123" t="s">
        <v>138</v>
      </c>
      <c r="H1123" t="s">
        <v>23</v>
      </c>
      <c r="I1123" t="s">
        <v>110</v>
      </c>
      <c r="J1123">
        <v>2</v>
      </c>
      <c r="K1123">
        <v>12512.22</v>
      </c>
      <c r="L1123">
        <v>25024.44</v>
      </c>
      <c r="M1123">
        <v>0</v>
      </c>
      <c r="N1123">
        <v>0</v>
      </c>
      <c r="O1123">
        <v>25024.44</v>
      </c>
      <c r="P1123" t="s">
        <v>32</v>
      </c>
      <c r="Q1123" t="s">
        <v>32</v>
      </c>
    </row>
    <row r="1124" spans="1:17" x14ac:dyDescent="0.25">
      <c r="A1124" t="s">
        <v>1241</v>
      </c>
      <c r="B1124" s="1">
        <v>45976</v>
      </c>
      <c r="C1124" t="s">
        <v>60</v>
      </c>
      <c r="D1124" t="s">
        <v>65</v>
      </c>
      <c r="E1124" t="s">
        <v>20</v>
      </c>
      <c r="F1124" t="s">
        <v>71</v>
      </c>
      <c r="G1124" t="s">
        <v>37</v>
      </c>
      <c r="H1124" t="s">
        <v>57</v>
      </c>
      <c r="I1124" t="s">
        <v>92</v>
      </c>
      <c r="J1124">
        <v>23</v>
      </c>
      <c r="K1124">
        <v>3214.84</v>
      </c>
      <c r="L1124">
        <v>73941.320000000007</v>
      </c>
      <c r="M1124">
        <v>0</v>
      </c>
      <c r="N1124">
        <v>0</v>
      </c>
      <c r="O1124">
        <v>73941.320000000007</v>
      </c>
      <c r="P1124" t="s">
        <v>73</v>
      </c>
      <c r="Q1124" t="s">
        <v>32</v>
      </c>
    </row>
    <row r="1125" spans="1:17" x14ac:dyDescent="0.25">
      <c r="A1125" t="s">
        <v>1242</v>
      </c>
      <c r="B1125" s="1">
        <v>45960</v>
      </c>
      <c r="C1125" t="s">
        <v>54</v>
      </c>
      <c r="D1125" t="s">
        <v>55</v>
      </c>
      <c r="E1125" t="s">
        <v>35</v>
      </c>
      <c r="F1125" t="s">
        <v>62</v>
      </c>
      <c r="G1125" t="s">
        <v>102</v>
      </c>
      <c r="H1125" t="s">
        <v>38</v>
      </c>
      <c r="I1125" t="s">
        <v>86</v>
      </c>
      <c r="J1125">
        <v>16</v>
      </c>
      <c r="K1125">
        <v>42478</v>
      </c>
      <c r="L1125">
        <v>679648</v>
      </c>
      <c r="M1125">
        <v>12257.48</v>
      </c>
      <c r="N1125">
        <v>0</v>
      </c>
      <c r="O1125">
        <v>667390.52</v>
      </c>
      <c r="P1125" t="s">
        <v>73</v>
      </c>
      <c r="Q1125" t="s">
        <v>32</v>
      </c>
    </row>
    <row r="1126" spans="1:17" x14ac:dyDescent="0.25">
      <c r="A1126" t="s">
        <v>1243</v>
      </c>
      <c r="B1126" s="1">
        <v>45980</v>
      </c>
      <c r="C1126" t="s">
        <v>47</v>
      </c>
      <c r="D1126" t="s">
        <v>48</v>
      </c>
      <c r="E1126" t="s">
        <v>49</v>
      </c>
      <c r="F1126" t="s">
        <v>21</v>
      </c>
      <c r="G1126" t="s">
        <v>98</v>
      </c>
      <c r="H1126" t="s">
        <v>57</v>
      </c>
      <c r="I1126" t="s">
        <v>160</v>
      </c>
      <c r="J1126">
        <v>27</v>
      </c>
      <c r="K1126">
        <v>49433.42</v>
      </c>
      <c r="L1126">
        <v>1334702.3400000001</v>
      </c>
      <c r="M1126">
        <v>128182.28</v>
      </c>
      <c r="N1126">
        <v>0</v>
      </c>
      <c r="O1126">
        <v>1206520.06</v>
      </c>
      <c r="P1126" t="s">
        <v>25</v>
      </c>
      <c r="Q1126" t="s">
        <v>26</v>
      </c>
    </row>
    <row r="1127" spans="1:17" x14ac:dyDescent="0.25">
      <c r="A1127" t="s">
        <v>1244</v>
      </c>
      <c r="B1127" s="1">
        <v>46004</v>
      </c>
      <c r="C1127" t="s">
        <v>47</v>
      </c>
      <c r="D1127" t="s">
        <v>88</v>
      </c>
      <c r="E1127" t="s">
        <v>20</v>
      </c>
      <c r="F1127" t="s">
        <v>21</v>
      </c>
      <c r="G1127" t="s">
        <v>51</v>
      </c>
      <c r="H1127" t="s">
        <v>57</v>
      </c>
      <c r="I1127" t="s">
        <v>72</v>
      </c>
      <c r="J1127">
        <v>31</v>
      </c>
      <c r="K1127">
        <v>14962.24</v>
      </c>
      <c r="L1127">
        <v>463829.44</v>
      </c>
      <c r="M1127">
        <v>0</v>
      </c>
      <c r="N1127">
        <v>0</v>
      </c>
      <c r="O1127">
        <v>463829.44</v>
      </c>
      <c r="P1127" t="s">
        <v>31</v>
      </c>
      <c r="Q1127" t="s">
        <v>32</v>
      </c>
    </row>
    <row r="1128" spans="1:17" x14ac:dyDescent="0.25">
      <c r="A1128" t="s">
        <v>1245</v>
      </c>
      <c r="B1128" s="1">
        <v>45971</v>
      </c>
      <c r="C1128" t="s">
        <v>60</v>
      </c>
      <c r="D1128" t="s">
        <v>123</v>
      </c>
      <c r="E1128" t="s">
        <v>35</v>
      </c>
      <c r="F1128" t="s">
        <v>105</v>
      </c>
      <c r="G1128" t="s">
        <v>29</v>
      </c>
      <c r="H1128" t="s">
        <v>44</v>
      </c>
      <c r="I1128" t="s">
        <v>152</v>
      </c>
      <c r="J1128">
        <v>11</v>
      </c>
      <c r="K1128">
        <v>50149.89</v>
      </c>
      <c r="L1128">
        <v>551648.79</v>
      </c>
      <c r="M1128">
        <v>8968.35</v>
      </c>
      <c r="N1128">
        <v>0</v>
      </c>
      <c r="O1128">
        <v>542680.43999999994</v>
      </c>
      <c r="P1128" t="s">
        <v>31</v>
      </c>
      <c r="Q1128" t="s">
        <v>32</v>
      </c>
    </row>
    <row r="1129" spans="1:17" x14ac:dyDescent="0.25">
      <c r="A1129" t="s">
        <v>1246</v>
      </c>
      <c r="B1129" s="1">
        <v>45961</v>
      </c>
      <c r="C1129" t="s">
        <v>60</v>
      </c>
      <c r="D1129" t="s">
        <v>61</v>
      </c>
      <c r="E1129" t="s">
        <v>35</v>
      </c>
      <c r="F1129" t="s">
        <v>112</v>
      </c>
      <c r="G1129" t="s">
        <v>43</v>
      </c>
      <c r="H1129" t="s">
        <v>44</v>
      </c>
      <c r="I1129" t="s">
        <v>135</v>
      </c>
      <c r="J1129">
        <v>28</v>
      </c>
      <c r="K1129">
        <v>10897.25</v>
      </c>
      <c r="L1129">
        <v>305123</v>
      </c>
      <c r="M1129">
        <v>0</v>
      </c>
      <c r="N1129">
        <v>0</v>
      </c>
      <c r="O1129">
        <v>305123</v>
      </c>
      <c r="P1129" t="s">
        <v>32</v>
      </c>
      <c r="Q1129" t="s">
        <v>32</v>
      </c>
    </row>
    <row r="1130" spans="1:17" x14ac:dyDescent="0.25">
      <c r="A1130" t="s">
        <v>1247</v>
      </c>
      <c r="B1130" s="1">
        <v>45960</v>
      </c>
      <c r="C1130" t="s">
        <v>60</v>
      </c>
      <c r="D1130" t="s">
        <v>151</v>
      </c>
      <c r="E1130" t="s">
        <v>41</v>
      </c>
      <c r="F1130" t="s">
        <v>137</v>
      </c>
      <c r="G1130" t="s">
        <v>81</v>
      </c>
      <c r="H1130" t="s">
        <v>94</v>
      </c>
      <c r="I1130" t="s">
        <v>163</v>
      </c>
      <c r="J1130">
        <v>8</v>
      </c>
      <c r="K1130">
        <v>47030.73</v>
      </c>
      <c r="L1130">
        <v>376245.84</v>
      </c>
      <c r="M1130">
        <v>0</v>
      </c>
      <c r="N1130">
        <v>0</v>
      </c>
      <c r="O1130">
        <v>376245.84</v>
      </c>
      <c r="P1130" t="s">
        <v>25</v>
      </c>
      <c r="Q1130" t="s">
        <v>26</v>
      </c>
    </row>
    <row r="1131" spans="1:17" x14ac:dyDescent="0.25">
      <c r="A1131" t="s">
        <v>1248</v>
      </c>
      <c r="B1131" s="1">
        <v>46004</v>
      </c>
      <c r="C1131" t="s">
        <v>54</v>
      </c>
      <c r="D1131" t="s">
        <v>97</v>
      </c>
      <c r="E1131" t="s">
        <v>49</v>
      </c>
      <c r="F1131" t="s">
        <v>137</v>
      </c>
      <c r="G1131" t="s">
        <v>51</v>
      </c>
      <c r="H1131" t="s">
        <v>57</v>
      </c>
      <c r="I1131" t="s">
        <v>148</v>
      </c>
      <c r="J1131">
        <v>26</v>
      </c>
      <c r="K1131">
        <v>35807.26</v>
      </c>
      <c r="L1131">
        <v>930988.76</v>
      </c>
      <c r="M1131">
        <v>63127.89</v>
      </c>
      <c r="N1131">
        <v>214467.58</v>
      </c>
      <c r="O1131">
        <v>653393.29</v>
      </c>
      <c r="P1131" t="s">
        <v>25</v>
      </c>
      <c r="Q1131" t="s">
        <v>26</v>
      </c>
    </row>
    <row r="1132" spans="1:17" x14ac:dyDescent="0.25">
      <c r="A1132" t="s">
        <v>1249</v>
      </c>
      <c r="B1132" s="1">
        <v>45983</v>
      </c>
      <c r="C1132" t="s">
        <v>18</v>
      </c>
      <c r="D1132" t="s">
        <v>19</v>
      </c>
      <c r="E1132" t="s">
        <v>35</v>
      </c>
      <c r="F1132" t="s">
        <v>84</v>
      </c>
      <c r="G1132" t="s">
        <v>89</v>
      </c>
      <c r="H1132" t="s">
        <v>57</v>
      </c>
      <c r="I1132" t="s">
        <v>160</v>
      </c>
      <c r="J1132">
        <v>4</v>
      </c>
      <c r="K1132">
        <v>29002.22</v>
      </c>
      <c r="L1132">
        <v>116008.88</v>
      </c>
      <c r="M1132">
        <v>5847.38</v>
      </c>
      <c r="N1132">
        <v>11679.77</v>
      </c>
      <c r="O1132">
        <v>98481.73</v>
      </c>
      <c r="P1132" t="s">
        <v>32</v>
      </c>
      <c r="Q1132" t="s">
        <v>32</v>
      </c>
    </row>
    <row r="1133" spans="1:17" x14ac:dyDescent="0.25">
      <c r="A1133" t="s">
        <v>1250</v>
      </c>
      <c r="B1133" s="1">
        <v>46039</v>
      </c>
      <c r="C1133" t="s">
        <v>79</v>
      </c>
      <c r="D1133" t="s">
        <v>80</v>
      </c>
      <c r="E1133" t="s">
        <v>49</v>
      </c>
      <c r="F1133" t="s">
        <v>62</v>
      </c>
      <c r="G1133" t="s">
        <v>102</v>
      </c>
      <c r="H1133" t="s">
        <v>23</v>
      </c>
      <c r="I1133" t="s">
        <v>110</v>
      </c>
      <c r="J1133">
        <v>27</v>
      </c>
      <c r="K1133">
        <v>23778.71</v>
      </c>
      <c r="L1133">
        <v>642025.17000000004</v>
      </c>
      <c r="M1133">
        <v>0</v>
      </c>
      <c r="N1133">
        <v>0</v>
      </c>
      <c r="O1133">
        <v>642025.17000000004</v>
      </c>
      <c r="P1133" t="s">
        <v>25</v>
      </c>
      <c r="Q1133" t="s">
        <v>26</v>
      </c>
    </row>
    <row r="1134" spans="1:17" x14ac:dyDescent="0.25">
      <c r="A1134" t="s">
        <v>1251</v>
      </c>
      <c r="B1134" s="1">
        <v>46003</v>
      </c>
      <c r="C1134" t="s">
        <v>79</v>
      </c>
      <c r="D1134" t="s">
        <v>107</v>
      </c>
      <c r="E1134" t="s">
        <v>41</v>
      </c>
      <c r="F1134" t="s">
        <v>50</v>
      </c>
      <c r="G1134" t="s">
        <v>102</v>
      </c>
      <c r="H1134" t="s">
        <v>57</v>
      </c>
      <c r="I1134" t="s">
        <v>148</v>
      </c>
      <c r="J1134">
        <v>16</v>
      </c>
      <c r="K1134">
        <v>29255.81</v>
      </c>
      <c r="L1134">
        <v>468092.96</v>
      </c>
      <c r="M1134">
        <v>0</v>
      </c>
      <c r="N1134">
        <v>0</v>
      </c>
      <c r="O1134">
        <v>468092.96</v>
      </c>
      <c r="P1134" t="s">
        <v>31</v>
      </c>
      <c r="Q1134" t="s">
        <v>32</v>
      </c>
    </row>
    <row r="1135" spans="1:17" x14ac:dyDescent="0.25">
      <c r="A1135" t="s">
        <v>1252</v>
      </c>
      <c r="B1135" s="1">
        <v>45984</v>
      </c>
      <c r="C1135" t="s">
        <v>54</v>
      </c>
      <c r="D1135" t="s">
        <v>70</v>
      </c>
      <c r="E1135" t="s">
        <v>41</v>
      </c>
      <c r="F1135" t="s">
        <v>42</v>
      </c>
      <c r="G1135" t="s">
        <v>22</v>
      </c>
      <c r="H1135" t="s">
        <v>67</v>
      </c>
      <c r="I1135" t="s">
        <v>103</v>
      </c>
      <c r="J1135">
        <v>27</v>
      </c>
      <c r="K1135">
        <v>35953.279999999999</v>
      </c>
      <c r="L1135">
        <v>970738.56</v>
      </c>
      <c r="M1135">
        <v>138442.35999999999</v>
      </c>
      <c r="N1135">
        <v>0</v>
      </c>
      <c r="O1135">
        <v>832296.2</v>
      </c>
      <c r="P1135" t="s">
        <v>32</v>
      </c>
      <c r="Q1135" t="s">
        <v>32</v>
      </c>
    </row>
    <row r="1136" spans="1:17" x14ac:dyDescent="0.25">
      <c r="A1136" t="s">
        <v>1253</v>
      </c>
      <c r="B1136" s="1">
        <v>45979</v>
      </c>
      <c r="C1136" t="s">
        <v>18</v>
      </c>
      <c r="D1136" t="s">
        <v>34</v>
      </c>
      <c r="E1136" t="s">
        <v>35</v>
      </c>
      <c r="F1136" t="s">
        <v>42</v>
      </c>
      <c r="G1136" t="s">
        <v>66</v>
      </c>
      <c r="H1136" t="s">
        <v>23</v>
      </c>
      <c r="I1136" t="s">
        <v>99</v>
      </c>
      <c r="J1136">
        <v>13</v>
      </c>
      <c r="K1136">
        <v>38970.89</v>
      </c>
      <c r="L1136">
        <v>506621.57</v>
      </c>
      <c r="M1136">
        <v>3040.37</v>
      </c>
      <c r="N1136">
        <v>0</v>
      </c>
      <c r="O1136">
        <v>503581.2</v>
      </c>
      <c r="P1136" t="s">
        <v>25</v>
      </c>
      <c r="Q1136" t="s">
        <v>32</v>
      </c>
    </row>
    <row r="1137" spans="1:17" x14ac:dyDescent="0.25">
      <c r="A1137" t="s">
        <v>1254</v>
      </c>
      <c r="B1137" s="1">
        <v>46020</v>
      </c>
      <c r="C1137" t="s">
        <v>18</v>
      </c>
      <c r="D1137" t="s">
        <v>75</v>
      </c>
      <c r="E1137" t="s">
        <v>35</v>
      </c>
      <c r="F1137" t="s">
        <v>42</v>
      </c>
      <c r="G1137" t="s">
        <v>81</v>
      </c>
      <c r="H1137" t="s">
        <v>44</v>
      </c>
      <c r="I1137" t="s">
        <v>152</v>
      </c>
      <c r="J1137">
        <v>43</v>
      </c>
      <c r="K1137">
        <v>29893.55</v>
      </c>
      <c r="L1137">
        <v>1285422.6499999999</v>
      </c>
      <c r="M1137">
        <v>0</v>
      </c>
      <c r="N1137">
        <v>0</v>
      </c>
      <c r="O1137">
        <v>1285422.6499999999</v>
      </c>
      <c r="P1137" t="s">
        <v>73</v>
      </c>
      <c r="Q1137" t="s">
        <v>32</v>
      </c>
    </row>
    <row r="1138" spans="1:17" x14ac:dyDescent="0.25">
      <c r="A1138" t="s">
        <v>1255</v>
      </c>
      <c r="B1138" s="1">
        <v>45987</v>
      </c>
      <c r="C1138" t="s">
        <v>79</v>
      </c>
      <c r="D1138" t="s">
        <v>107</v>
      </c>
      <c r="E1138" t="s">
        <v>20</v>
      </c>
      <c r="F1138" t="s">
        <v>62</v>
      </c>
      <c r="G1138" t="s">
        <v>37</v>
      </c>
      <c r="H1138" t="s">
        <v>94</v>
      </c>
      <c r="I1138" t="s">
        <v>163</v>
      </c>
      <c r="J1138">
        <v>4</v>
      </c>
      <c r="K1138">
        <v>14048</v>
      </c>
      <c r="L1138">
        <v>56192</v>
      </c>
      <c r="M1138">
        <v>2703.19</v>
      </c>
      <c r="N1138">
        <v>4222.04</v>
      </c>
      <c r="O1138">
        <v>49266.77</v>
      </c>
      <c r="P1138" t="s">
        <v>25</v>
      </c>
      <c r="Q1138" t="s">
        <v>26</v>
      </c>
    </row>
    <row r="1139" spans="1:17" x14ac:dyDescent="0.25">
      <c r="A1139" t="s">
        <v>1256</v>
      </c>
      <c r="B1139" s="1">
        <v>46011</v>
      </c>
      <c r="C1139" t="s">
        <v>47</v>
      </c>
      <c r="D1139" t="s">
        <v>48</v>
      </c>
      <c r="E1139" t="s">
        <v>20</v>
      </c>
      <c r="F1139" t="s">
        <v>21</v>
      </c>
      <c r="G1139" t="s">
        <v>43</v>
      </c>
      <c r="H1139" t="s">
        <v>94</v>
      </c>
      <c r="I1139" t="s">
        <v>144</v>
      </c>
      <c r="J1139">
        <v>31</v>
      </c>
      <c r="K1139">
        <v>25322.07</v>
      </c>
      <c r="L1139">
        <v>784984.17</v>
      </c>
      <c r="M1139">
        <v>0</v>
      </c>
      <c r="N1139">
        <v>0</v>
      </c>
      <c r="O1139">
        <v>784984.17</v>
      </c>
      <c r="P1139" t="s">
        <v>25</v>
      </c>
      <c r="Q1139" t="s">
        <v>26</v>
      </c>
    </row>
    <row r="1140" spans="1:17" x14ac:dyDescent="0.25">
      <c r="A1140" t="s">
        <v>1257</v>
      </c>
      <c r="B1140" s="1">
        <v>45973</v>
      </c>
      <c r="C1140" t="s">
        <v>79</v>
      </c>
      <c r="D1140" t="s">
        <v>91</v>
      </c>
      <c r="E1140" t="s">
        <v>35</v>
      </c>
      <c r="F1140" t="s">
        <v>71</v>
      </c>
      <c r="G1140" t="s">
        <v>37</v>
      </c>
      <c r="H1140" t="s">
        <v>67</v>
      </c>
      <c r="I1140" t="s">
        <v>170</v>
      </c>
      <c r="J1140">
        <v>25</v>
      </c>
      <c r="K1140">
        <v>13795.04</v>
      </c>
      <c r="L1140">
        <v>344876</v>
      </c>
      <c r="M1140">
        <v>0</v>
      </c>
      <c r="N1140">
        <v>0</v>
      </c>
      <c r="O1140">
        <v>344876</v>
      </c>
      <c r="P1140" t="s">
        <v>73</v>
      </c>
      <c r="Q1140" t="s">
        <v>32</v>
      </c>
    </row>
    <row r="1141" spans="1:17" x14ac:dyDescent="0.25">
      <c r="A1141" t="s">
        <v>1258</v>
      </c>
      <c r="B1141" s="1">
        <v>45976</v>
      </c>
      <c r="C1141" t="s">
        <v>60</v>
      </c>
      <c r="D1141" t="s">
        <v>151</v>
      </c>
      <c r="E1141" t="s">
        <v>49</v>
      </c>
      <c r="F1141" t="s">
        <v>84</v>
      </c>
      <c r="G1141" t="s">
        <v>51</v>
      </c>
      <c r="H1141" t="s">
        <v>44</v>
      </c>
      <c r="I1141" t="s">
        <v>124</v>
      </c>
      <c r="J1141">
        <v>19</v>
      </c>
      <c r="K1141">
        <v>9825.7099999999991</v>
      </c>
      <c r="L1141">
        <v>186688.49</v>
      </c>
      <c r="M1141">
        <v>0</v>
      </c>
      <c r="N1141">
        <v>9086.69</v>
      </c>
      <c r="O1141">
        <v>177601.8</v>
      </c>
      <c r="P1141" t="s">
        <v>32</v>
      </c>
      <c r="Q1141" t="s">
        <v>32</v>
      </c>
    </row>
    <row r="1142" spans="1:17" x14ac:dyDescent="0.25">
      <c r="A1142" t="s">
        <v>1259</v>
      </c>
      <c r="B1142" s="1">
        <v>46023</v>
      </c>
      <c r="C1142" t="s">
        <v>47</v>
      </c>
      <c r="D1142" t="s">
        <v>127</v>
      </c>
      <c r="E1142" t="s">
        <v>20</v>
      </c>
      <c r="F1142" t="s">
        <v>71</v>
      </c>
      <c r="G1142" t="s">
        <v>140</v>
      </c>
      <c r="H1142" t="s">
        <v>57</v>
      </c>
      <c r="I1142" t="s">
        <v>72</v>
      </c>
      <c r="J1142">
        <v>44</v>
      </c>
      <c r="K1142">
        <v>13307.21</v>
      </c>
      <c r="L1142">
        <v>585517.24</v>
      </c>
      <c r="M1142">
        <v>0</v>
      </c>
      <c r="N1142">
        <v>16340.22</v>
      </c>
      <c r="O1142">
        <v>569177.02</v>
      </c>
      <c r="P1142" t="s">
        <v>31</v>
      </c>
      <c r="Q1142" t="s">
        <v>32</v>
      </c>
    </row>
    <row r="1143" spans="1:17" x14ac:dyDescent="0.25">
      <c r="A1143" t="s">
        <v>1260</v>
      </c>
      <c r="B1143" s="1">
        <v>46037</v>
      </c>
      <c r="C1143" t="s">
        <v>47</v>
      </c>
      <c r="D1143" t="s">
        <v>88</v>
      </c>
      <c r="E1143" t="s">
        <v>49</v>
      </c>
      <c r="F1143" t="s">
        <v>112</v>
      </c>
      <c r="G1143" t="s">
        <v>51</v>
      </c>
      <c r="H1143" t="s">
        <v>67</v>
      </c>
      <c r="I1143" t="s">
        <v>68</v>
      </c>
      <c r="J1143">
        <v>26</v>
      </c>
      <c r="K1143">
        <v>27654.73</v>
      </c>
      <c r="L1143">
        <v>719022.98</v>
      </c>
      <c r="M1143">
        <v>0</v>
      </c>
      <c r="N1143">
        <v>0</v>
      </c>
      <c r="O1143">
        <v>719022.98</v>
      </c>
      <c r="P1143" t="s">
        <v>25</v>
      </c>
      <c r="Q1143" t="s">
        <v>26</v>
      </c>
    </row>
    <row r="1144" spans="1:17" x14ac:dyDescent="0.25">
      <c r="A1144" t="s">
        <v>1261</v>
      </c>
      <c r="B1144" s="1">
        <v>46043</v>
      </c>
      <c r="C1144" t="s">
        <v>79</v>
      </c>
      <c r="D1144" t="s">
        <v>80</v>
      </c>
      <c r="E1144" t="s">
        <v>49</v>
      </c>
      <c r="F1144" t="s">
        <v>105</v>
      </c>
      <c r="G1144" t="s">
        <v>22</v>
      </c>
      <c r="H1144" t="s">
        <v>38</v>
      </c>
      <c r="I1144" t="s">
        <v>82</v>
      </c>
      <c r="J1144">
        <v>33</v>
      </c>
      <c r="K1144">
        <v>42322.1</v>
      </c>
      <c r="L1144">
        <v>1396629.3</v>
      </c>
      <c r="M1144">
        <v>261669.79</v>
      </c>
      <c r="N1144">
        <v>0</v>
      </c>
      <c r="O1144">
        <v>1134959.51</v>
      </c>
      <c r="P1144" t="s">
        <v>32</v>
      </c>
      <c r="Q1144" t="s">
        <v>32</v>
      </c>
    </row>
    <row r="1145" spans="1:17" x14ac:dyDescent="0.25">
      <c r="A1145" t="s">
        <v>1262</v>
      </c>
      <c r="B1145" s="1">
        <v>46019</v>
      </c>
      <c r="C1145" t="s">
        <v>18</v>
      </c>
      <c r="D1145" t="s">
        <v>19</v>
      </c>
      <c r="E1145" t="s">
        <v>35</v>
      </c>
      <c r="F1145" t="s">
        <v>21</v>
      </c>
      <c r="G1145" t="s">
        <v>66</v>
      </c>
      <c r="H1145" t="s">
        <v>67</v>
      </c>
      <c r="I1145" t="s">
        <v>201</v>
      </c>
      <c r="J1145">
        <v>9</v>
      </c>
      <c r="K1145">
        <v>1751.32</v>
      </c>
      <c r="L1145">
        <v>15761.88</v>
      </c>
      <c r="M1145">
        <v>1064.49</v>
      </c>
      <c r="N1145">
        <v>0</v>
      </c>
      <c r="O1145">
        <v>14697.39</v>
      </c>
      <c r="P1145" t="s">
        <v>31</v>
      </c>
      <c r="Q1145" t="s">
        <v>32</v>
      </c>
    </row>
    <row r="1146" spans="1:17" x14ac:dyDescent="0.25">
      <c r="A1146" t="s">
        <v>1263</v>
      </c>
      <c r="B1146" s="1">
        <v>46018</v>
      </c>
      <c r="C1146" t="s">
        <v>60</v>
      </c>
      <c r="D1146" t="s">
        <v>151</v>
      </c>
      <c r="E1146" t="s">
        <v>20</v>
      </c>
      <c r="F1146" t="s">
        <v>112</v>
      </c>
      <c r="G1146" t="s">
        <v>51</v>
      </c>
      <c r="H1146" t="s">
        <v>67</v>
      </c>
      <c r="I1146" t="s">
        <v>170</v>
      </c>
      <c r="J1146">
        <v>11</v>
      </c>
      <c r="K1146">
        <v>12697.56</v>
      </c>
      <c r="L1146">
        <v>139673.16</v>
      </c>
      <c r="M1146">
        <v>12845.59</v>
      </c>
      <c r="N1146">
        <v>22508.54</v>
      </c>
      <c r="O1146">
        <v>104319.03</v>
      </c>
      <c r="P1146" t="s">
        <v>73</v>
      </c>
      <c r="Q1146" t="s">
        <v>32</v>
      </c>
    </row>
    <row r="1147" spans="1:17" x14ac:dyDescent="0.25">
      <c r="A1147" t="s">
        <v>1264</v>
      </c>
      <c r="B1147" s="1">
        <v>45964</v>
      </c>
      <c r="C1147" t="s">
        <v>47</v>
      </c>
      <c r="D1147" t="s">
        <v>114</v>
      </c>
      <c r="E1147" t="s">
        <v>35</v>
      </c>
      <c r="F1147" t="s">
        <v>62</v>
      </c>
      <c r="G1147" t="s">
        <v>140</v>
      </c>
      <c r="H1147" t="s">
        <v>23</v>
      </c>
      <c r="I1147" t="s">
        <v>52</v>
      </c>
      <c r="J1147">
        <v>11</v>
      </c>
      <c r="K1147">
        <v>25903.58</v>
      </c>
      <c r="L1147">
        <v>284939.38</v>
      </c>
      <c r="M1147">
        <v>4771.05</v>
      </c>
      <c r="N1147">
        <v>0</v>
      </c>
      <c r="O1147">
        <v>280168.33</v>
      </c>
      <c r="P1147" t="s">
        <v>73</v>
      </c>
      <c r="Q1147" t="s">
        <v>32</v>
      </c>
    </row>
    <row r="1148" spans="1:17" x14ac:dyDescent="0.25">
      <c r="A1148" t="s">
        <v>1265</v>
      </c>
      <c r="B1148" s="1">
        <v>46004</v>
      </c>
      <c r="C1148" t="s">
        <v>47</v>
      </c>
      <c r="D1148" t="s">
        <v>48</v>
      </c>
      <c r="E1148" t="s">
        <v>41</v>
      </c>
      <c r="F1148" t="s">
        <v>137</v>
      </c>
      <c r="G1148" t="s">
        <v>22</v>
      </c>
      <c r="H1148" t="s">
        <v>67</v>
      </c>
      <c r="I1148" t="s">
        <v>103</v>
      </c>
      <c r="J1148">
        <v>43</v>
      </c>
      <c r="K1148">
        <v>18270.61</v>
      </c>
      <c r="L1148">
        <v>785636.23</v>
      </c>
      <c r="M1148">
        <v>0</v>
      </c>
      <c r="N1148">
        <v>78184.59</v>
      </c>
      <c r="O1148">
        <v>707451.64</v>
      </c>
      <c r="P1148" t="s">
        <v>25</v>
      </c>
      <c r="Q1148" t="s">
        <v>26</v>
      </c>
    </row>
    <row r="1149" spans="1:17" x14ac:dyDescent="0.25">
      <c r="A1149" t="s">
        <v>1266</v>
      </c>
      <c r="B1149" s="1">
        <v>45969</v>
      </c>
      <c r="C1149" t="s">
        <v>54</v>
      </c>
      <c r="D1149" t="s">
        <v>70</v>
      </c>
      <c r="E1149" t="s">
        <v>41</v>
      </c>
      <c r="F1149" t="s">
        <v>112</v>
      </c>
      <c r="G1149" t="s">
        <v>63</v>
      </c>
      <c r="H1149" t="s">
        <v>44</v>
      </c>
      <c r="I1149" t="s">
        <v>141</v>
      </c>
      <c r="J1149">
        <v>42</v>
      </c>
      <c r="K1149">
        <v>15350.51</v>
      </c>
      <c r="L1149">
        <v>644721.42000000004</v>
      </c>
      <c r="M1149">
        <v>93765.68</v>
      </c>
      <c r="N1149">
        <v>0</v>
      </c>
      <c r="O1149">
        <v>550955.74</v>
      </c>
      <c r="P1149" t="s">
        <v>31</v>
      </c>
      <c r="Q1149" t="s">
        <v>32</v>
      </c>
    </row>
    <row r="1150" spans="1:17" x14ac:dyDescent="0.25">
      <c r="A1150" t="s">
        <v>1267</v>
      </c>
      <c r="B1150" s="1">
        <v>45993</v>
      </c>
      <c r="C1150" t="s">
        <v>47</v>
      </c>
      <c r="D1150" t="s">
        <v>48</v>
      </c>
      <c r="E1150" t="s">
        <v>41</v>
      </c>
      <c r="F1150" t="s">
        <v>62</v>
      </c>
      <c r="G1150" t="s">
        <v>81</v>
      </c>
      <c r="H1150" t="s">
        <v>44</v>
      </c>
      <c r="I1150" t="s">
        <v>152</v>
      </c>
      <c r="J1150">
        <v>12</v>
      </c>
      <c r="K1150">
        <v>18332.54</v>
      </c>
      <c r="L1150">
        <v>219990.48</v>
      </c>
      <c r="M1150">
        <v>0</v>
      </c>
      <c r="N1150">
        <v>0</v>
      </c>
      <c r="O1150">
        <v>219990.48</v>
      </c>
      <c r="P1150" t="s">
        <v>25</v>
      </c>
      <c r="Q1150" t="s">
        <v>32</v>
      </c>
    </row>
    <row r="1151" spans="1:17" x14ac:dyDescent="0.25">
      <c r="A1151" t="s">
        <v>1268</v>
      </c>
      <c r="B1151" s="1">
        <v>46024</v>
      </c>
      <c r="C1151" t="s">
        <v>79</v>
      </c>
      <c r="D1151" t="s">
        <v>101</v>
      </c>
      <c r="E1151" t="s">
        <v>41</v>
      </c>
      <c r="F1151" t="s">
        <v>50</v>
      </c>
      <c r="G1151" t="s">
        <v>29</v>
      </c>
      <c r="H1151" t="s">
        <v>44</v>
      </c>
      <c r="I1151" t="s">
        <v>281</v>
      </c>
      <c r="J1151">
        <v>4</v>
      </c>
      <c r="K1151">
        <v>27620.37</v>
      </c>
      <c r="L1151">
        <v>110481.48</v>
      </c>
      <c r="M1151">
        <v>13825.67</v>
      </c>
      <c r="N1151">
        <v>0</v>
      </c>
      <c r="O1151">
        <v>96655.81</v>
      </c>
      <c r="P1151" t="s">
        <v>32</v>
      </c>
      <c r="Q1151" t="s">
        <v>32</v>
      </c>
    </row>
    <row r="1152" spans="1:17" x14ac:dyDescent="0.25">
      <c r="A1152" t="s">
        <v>1269</v>
      </c>
      <c r="B1152" s="1">
        <v>45985</v>
      </c>
      <c r="C1152" t="s">
        <v>47</v>
      </c>
      <c r="D1152" t="s">
        <v>48</v>
      </c>
      <c r="E1152" t="s">
        <v>20</v>
      </c>
      <c r="F1152" t="s">
        <v>137</v>
      </c>
      <c r="G1152" t="s">
        <v>138</v>
      </c>
      <c r="H1152" t="s">
        <v>23</v>
      </c>
      <c r="I1152" t="s">
        <v>99</v>
      </c>
      <c r="J1152">
        <v>50</v>
      </c>
      <c r="K1152">
        <v>6131.72</v>
      </c>
      <c r="L1152">
        <v>306586</v>
      </c>
      <c r="M1152">
        <v>28079.3</v>
      </c>
      <c r="N1152">
        <v>0</v>
      </c>
      <c r="O1152">
        <v>278506.7</v>
      </c>
      <c r="P1152" t="s">
        <v>31</v>
      </c>
      <c r="Q1152" t="s">
        <v>32</v>
      </c>
    </row>
    <row r="1153" spans="1:17" x14ac:dyDescent="0.25">
      <c r="A1153" t="s">
        <v>1270</v>
      </c>
      <c r="B1153" s="1">
        <v>45977</v>
      </c>
      <c r="C1153" t="s">
        <v>54</v>
      </c>
      <c r="D1153" t="s">
        <v>133</v>
      </c>
      <c r="E1153" t="s">
        <v>20</v>
      </c>
      <c r="F1153" t="s">
        <v>105</v>
      </c>
      <c r="G1153" t="s">
        <v>81</v>
      </c>
      <c r="H1153" t="s">
        <v>23</v>
      </c>
      <c r="I1153" t="s">
        <v>131</v>
      </c>
      <c r="J1153">
        <v>36</v>
      </c>
      <c r="K1153">
        <v>18578.740000000002</v>
      </c>
      <c r="L1153">
        <v>668834.64</v>
      </c>
      <c r="M1153">
        <v>106042.68</v>
      </c>
      <c r="N1153">
        <v>0</v>
      </c>
      <c r="O1153">
        <v>562791.96</v>
      </c>
      <c r="P1153" t="s">
        <v>32</v>
      </c>
      <c r="Q1153" t="s">
        <v>26</v>
      </c>
    </row>
    <row r="1154" spans="1:17" x14ac:dyDescent="0.25">
      <c r="A1154" t="s">
        <v>1271</v>
      </c>
      <c r="B1154" s="1">
        <v>45971</v>
      </c>
      <c r="C1154" t="s">
        <v>60</v>
      </c>
      <c r="D1154" t="s">
        <v>65</v>
      </c>
      <c r="E1154" t="s">
        <v>49</v>
      </c>
      <c r="F1154" t="s">
        <v>137</v>
      </c>
      <c r="G1154" t="s">
        <v>63</v>
      </c>
      <c r="H1154" t="s">
        <v>67</v>
      </c>
      <c r="I1154" t="s">
        <v>201</v>
      </c>
      <c r="J1154">
        <v>25</v>
      </c>
      <c r="K1154">
        <v>22311.7</v>
      </c>
      <c r="L1154">
        <v>557792.5</v>
      </c>
      <c r="M1154">
        <v>0</v>
      </c>
      <c r="N1154">
        <v>0</v>
      </c>
      <c r="O1154">
        <v>557792.5</v>
      </c>
      <c r="P1154" t="s">
        <v>31</v>
      </c>
      <c r="Q1154" t="s">
        <v>32</v>
      </c>
    </row>
    <row r="1155" spans="1:17" x14ac:dyDescent="0.25">
      <c r="A1155" t="s">
        <v>1272</v>
      </c>
      <c r="B1155" s="1">
        <v>45984</v>
      </c>
      <c r="C1155" t="s">
        <v>79</v>
      </c>
      <c r="D1155" t="s">
        <v>80</v>
      </c>
      <c r="E1155" t="s">
        <v>41</v>
      </c>
      <c r="F1155" t="s">
        <v>84</v>
      </c>
      <c r="G1155" t="s">
        <v>138</v>
      </c>
      <c r="H1155" t="s">
        <v>23</v>
      </c>
      <c r="I1155" t="s">
        <v>30</v>
      </c>
      <c r="J1155">
        <v>10</v>
      </c>
      <c r="K1155">
        <v>37746.04</v>
      </c>
      <c r="L1155">
        <v>377460.4</v>
      </c>
      <c r="M1155">
        <v>0</v>
      </c>
      <c r="N1155">
        <v>0</v>
      </c>
      <c r="O1155">
        <v>377460.4</v>
      </c>
      <c r="P1155" t="s">
        <v>25</v>
      </c>
      <c r="Q1155" t="s">
        <v>32</v>
      </c>
    </row>
    <row r="1156" spans="1:17" x14ac:dyDescent="0.25">
      <c r="A1156" t="s">
        <v>1273</v>
      </c>
      <c r="B1156" s="1">
        <v>45984</v>
      </c>
      <c r="C1156" t="s">
        <v>79</v>
      </c>
      <c r="D1156" t="s">
        <v>80</v>
      </c>
      <c r="E1156" t="s">
        <v>35</v>
      </c>
      <c r="F1156" t="s">
        <v>21</v>
      </c>
      <c r="G1156" t="s">
        <v>43</v>
      </c>
      <c r="H1156" t="s">
        <v>38</v>
      </c>
      <c r="I1156" t="s">
        <v>82</v>
      </c>
      <c r="J1156">
        <v>6</v>
      </c>
      <c r="K1156">
        <v>27878.35</v>
      </c>
      <c r="L1156">
        <v>167270.1</v>
      </c>
      <c r="M1156">
        <v>29174.799999999999</v>
      </c>
      <c r="N1156">
        <v>0</v>
      </c>
      <c r="O1156">
        <v>138095.29999999999</v>
      </c>
      <c r="P1156" t="s">
        <v>25</v>
      </c>
      <c r="Q1156" t="s">
        <v>26</v>
      </c>
    </row>
    <row r="1157" spans="1:17" x14ac:dyDescent="0.25">
      <c r="A1157" t="s">
        <v>1274</v>
      </c>
      <c r="B1157" s="1">
        <v>45960</v>
      </c>
      <c r="C1157" t="s">
        <v>54</v>
      </c>
      <c r="D1157" t="s">
        <v>55</v>
      </c>
      <c r="E1157" t="s">
        <v>20</v>
      </c>
      <c r="F1157" t="s">
        <v>71</v>
      </c>
      <c r="G1157" t="s">
        <v>138</v>
      </c>
      <c r="H1157" t="s">
        <v>38</v>
      </c>
      <c r="I1157" t="s">
        <v>120</v>
      </c>
      <c r="J1157">
        <v>4</v>
      </c>
      <c r="K1157">
        <v>9849.9</v>
      </c>
      <c r="L1157">
        <v>39399.599999999999</v>
      </c>
      <c r="M1157">
        <v>615.20000000000005</v>
      </c>
      <c r="N1157">
        <v>0</v>
      </c>
      <c r="O1157">
        <v>38784.400000000001</v>
      </c>
      <c r="P1157" t="s">
        <v>25</v>
      </c>
      <c r="Q1157" t="s">
        <v>26</v>
      </c>
    </row>
    <row r="1158" spans="1:17" x14ac:dyDescent="0.25">
      <c r="A1158" t="s">
        <v>1275</v>
      </c>
      <c r="B1158" s="1">
        <v>46023</v>
      </c>
      <c r="C1158" t="s">
        <v>18</v>
      </c>
      <c r="D1158" t="s">
        <v>75</v>
      </c>
      <c r="E1158" t="s">
        <v>35</v>
      </c>
      <c r="F1158" t="s">
        <v>50</v>
      </c>
      <c r="G1158" t="s">
        <v>140</v>
      </c>
      <c r="H1158" t="s">
        <v>94</v>
      </c>
      <c r="I1158" t="s">
        <v>115</v>
      </c>
      <c r="J1158">
        <v>5</v>
      </c>
      <c r="K1158">
        <v>11362.46</v>
      </c>
      <c r="L1158">
        <v>56812.3</v>
      </c>
      <c r="M1158">
        <v>0</v>
      </c>
      <c r="N1158">
        <v>0</v>
      </c>
      <c r="O1158">
        <v>56812.3</v>
      </c>
      <c r="P1158" t="s">
        <v>31</v>
      </c>
      <c r="Q1158" t="s">
        <v>32</v>
      </c>
    </row>
    <row r="1159" spans="1:17" x14ac:dyDescent="0.25">
      <c r="A1159" t="s">
        <v>1276</v>
      </c>
      <c r="B1159" s="1">
        <v>46031</v>
      </c>
      <c r="C1159" t="s">
        <v>54</v>
      </c>
      <c r="D1159" t="s">
        <v>133</v>
      </c>
      <c r="E1159" t="s">
        <v>35</v>
      </c>
      <c r="F1159" t="s">
        <v>105</v>
      </c>
      <c r="G1159" t="s">
        <v>56</v>
      </c>
      <c r="H1159" t="s">
        <v>67</v>
      </c>
      <c r="I1159" t="s">
        <v>201</v>
      </c>
      <c r="J1159">
        <v>18</v>
      </c>
      <c r="K1159">
        <v>10104.790000000001</v>
      </c>
      <c r="L1159">
        <v>181886.22</v>
      </c>
      <c r="M1159">
        <v>22396.45</v>
      </c>
      <c r="N1159">
        <v>0</v>
      </c>
      <c r="O1159">
        <v>159489.76999999999</v>
      </c>
      <c r="P1159" t="s">
        <v>31</v>
      </c>
      <c r="Q1159" t="s">
        <v>32</v>
      </c>
    </row>
    <row r="1160" spans="1:17" x14ac:dyDescent="0.25">
      <c r="A1160" t="s">
        <v>1277</v>
      </c>
      <c r="B1160" s="1">
        <v>46020</v>
      </c>
      <c r="C1160" t="s">
        <v>54</v>
      </c>
      <c r="D1160" t="s">
        <v>97</v>
      </c>
      <c r="E1160" t="s">
        <v>20</v>
      </c>
      <c r="F1160" t="s">
        <v>62</v>
      </c>
      <c r="G1160" t="s">
        <v>85</v>
      </c>
      <c r="H1160" t="s">
        <v>38</v>
      </c>
      <c r="I1160" t="s">
        <v>120</v>
      </c>
      <c r="J1160">
        <v>44</v>
      </c>
      <c r="K1160">
        <v>39664.03</v>
      </c>
      <c r="L1160">
        <v>1745217.32</v>
      </c>
      <c r="M1160">
        <v>343496.2</v>
      </c>
      <c r="N1160">
        <v>0</v>
      </c>
      <c r="O1160">
        <v>1401721.12</v>
      </c>
      <c r="P1160" t="s">
        <v>31</v>
      </c>
      <c r="Q1160" t="s">
        <v>32</v>
      </c>
    </row>
    <row r="1161" spans="1:17" x14ac:dyDescent="0.25">
      <c r="A1161" t="s">
        <v>1278</v>
      </c>
      <c r="B1161" s="1">
        <v>45992</v>
      </c>
      <c r="C1161" t="s">
        <v>54</v>
      </c>
      <c r="D1161" t="s">
        <v>97</v>
      </c>
      <c r="E1161" t="s">
        <v>35</v>
      </c>
      <c r="F1161" t="s">
        <v>105</v>
      </c>
      <c r="G1161" t="s">
        <v>102</v>
      </c>
      <c r="H1161" t="s">
        <v>94</v>
      </c>
      <c r="I1161" t="s">
        <v>144</v>
      </c>
      <c r="J1161">
        <v>21</v>
      </c>
      <c r="K1161">
        <v>48862.95</v>
      </c>
      <c r="L1161">
        <v>1026121.95</v>
      </c>
      <c r="M1161">
        <v>149596.4</v>
      </c>
      <c r="N1161">
        <v>0</v>
      </c>
      <c r="O1161">
        <v>876525.55</v>
      </c>
      <c r="P1161" t="s">
        <v>31</v>
      </c>
      <c r="Q1161" t="s">
        <v>32</v>
      </c>
    </row>
    <row r="1162" spans="1:17" x14ac:dyDescent="0.25">
      <c r="A1162" t="s">
        <v>1279</v>
      </c>
      <c r="B1162" s="1">
        <v>45959</v>
      </c>
      <c r="C1162" t="s">
        <v>54</v>
      </c>
      <c r="D1162" t="s">
        <v>55</v>
      </c>
      <c r="E1162" t="s">
        <v>49</v>
      </c>
      <c r="F1162" t="s">
        <v>62</v>
      </c>
      <c r="G1162" t="s">
        <v>81</v>
      </c>
      <c r="H1162" t="s">
        <v>23</v>
      </c>
      <c r="I1162" t="s">
        <v>99</v>
      </c>
      <c r="J1162">
        <v>26</v>
      </c>
      <c r="K1162">
        <v>9685.2999999999993</v>
      </c>
      <c r="L1162">
        <v>251817.8</v>
      </c>
      <c r="M1162">
        <v>0</v>
      </c>
      <c r="N1162">
        <v>0</v>
      </c>
      <c r="O1162">
        <v>251817.8</v>
      </c>
      <c r="P1162" t="s">
        <v>31</v>
      </c>
      <c r="Q1162" t="s">
        <v>32</v>
      </c>
    </row>
    <row r="1163" spans="1:17" x14ac:dyDescent="0.25">
      <c r="A1163" t="s">
        <v>1280</v>
      </c>
      <c r="B1163" s="1">
        <v>46017</v>
      </c>
      <c r="C1163" t="s">
        <v>18</v>
      </c>
      <c r="D1163" t="s">
        <v>19</v>
      </c>
      <c r="E1163" t="s">
        <v>20</v>
      </c>
      <c r="F1163" t="s">
        <v>137</v>
      </c>
      <c r="G1163" t="s">
        <v>29</v>
      </c>
      <c r="H1163" t="s">
        <v>44</v>
      </c>
      <c r="I1163" t="s">
        <v>124</v>
      </c>
      <c r="J1163">
        <v>34</v>
      </c>
      <c r="K1163">
        <v>47235.63</v>
      </c>
      <c r="L1163">
        <v>1606011.42</v>
      </c>
      <c r="M1163">
        <v>179464.86</v>
      </c>
      <c r="N1163">
        <v>0</v>
      </c>
      <c r="O1163">
        <v>1426546.56</v>
      </c>
      <c r="P1163" t="s">
        <v>25</v>
      </c>
      <c r="Q1163" t="s">
        <v>26</v>
      </c>
    </row>
    <row r="1164" spans="1:17" x14ac:dyDescent="0.25">
      <c r="A1164" t="s">
        <v>1281</v>
      </c>
      <c r="B1164" s="1">
        <v>45985</v>
      </c>
      <c r="C1164" t="s">
        <v>18</v>
      </c>
      <c r="D1164" t="s">
        <v>34</v>
      </c>
      <c r="E1164" t="s">
        <v>41</v>
      </c>
      <c r="F1164" t="s">
        <v>84</v>
      </c>
      <c r="G1164" t="s">
        <v>51</v>
      </c>
      <c r="H1164" t="s">
        <v>57</v>
      </c>
      <c r="I1164" t="s">
        <v>58</v>
      </c>
      <c r="J1164">
        <v>43</v>
      </c>
      <c r="K1164">
        <v>3086.74</v>
      </c>
      <c r="L1164">
        <v>132729.82</v>
      </c>
      <c r="M1164">
        <v>1937.3</v>
      </c>
      <c r="N1164">
        <v>0</v>
      </c>
      <c r="O1164">
        <v>130792.52</v>
      </c>
      <c r="P1164" t="s">
        <v>31</v>
      </c>
      <c r="Q1164" t="s">
        <v>32</v>
      </c>
    </row>
    <row r="1165" spans="1:17" x14ac:dyDescent="0.25">
      <c r="A1165" t="s">
        <v>1282</v>
      </c>
      <c r="B1165" s="1">
        <v>45983</v>
      </c>
      <c r="C1165" t="s">
        <v>47</v>
      </c>
      <c r="D1165" t="s">
        <v>127</v>
      </c>
      <c r="E1165" t="s">
        <v>35</v>
      </c>
      <c r="F1165" t="s">
        <v>42</v>
      </c>
      <c r="G1165" t="s">
        <v>66</v>
      </c>
      <c r="H1165" t="s">
        <v>38</v>
      </c>
      <c r="I1165" t="s">
        <v>39</v>
      </c>
      <c r="J1165">
        <v>5</v>
      </c>
      <c r="K1165">
        <v>43913.87</v>
      </c>
      <c r="L1165">
        <v>219569.35</v>
      </c>
      <c r="M1165">
        <v>0</v>
      </c>
      <c r="N1165">
        <v>50593.08</v>
      </c>
      <c r="O1165">
        <v>168976.27</v>
      </c>
      <c r="P1165" t="s">
        <v>25</v>
      </c>
      <c r="Q1165" t="s">
        <v>26</v>
      </c>
    </row>
    <row r="1166" spans="1:17" x14ac:dyDescent="0.25">
      <c r="A1166" t="s">
        <v>1283</v>
      </c>
      <c r="B1166" s="1">
        <v>46043</v>
      </c>
      <c r="C1166" t="s">
        <v>79</v>
      </c>
      <c r="D1166" t="s">
        <v>80</v>
      </c>
      <c r="E1166" t="s">
        <v>20</v>
      </c>
      <c r="F1166" t="s">
        <v>137</v>
      </c>
      <c r="G1166" t="s">
        <v>43</v>
      </c>
      <c r="H1166" t="s">
        <v>44</v>
      </c>
      <c r="I1166" t="s">
        <v>141</v>
      </c>
      <c r="J1166">
        <v>43</v>
      </c>
      <c r="K1166">
        <v>4963.01</v>
      </c>
      <c r="L1166">
        <v>213409.43</v>
      </c>
      <c r="M1166">
        <v>22769.93</v>
      </c>
      <c r="N1166">
        <v>0</v>
      </c>
      <c r="O1166">
        <v>190639.5</v>
      </c>
      <c r="P1166" t="s">
        <v>32</v>
      </c>
      <c r="Q1166" t="s">
        <v>32</v>
      </c>
    </row>
    <row r="1167" spans="1:17" x14ac:dyDescent="0.25">
      <c r="A1167" t="s">
        <v>1284</v>
      </c>
      <c r="B1167" s="1">
        <v>46037</v>
      </c>
      <c r="C1167" t="s">
        <v>60</v>
      </c>
      <c r="D1167" t="s">
        <v>123</v>
      </c>
      <c r="E1167" t="s">
        <v>20</v>
      </c>
      <c r="F1167" t="s">
        <v>36</v>
      </c>
      <c r="G1167" t="s">
        <v>63</v>
      </c>
      <c r="H1167" t="s">
        <v>23</v>
      </c>
      <c r="I1167" t="s">
        <v>99</v>
      </c>
      <c r="J1167">
        <v>13</v>
      </c>
      <c r="K1167">
        <v>5827</v>
      </c>
      <c r="L1167">
        <v>75751</v>
      </c>
      <c r="M1167">
        <v>1593.63</v>
      </c>
      <c r="N1167">
        <v>15408.18</v>
      </c>
      <c r="O1167">
        <v>58749.19</v>
      </c>
      <c r="P1167" t="s">
        <v>32</v>
      </c>
      <c r="Q1167" t="s">
        <v>32</v>
      </c>
    </row>
    <row r="1168" spans="1:17" x14ac:dyDescent="0.25">
      <c r="A1168" t="s">
        <v>1285</v>
      </c>
      <c r="B1168" s="1">
        <v>46042</v>
      </c>
      <c r="C1168" t="s">
        <v>54</v>
      </c>
      <c r="D1168" t="s">
        <v>70</v>
      </c>
      <c r="E1168" t="s">
        <v>41</v>
      </c>
      <c r="F1168" t="s">
        <v>21</v>
      </c>
      <c r="G1168" t="s">
        <v>66</v>
      </c>
      <c r="H1168" t="s">
        <v>67</v>
      </c>
      <c r="I1168" t="s">
        <v>170</v>
      </c>
      <c r="J1168">
        <v>34</v>
      </c>
      <c r="K1168">
        <v>47684.6</v>
      </c>
      <c r="L1168">
        <v>1621276.4</v>
      </c>
      <c r="M1168">
        <v>0</v>
      </c>
      <c r="N1168">
        <v>0</v>
      </c>
      <c r="O1168">
        <v>1621276.4</v>
      </c>
      <c r="P1168" t="s">
        <v>73</v>
      </c>
      <c r="Q1168" t="s">
        <v>32</v>
      </c>
    </row>
    <row r="1169" spans="1:17" x14ac:dyDescent="0.25">
      <c r="A1169" t="s">
        <v>1286</v>
      </c>
      <c r="B1169" s="1">
        <v>45955</v>
      </c>
      <c r="C1169" t="s">
        <v>47</v>
      </c>
      <c r="D1169" t="s">
        <v>114</v>
      </c>
      <c r="E1169" t="s">
        <v>41</v>
      </c>
      <c r="F1169" t="s">
        <v>137</v>
      </c>
      <c r="G1169" t="s">
        <v>89</v>
      </c>
      <c r="H1169" t="s">
        <v>67</v>
      </c>
      <c r="I1169" t="s">
        <v>68</v>
      </c>
      <c r="J1169">
        <v>19</v>
      </c>
      <c r="K1169">
        <v>36953.96</v>
      </c>
      <c r="L1169">
        <v>702125.24</v>
      </c>
      <c r="M1169">
        <v>80425.070000000007</v>
      </c>
      <c r="N1169">
        <v>0</v>
      </c>
      <c r="O1169">
        <v>621700.17000000004</v>
      </c>
      <c r="P1169" t="s">
        <v>32</v>
      </c>
      <c r="Q1169" t="s">
        <v>32</v>
      </c>
    </row>
    <row r="1170" spans="1:17" x14ac:dyDescent="0.25">
      <c r="A1170" t="s">
        <v>1287</v>
      </c>
      <c r="B1170" s="1">
        <v>45956</v>
      </c>
      <c r="C1170" t="s">
        <v>47</v>
      </c>
      <c r="D1170" t="s">
        <v>88</v>
      </c>
      <c r="E1170" t="s">
        <v>49</v>
      </c>
      <c r="F1170" t="s">
        <v>112</v>
      </c>
      <c r="G1170" t="s">
        <v>98</v>
      </c>
      <c r="H1170" t="s">
        <v>44</v>
      </c>
      <c r="I1170" t="s">
        <v>141</v>
      </c>
      <c r="J1170">
        <v>8</v>
      </c>
      <c r="K1170">
        <v>36388.089999999997</v>
      </c>
      <c r="L1170">
        <v>291104.71999999997</v>
      </c>
      <c r="M1170">
        <v>44916.49</v>
      </c>
      <c r="N1170">
        <v>0</v>
      </c>
      <c r="O1170">
        <v>246188.23</v>
      </c>
      <c r="P1170" t="s">
        <v>32</v>
      </c>
      <c r="Q1170" t="s">
        <v>26</v>
      </c>
    </row>
    <row r="1171" spans="1:17" x14ac:dyDescent="0.25">
      <c r="A1171" t="s">
        <v>1288</v>
      </c>
      <c r="B1171" s="1">
        <v>46029</v>
      </c>
      <c r="C1171" t="s">
        <v>54</v>
      </c>
      <c r="D1171" t="s">
        <v>70</v>
      </c>
      <c r="E1171" t="s">
        <v>35</v>
      </c>
      <c r="F1171" t="s">
        <v>21</v>
      </c>
      <c r="G1171" t="s">
        <v>56</v>
      </c>
      <c r="H1171" t="s">
        <v>94</v>
      </c>
      <c r="I1171" t="s">
        <v>144</v>
      </c>
      <c r="J1171">
        <v>2</v>
      </c>
      <c r="K1171">
        <v>9514.32</v>
      </c>
      <c r="L1171">
        <v>19028.64</v>
      </c>
      <c r="M1171">
        <v>0</v>
      </c>
      <c r="N1171">
        <v>4081.52</v>
      </c>
      <c r="O1171">
        <v>14947.12</v>
      </c>
      <c r="P1171" t="s">
        <v>32</v>
      </c>
      <c r="Q1171" t="s">
        <v>26</v>
      </c>
    </row>
    <row r="1172" spans="1:17" x14ac:dyDescent="0.25">
      <c r="A1172" t="s">
        <v>1289</v>
      </c>
      <c r="B1172" s="1">
        <v>46009</v>
      </c>
      <c r="C1172" t="s">
        <v>79</v>
      </c>
      <c r="D1172" t="s">
        <v>107</v>
      </c>
      <c r="E1172" t="s">
        <v>20</v>
      </c>
      <c r="F1172" t="s">
        <v>137</v>
      </c>
      <c r="G1172" t="s">
        <v>56</v>
      </c>
      <c r="H1172" t="s">
        <v>57</v>
      </c>
      <c r="I1172" t="s">
        <v>72</v>
      </c>
      <c r="J1172">
        <v>19</v>
      </c>
      <c r="K1172">
        <v>7438.61</v>
      </c>
      <c r="L1172">
        <v>141333.59</v>
      </c>
      <c r="M1172">
        <v>23444.27</v>
      </c>
      <c r="N1172">
        <v>0</v>
      </c>
      <c r="O1172">
        <v>117889.32</v>
      </c>
      <c r="P1172" t="s">
        <v>31</v>
      </c>
      <c r="Q1172" t="s">
        <v>32</v>
      </c>
    </row>
    <row r="1173" spans="1:17" x14ac:dyDescent="0.25">
      <c r="A1173" t="s">
        <v>1290</v>
      </c>
      <c r="B1173" s="1">
        <v>45987</v>
      </c>
      <c r="C1173" t="s">
        <v>54</v>
      </c>
      <c r="D1173" t="s">
        <v>97</v>
      </c>
      <c r="E1173" t="s">
        <v>35</v>
      </c>
      <c r="F1173" t="s">
        <v>36</v>
      </c>
      <c r="G1173" t="s">
        <v>138</v>
      </c>
      <c r="H1173" t="s">
        <v>57</v>
      </c>
      <c r="I1173" t="s">
        <v>118</v>
      </c>
      <c r="J1173">
        <v>12</v>
      </c>
      <c r="K1173">
        <v>25277.599999999999</v>
      </c>
      <c r="L1173">
        <v>303331.20000000001</v>
      </c>
      <c r="M1173">
        <v>586.71</v>
      </c>
      <c r="N1173">
        <v>0</v>
      </c>
      <c r="O1173">
        <v>302744.49</v>
      </c>
      <c r="P1173" t="s">
        <v>25</v>
      </c>
      <c r="Q1173" t="s">
        <v>26</v>
      </c>
    </row>
    <row r="1174" spans="1:17" x14ac:dyDescent="0.25">
      <c r="A1174" t="s">
        <v>1291</v>
      </c>
      <c r="B1174" s="1">
        <v>45999</v>
      </c>
      <c r="C1174" t="s">
        <v>79</v>
      </c>
      <c r="D1174" t="s">
        <v>107</v>
      </c>
      <c r="E1174" t="s">
        <v>35</v>
      </c>
      <c r="F1174" t="s">
        <v>62</v>
      </c>
      <c r="G1174" t="s">
        <v>140</v>
      </c>
      <c r="H1174" t="s">
        <v>67</v>
      </c>
      <c r="I1174" t="s">
        <v>103</v>
      </c>
      <c r="J1174">
        <v>8</v>
      </c>
      <c r="K1174">
        <v>10550.81</v>
      </c>
      <c r="L1174">
        <v>84406.48</v>
      </c>
      <c r="M1174">
        <v>0</v>
      </c>
      <c r="N1174">
        <v>0</v>
      </c>
      <c r="O1174">
        <v>84406.48</v>
      </c>
      <c r="P1174" t="s">
        <v>73</v>
      </c>
      <c r="Q1174" t="s">
        <v>32</v>
      </c>
    </row>
    <row r="1175" spans="1:17" x14ac:dyDescent="0.25">
      <c r="A1175" t="s">
        <v>1292</v>
      </c>
      <c r="B1175" s="1">
        <v>45989</v>
      </c>
      <c r="C1175" t="s">
        <v>54</v>
      </c>
      <c r="D1175" t="s">
        <v>55</v>
      </c>
      <c r="E1175" t="s">
        <v>35</v>
      </c>
      <c r="F1175" t="s">
        <v>36</v>
      </c>
      <c r="G1175" t="s">
        <v>29</v>
      </c>
      <c r="H1175" t="s">
        <v>23</v>
      </c>
      <c r="I1175" t="s">
        <v>24</v>
      </c>
      <c r="J1175">
        <v>25</v>
      </c>
      <c r="K1175">
        <v>30603.19</v>
      </c>
      <c r="L1175">
        <v>765079.75</v>
      </c>
      <c r="M1175">
        <v>9502.01</v>
      </c>
      <c r="N1175">
        <v>0</v>
      </c>
      <c r="O1175">
        <v>755577.74</v>
      </c>
      <c r="P1175" t="s">
        <v>25</v>
      </c>
      <c r="Q1175" t="s">
        <v>26</v>
      </c>
    </row>
    <row r="1176" spans="1:17" x14ac:dyDescent="0.25">
      <c r="A1176" t="s">
        <v>1293</v>
      </c>
      <c r="B1176" s="1">
        <v>46022</v>
      </c>
      <c r="C1176" t="s">
        <v>47</v>
      </c>
      <c r="D1176" t="s">
        <v>48</v>
      </c>
      <c r="E1176" t="s">
        <v>20</v>
      </c>
      <c r="F1176" t="s">
        <v>105</v>
      </c>
      <c r="G1176" t="s">
        <v>85</v>
      </c>
      <c r="H1176" t="s">
        <v>57</v>
      </c>
      <c r="I1176" t="s">
        <v>92</v>
      </c>
      <c r="J1176">
        <v>44</v>
      </c>
      <c r="K1176">
        <v>5513.92</v>
      </c>
      <c r="L1176">
        <v>242612.48000000001</v>
      </c>
      <c r="M1176">
        <v>45003.29</v>
      </c>
      <c r="N1176">
        <v>0</v>
      </c>
      <c r="O1176">
        <v>197609.19</v>
      </c>
      <c r="P1176" t="s">
        <v>32</v>
      </c>
      <c r="Q1176" t="s">
        <v>32</v>
      </c>
    </row>
    <row r="1177" spans="1:17" x14ac:dyDescent="0.25">
      <c r="A1177" t="s">
        <v>1294</v>
      </c>
      <c r="B1177" s="1">
        <v>46017</v>
      </c>
      <c r="C1177" t="s">
        <v>79</v>
      </c>
      <c r="D1177" t="s">
        <v>91</v>
      </c>
      <c r="E1177" t="s">
        <v>20</v>
      </c>
      <c r="F1177" t="s">
        <v>84</v>
      </c>
      <c r="G1177" t="s">
        <v>37</v>
      </c>
      <c r="H1177" t="s">
        <v>67</v>
      </c>
      <c r="I1177" t="s">
        <v>201</v>
      </c>
      <c r="J1177">
        <v>34</v>
      </c>
      <c r="K1177">
        <v>14277.54</v>
      </c>
      <c r="L1177">
        <v>485436.36</v>
      </c>
      <c r="M1177">
        <v>70020.149999999994</v>
      </c>
      <c r="N1177">
        <v>0</v>
      </c>
      <c r="O1177">
        <v>415416.21</v>
      </c>
      <c r="P1177" t="s">
        <v>25</v>
      </c>
      <c r="Q1177" t="s">
        <v>32</v>
      </c>
    </row>
    <row r="1178" spans="1:17" x14ac:dyDescent="0.25">
      <c r="A1178" t="s">
        <v>1295</v>
      </c>
      <c r="B1178" s="1">
        <v>45956</v>
      </c>
      <c r="C1178" t="s">
        <v>54</v>
      </c>
      <c r="D1178" t="s">
        <v>133</v>
      </c>
      <c r="E1178" t="s">
        <v>41</v>
      </c>
      <c r="F1178" t="s">
        <v>42</v>
      </c>
      <c r="G1178" t="s">
        <v>43</v>
      </c>
      <c r="H1178" t="s">
        <v>94</v>
      </c>
      <c r="I1178" t="s">
        <v>115</v>
      </c>
      <c r="J1178">
        <v>49</v>
      </c>
      <c r="K1178">
        <v>1934.94</v>
      </c>
      <c r="L1178">
        <v>94812.06</v>
      </c>
      <c r="M1178">
        <v>0</v>
      </c>
      <c r="N1178">
        <v>0</v>
      </c>
      <c r="O1178">
        <v>94812.06</v>
      </c>
      <c r="P1178" t="s">
        <v>31</v>
      </c>
      <c r="Q1178" t="s">
        <v>32</v>
      </c>
    </row>
    <row r="1179" spans="1:17" x14ac:dyDescent="0.25">
      <c r="A1179" t="s">
        <v>1296</v>
      </c>
      <c r="B1179" s="1">
        <v>45982</v>
      </c>
      <c r="C1179" t="s">
        <v>47</v>
      </c>
      <c r="D1179" t="s">
        <v>114</v>
      </c>
      <c r="E1179" t="s">
        <v>41</v>
      </c>
      <c r="F1179" t="s">
        <v>36</v>
      </c>
      <c r="G1179" t="s">
        <v>56</v>
      </c>
      <c r="H1179" t="s">
        <v>57</v>
      </c>
      <c r="I1179" t="s">
        <v>58</v>
      </c>
      <c r="J1179">
        <v>38</v>
      </c>
      <c r="K1179">
        <v>50486.59</v>
      </c>
      <c r="L1179">
        <v>1918490.42</v>
      </c>
      <c r="M1179">
        <v>145935.31</v>
      </c>
      <c r="N1179">
        <v>0</v>
      </c>
      <c r="O1179">
        <v>1772555.11</v>
      </c>
      <c r="P1179" t="s">
        <v>73</v>
      </c>
      <c r="Q1179" t="s">
        <v>26</v>
      </c>
    </row>
    <row r="1180" spans="1:17" x14ac:dyDescent="0.25">
      <c r="A1180" t="s">
        <v>1297</v>
      </c>
      <c r="B1180" s="1">
        <v>46028</v>
      </c>
      <c r="C1180" t="s">
        <v>60</v>
      </c>
      <c r="D1180" t="s">
        <v>61</v>
      </c>
      <c r="E1180" t="s">
        <v>20</v>
      </c>
      <c r="F1180" t="s">
        <v>137</v>
      </c>
      <c r="G1180" t="s">
        <v>85</v>
      </c>
      <c r="H1180" t="s">
        <v>67</v>
      </c>
      <c r="I1180" t="s">
        <v>68</v>
      </c>
      <c r="J1180">
        <v>32</v>
      </c>
      <c r="K1180">
        <v>33275.589999999997</v>
      </c>
      <c r="L1180">
        <v>1064818.8799999999</v>
      </c>
      <c r="M1180">
        <v>179064.55</v>
      </c>
      <c r="N1180">
        <v>0</v>
      </c>
      <c r="O1180">
        <v>885754.33</v>
      </c>
      <c r="P1180" t="s">
        <v>73</v>
      </c>
      <c r="Q1180" t="s">
        <v>32</v>
      </c>
    </row>
    <row r="1181" spans="1:17" x14ac:dyDescent="0.25">
      <c r="A1181" t="s">
        <v>1298</v>
      </c>
      <c r="B1181" s="1">
        <v>46034</v>
      </c>
      <c r="C1181" t="s">
        <v>18</v>
      </c>
      <c r="D1181" t="s">
        <v>34</v>
      </c>
      <c r="E1181" t="s">
        <v>49</v>
      </c>
      <c r="F1181" t="s">
        <v>21</v>
      </c>
      <c r="G1181" t="s">
        <v>63</v>
      </c>
      <c r="H1181" t="s">
        <v>57</v>
      </c>
      <c r="I1181" t="s">
        <v>58</v>
      </c>
      <c r="J1181">
        <v>46</v>
      </c>
      <c r="K1181">
        <v>35246.11</v>
      </c>
      <c r="L1181">
        <v>1621321.06</v>
      </c>
      <c r="M1181">
        <v>252975.88</v>
      </c>
      <c r="N1181">
        <v>0</v>
      </c>
      <c r="O1181">
        <v>1368345.18</v>
      </c>
      <c r="P1181" t="s">
        <v>31</v>
      </c>
      <c r="Q1181" t="s">
        <v>32</v>
      </c>
    </row>
    <row r="1182" spans="1:17" x14ac:dyDescent="0.25">
      <c r="A1182" t="s">
        <v>1299</v>
      </c>
      <c r="B1182" s="1">
        <v>46035</v>
      </c>
      <c r="C1182" t="s">
        <v>18</v>
      </c>
      <c r="D1182" t="s">
        <v>75</v>
      </c>
      <c r="E1182" t="s">
        <v>49</v>
      </c>
      <c r="F1182" t="s">
        <v>84</v>
      </c>
      <c r="G1182" t="s">
        <v>66</v>
      </c>
      <c r="H1182" t="s">
        <v>23</v>
      </c>
      <c r="I1182" t="s">
        <v>30</v>
      </c>
      <c r="J1182">
        <v>7</v>
      </c>
      <c r="K1182">
        <v>2669.85</v>
      </c>
      <c r="L1182">
        <v>18688.95</v>
      </c>
      <c r="M1182">
        <v>0</v>
      </c>
      <c r="N1182">
        <v>0</v>
      </c>
      <c r="O1182">
        <v>18688.95</v>
      </c>
      <c r="P1182" t="s">
        <v>32</v>
      </c>
      <c r="Q1182" t="s">
        <v>32</v>
      </c>
    </row>
    <row r="1183" spans="1:17" x14ac:dyDescent="0.25">
      <c r="A1183" t="s">
        <v>1300</v>
      </c>
      <c r="B1183" s="1">
        <v>45998</v>
      </c>
      <c r="C1183" t="s">
        <v>18</v>
      </c>
      <c r="D1183" t="s">
        <v>34</v>
      </c>
      <c r="E1183" t="s">
        <v>49</v>
      </c>
      <c r="F1183" t="s">
        <v>62</v>
      </c>
      <c r="G1183" t="s">
        <v>22</v>
      </c>
      <c r="H1183" t="s">
        <v>57</v>
      </c>
      <c r="I1183" t="s">
        <v>58</v>
      </c>
      <c r="J1183">
        <v>17</v>
      </c>
      <c r="K1183">
        <v>45877.51</v>
      </c>
      <c r="L1183">
        <v>779917.67</v>
      </c>
      <c r="M1183">
        <v>112976.91</v>
      </c>
      <c r="N1183">
        <v>0</v>
      </c>
      <c r="O1183">
        <v>666940.76</v>
      </c>
      <c r="P1183" t="s">
        <v>73</v>
      </c>
      <c r="Q1183" t="s">
        <v>26</v>
      </c>
    </row>
    <row r="1184" spans="1:17" x14ac:dyDescent="0.25">
      <c r="A1184" t="s">
        <v>1301</v>
      </c>
      <c r="B1184" s="1">
        <v>45981</v>
      </c>
      <c r="C1184" t="s">
        <v>79</v>
      </c>
      <c r="D1184" t="s">
        <v>80</v>
      </c>
      <c r="E1184" t="s">
        <v>20</v>
      </c>
      <c r="F1184" t="s">
        <v>137</v>
      </c>
      <c r="G1184" t="s">
        <v>102</v>
      </c>
      <c r="H1184" t="s">
        <v>38</v>
      </c>
      <c r="I1184" t="s">
        <v>108</v>
      </c>
      <c r="J1184">
        <v>20</v>
      </c>
      <c r="K1184">
        <v>2896.34</v>
      </c>
      <c r="L1184">
        <v>57926.8</v>
      </c>
      <c r="M1184">
        <v>0</v>
      </c>
      <c r="N1184">
        <v>0</v>
      </c>
      <c r="O1184">
        <v>57926.8</v>
      </c>
      <c r="P1184" t="s">
        <v>25</v>
      </c>
      <c r="Q1184" t="s">
        <v>26</v>
      </c>
    </row>
    <row r="1185" spans="1:17" x14ac:dyDescent="0.25">
      <c r="A1185" t="s">
        <v>1302</v>
      </c>
      <c r="B1185" s="1">
        <v>46038</v>
      </c>
      <c r="C1185" t="s">
        <v>18</v>
      </c>
      <c r="D1185" t="s">
        <v>34</v>
      </c>
      <c r="E1185" t="s">
        <v>35</v>
      </c>
      <c r="F1185" t="s">
        <v>42</v>
      </c>
      <c r="G1185" t="s">
        <v>51</v>
      </c>
      <c r="H1185" t="s">
        <v>23</v>
      </c>
      <c r="I1185" t="s">
        <v>30</v>
      </c>
      <c r="J1185">
        <v>41</v>
      </c>
      <c r="K1185">
        <v>48332.83</v>
      </c>
      <c r="L1185">
        <v>1981646.03</v>
      </c>
      <c r="M1185">
        <v>0</v>
      </c>
      <c r="N1185">
        <v>0</v>
      </c>
      <c r="O1185">
        <v>1981646.03</v>
      </c>
      <c r="P1185" t="s">
        <v>31</v>
      </c>
      <c r="Q1185" t="s">
        <v>32</v>
      </c>
    </row>
    <row r="1186" spans="1:17" x14ac:dyDescent="0.25">
      <c r="A1186" t="s">
        <v>1303</v>
      </c>
      <c r="B1186" s="1">
        <v>46015</v>
      </c>
      <c r="C1186" t="s">
        <v>47</v>
      </c>
      <c r="D1186" t="s">
        <v>88</v>
      </c>
      <c r="E1186" t="s">
        <v>35</v>
      </c>
      <c r="F1186" t="s">
        <v>105</v>
      </c>
      <c r="G1186" t="s">
        <v>81</v>
      </c>
      <c r="H1186" t="s">
        <v>57</v>
      </c>
      <c r="I1186" t="s">
        <v>148</v>
      </c>
      <c r="J1186">
        <v>45</v>
      </c>
      <c r="K1186">
        <v>6456.85</v>
      </c>
      <c r="L1186">
        <v>290558.25</v>
      </c>
      <c r="M1186">
        <v>0</v>
      </c>
      <c r="N1186">
        <v>28586.99</v>
      </c>
      <c r="O1186">
        <v>261971.26</v>
      </c>
      <c r="P1186" t="s">
        <v>73</v>
      </c>
      <c r="Q1186" t="s">
        <v>32</v>
      </c>
    </row>
    <row r="1187" spans="1:17" x14ac:dyDescent="0.25">
      <c r="A1187" t="s">
        <v>1304</v>
      </c>
      <c r="B1187" s="1">
        <v>45980</v>
      </c>
      <c r="C1187" t="s">
        <v>60</v>
      </c>
      <c r="D1187" t="s">
        <v>123</v>
      </c>
      <c r="E1187" t="s">
        <v>41</v>
      </c>
      <c r="F1187" t="s">
        <v>50</v>
      </c>
      <c r="G1187" t="s">
        <v>22</v>
      </c>
      <c r="H1187" t="s">
        <v>57</v>
      </c>
      <c r="I1187" t="s">
        <v>148</v>
      </c>
      <c r="J1187">
        <v>33</v>
      </c>
      <c r="K1187">
        <v>44876.94</v>
      </c>
      <c r="L1187">
        <v>1480939.02</v>
      </c>
      <c r="M1187">
        <v>69461.72</v>
      </c>
      <c r="N1187">
        <v>0</v>
      </c>
      <c r="O1187">
        <v>1411477.3</v>
      </c>
      <c r="P1187" t="s">
        <v>32</v>
      </c>
      <c r="Q1187" t="s">
        <v>32</v>
      </c>
    </row>
    <row r="1188" spans="1:17" x14ac:dyDescent="0.25">
      <c r="A1188" t="s">
        <v>1305</v>
      </c>
      <c r="B1188" s="1">
        <v>46010</v>
      </c>
      <c r="C1188" t="s">
        <v>60</v>
      </c>
      <c r="D1188" t="s">
        <v>65</v>
      </c>
      <c r="E1188" t="s">
        <v>35</v>
      </c>
      <c r="F1188" t="s">
        <v>112</v>
      </c>
      <c r="G1188" t="s">
        <v>81</v>
      </c>
      <c r="H1188" t="s">
        <v>38</v>
      </c>
      <c r="I1188" t="s">
        <v>175</v>
      </c>
      <c r="J1188">
        <v>18</v>
      </c>
      <c r="K1188">
        <v>39767.949999999997</v>
      </c>
      <c r="L1188">
        <v>715823.1</v>
      </c>
      <c r="M1188">
        <v>68190.05</v>
      </c>
      <c r="N1188">
        <v>0</v>
      </c>
      <c r="O1188">
        <v>647633.05000000005</v>
      </c>
      <c r="P1188" t="s">
        <v>25</v>
      </c>
      <c r="Q1188" t="s">
        <v>26</v>
      </c>
    </row>
    <row r="1189" spans="1:17" x14ac:dyDescent="0.25">
      <c r="A1189" t="s">
        <v>1306</v>
      </c>
      <c r="B1189" s="1">
        <v>46037</v>
      </c>
      <c r="C1189" t="s">
        <v>79</v>
      </c>
      <c r="D1189" t="s">
        <v>91</v>
      </c>
      <c r="E1189" t="s">
        <v>35</v>
      </c>
      <c r="F1189" t="s">
        <v>62</v>
      </c>
      <c r="G1189" t="s">
        <v>22</v>
      </c>
      <c r="H1189" t="s">
        <v>38</v>
      </c>
      <c r="I1189" t="s">
        <v>108</v>
      </c>
      <c r="J1189">
        <v>11</v>
      </c>
      <c r="K1189">
        <v>18384.89</v>
      </c>
      <c r="L1189">
        <v>202233.79</v>
      </c>
      <c r="M1189">
        <v>0</v>
      </c>
      <c r="N1189">
        <v>0</v>
      </c>
      <c r="O1189">
        <v>202233.79</v>
      </c>
      <c r="P1189" t="s">
        <v>73</v>
      </c>
      <c r="Q1189" t="s">
        <v>32</v>
      </c>
    </row>
    <row r="1190" spans="1:17" x14ac:dyDescent="0.25">
      <c r="A1190" t="s">
        <v>1307</v>
      </c>
      <c r="B1190" s="1">
        <v>45976</v>
      </c>
      <c r="C1190" t="s">
        <v>18</v>
      </c>
      <c r="D1190" t="s">
        <v>28</v>
      </c>
      <c r="E1190" t="s">
        <v>35</v>
      </c>
      <c r="F1190" t="s">
        <v>112</v>
      </c>
      <c r="G1190" t="s">
        <v>56</v>
      </c>
      <c r="H1190" t="s">
        <v>94</v>
      </c>
      <c r="I1190" t="s">
        <v>177</v>
      </c>
      <c r="J1190">
        <v>48</v>
      </c>
      <c r="K1190">
        <v>2610.5300000000002</v>
      </c>
      <c r="L1190">
        <v>125305.44</v>
      </c>
      <c r="M1190">
        <v>0</v>
      </c>
      <c r="N1190">
        <v>0</v>
      </c>
      <c r="O1190">
        <v>125305.44</v>
      </c>
      <c r="P1190" t="s">
        <v>25</v>
      </c>
      <c r="Q1190" t="s">
        <v>128</v>
      </c>
    </row>
    <row r="1191" spans="1:17" x14ac:dyDescent="0.25">
      <c r="A1191" t="s">
        <v>1308</v>
      </c>
      <c r="B1191" s="1">
        <v>45997</v>
      </c>
      <c r="C1191" t="s">
        <v>60</v>
      </c>
      <c r="D1191" t="s">
        <v>65</v>
      </c>
      <c r="E1191" t="s">
        <v>49</v>
      </c>
      <c r="F1191" t="s">
        <v>50</v>
      </c>
      <c r="G1191" t="s">
        <v>63</v>
      </c>
      <c r="H1191" t="s">
        <v>23</v>
      </c>
      <c r="I1191" t="s">
        <v>110</v>
      </c>
      <c r="J1191">
        <v>2</v>
      </c>
      <c r="K1191">
        <v>48717.56</v>
      </c>
      <c r="L1191">
        <v>97435.12</v>
      </c>
      <c r="M1191">
        <v>17694.79</v>
      </c>
      <c r="N1191">
        <v>0</v>
      </c>
      <c r="O1191">
        <v>79740.33</v>
      </c>
      <c r="P1191" t="s">
        <v>73</v>
      </c>
      <c r="Q1191" t="s">
        <v>26</v>
      </c>
    </row>
    <row r="1192" spans="1:17" x14ac:dyDescent="0.25">
      <c r="A1192" t="s">
        <v>1309</v>
      </c>
      <c r="B1192" s="1">
        <v>46017</v>
      </c>
      <c r="C1192" t="s">
        <v>60</v>
      </c>
      <c r="D1192" t="s">
        <v>151</v>
      </c>
      <c r="E1192" t="s">
        <v>41</v>
      </c>
      <c r="F1192" t="s">
        <v>50</v>
      </c>
      <c r="G1192" t="s">
        <v>140</v>
      </c>
      <c r="H1192" t="s">
        <v>23</v>
      </c>
      <c r="I1192" t="s">
        <v>99</v>
      </c>
      <c r="J1192">
        <v>2</v>
      </c>
      <c r="K1192">
        <v>17969.05</v>
      </c>
      <c r="L1192">
        <v>35938.1</v>
      </c>
      <c r="M1192">
        <v>0</v>
      </c>
      <c r="N1192">
        <v>0</v>
      </c>
      <c r="O1192">
        <v>35938.1</v>
      </c>
      <c r="P1192" t="s">
        <v>31</v>
      </c>
      <c r="Q1192" t="s">
        <v>32</v>
      </c>
    </row>
    <row r="1193" spans="1:17" x14ac:dyDescent="0.25">
      <c r="A1193" t="s">
        <v>1310</v>
      </c>
      <c r="B1193" s="1">
        <v>46002</v>
      </c>
      <c r="C1193" t="s">
        <v>60</v>
      </c>
      <c r="D1193" t="s">
        <v>151</v>
      </c>
      <c r="E1193" t="s">
        <v>35</v>
      </c>
      <c r="F1193" t="s">
        <v>36</v>
      </c>
      <c r="G1193" t="s">
        <v>81</v>
      </c>
      <c r="H1193" t="s">
        <v>38</v>
      </c>
      <c r="I1193" t="s">
        <v>175</v>
      </c>
      <c r="J1193">
        <v>13</v>
      </c>
      <c r="K1193">
        <v>42669.95</v>
      </c>
      <c r="L1193">
        <v>554709.35</v>
      </c>
      <c r="M1193">
        <v>0</v>
      </c>
      <c r="N1193">
        <v>0</v>
      </c>
      <c r="O1193">
        <v>554709.35</v>
      </c>
      <c r="P1193" t="s">
        <v>31</v>
      </c>
      <c r="Q1193" t="s">
        <v>32</v>
      </c>
    </row>
    <row r="1194" spans="1:17" x14ac:dyDescent="0.25">
      <c r="A1194" t="s">
        <v>1311</v>
      </c>
      <c r="B1194" s="1">
        <v>45998</v>
      </c>
      <c r="C1194" t="s">
        <v>79</v>
      </c>
      <c r="D1194" t="s">
        <v>101</v>
      </c>
      <c r="E1194" t="s">
        <v>41</v>
      </c>
      <c r="F1194" t="s">
        <v>71</v>
      </c>
      <c r="G1194" t="s">
        <v>29</v>
      </c>
      <c r="H1194" t="s">
        <v>94</v>
      </c>
      <c r="I1194" t="s">
        <v>115</v>
      </c>
      <c r="J1194">
        <v>1</v>
      </c>
      <c r="K1194">
        <v>16456.55</v>
      </c>
      <c r="L1194">
        <v>16456.55</v>
      </c>
      <c r="M1194">
        <v>0</v>
      </c>
      <c r="N1194">
        <v>0</v>
      </c>
      <c r="O1194">
        <v>16456.55</v>
      </c>
      <c r="P1194" t="s">
        <v>73</v>
      </c>
      <c r="Q1194" t="s">
        <v>32</v>
      </c>
    </row>
    <row r="1195" spans="1:17" x14ac:dyDescent="0.25">
      <c r="A1195" t="s">
        <v>1312</v>
      </c>
      <c r="B1195" s="1">
        <v>46012</v>
      </c>
      <c r="C1195" t="s">
        <v>60</v>
      </c>
      <c r="D1195" t="s">
        <v>65</v>
      </c>
      <c r="E1195" t="s">
        <v>35</v>
      </c>
      <c r="F1195" t="s">
        <v>112</v>
      </c>
      <c r="G1195" t="s">
        <v>138</v>
      </c>
      <c r="H1195" t="s">
        <v>67</v>
      </c>
      <c r="I1195" t="s">
        <v>201</v>
      </c>
      <c r="J1195">
        <v>8</v>
      </c>
      <c r="K1195">
        <v>35990.129999999997</v>
      </c>
      <c r="L1195">
        <v>287921.03999999998</v>
      </c>
      <c r="M1195">
        <v>17639.259999999998</v>
      </c>
      <c r="N1195">
        <v>0</v>
      </c>
      <c r="O1195">
        <v>270281.78000000003</v>
      </c>
      <c r="P1195" t="s">
        <v>31</v>
      </c>
      <c r="Q1195" t="s">
        <v>32</v>
      </c>
    </row>
    <row r="1196" spans="1:17" x14ac:dyDescent="0.25">
      <c r="A1196" t="s">
        <v>1313</v>
      </c>
      <c r="B1196" s="1">
        <v>46044</v>
      </c>
      <c r="C1196" t="s">
        <v>60</v>
      </c>
      <c r="D1196" t="s">
        <v>123</v>
      </c>
      <c r="E1196" t="s">
        <v>35</v>
      </c>
      <c r="F1196" t="s">
        <v>137</v>
      </c>
      <c r="G1196" t="s">
        <v>138</v>
      </c>
      <c r="H1196" t="s">
        <v>23</v>
      </c>
      <c r="I1196" t="s">
        <v>30</v>
      </c>
      <c r="J1196">
        <v>28</v>
      </c>
      <c r="K1196">
        <v>40106.639999999999</v>
      </c>
      <c r="L1196">
        <v>1122985.92</v>
      </c>
      <c r="M1196">
        <v>55769.919999999998</v>
      </c>
      <c r="N1196">
        <v>0</v>
      </c>
      <c r="O1196">
        <v>1067216</v>
      </c>
      <c r="P1196" t="s">
        <v>32</v>
      </c>
      <c r="Q1196" t="s">
        <v>32</v>
      </c>
    </row>
    <row r="1197" spans="1:17" x14ac:dyDescent="0.25">
      <c r="A1197" t="s">
        <v>1314</v>
      </c>
      <c r="B1197" s="1">
        <v>45958</v>
      </c>
      <c r="C1197" t="s">
        <v>18</v>
      </c>
      <c r="D1197" t="s">
        <v>19</v>
      </c>
      <c r="E1197" t="s">
        <v>35</v>
      </c>
      <c r="F1197" t="s">
        <v>105</v>
      </c>
      <c r="G1197" t="s">
        <v>43</v>
      </c>
      <c r="H1197" t="s">
        <v>44</v>
      </c>
      <c r="I1197" t="s">
        <v>135</v>
      </c>
      <c r="J1197">
        <v>6</v>
      </c>
      <c r="K1197">
        <v>36889.75</v>
      </c>
      <c r="L1197">
        <v>221338.5</v>
      </c>
      <c r="M1197">
        <v>36103.040000000001</v>
      </c>
      <c r="N1197">
        <v>0</v>
      </c>
      <c r="O1197">
        <v>185235.46</v>
      </c>
      <c r="P1197" t="s">
        <v>32</v>
      </c>
      <c r="Q1197" t="s">
        <v>26</v>
      </c>
    </row>
    <row r="1198" spans="1:17" x14ac:dyDescent="0.25">
      <c r="A1198" t="s">
        <v>1315</v>
      </c>
      <c r="B1198" s="1">
        <v>45992</v>
      </c>
      <c r="C1198" t="s">
        <v>60</v>
      </c>
      <c r="D1198" t="s">
        <v>65</v>
      </c>
      <c r="E1198" t="s">
        <v>20</v>
      </c>
      <c r="F1198" t="s">
        <v>42</v>
      </c>
      <c r="G1198" t="s">
        <v>66</v>
      </c>
      <c r="H1198" t="s">
        <v>44</v>
      </c>
      <c r="I1198" t="s">
        <v>141</v>
      </c>
      <c r="J1198">
        <v>1</v>
      </c>
      <c r="K1198">
        <v>40962.769999999997</v>
      </c>
      <c r="L1198">
        <v>40962.769999999997</v>
      </c>
      <c r="M1198">
        <v>2618.38</v>
      </c>
      <c r="N1198">
        <v>0</v>
      </c>
      <c r="O1198">
        <v>38344.39</v>
      </c>
      <c r="P1198" t="s">
        <v>31</v>
      </c>
      <c r="Q1198" t="s">
        <v>32</v>
      </c>
    </row>
    <row r="1199" spans="1:17" x14ac:dyDescent="0.25">
      <c r="A1199" t="s">
        <v>1316</v>
      </c>
      <c r="B1199" s="1">
        <v>45991</v>
      </c>
      <c r="C1199" t="s">
        <v>47</v>
      </c>
      <c r="D1199" t="s">
        <v>114</v>
      </c>
      <c r="E1199" t="s">
        <v>49</v>
      </c>
      <c r="F1199" t="s">
        <v>137</v>
      </c>
      <c r="G1199" t="s">
        <v>89</v>
      </c>
      <c r="H1199" t="s">
        <v>38</v>
      </c>
      <c r="I1199" t="s">
        <v>108</v>
      </c>
      <c r="J1199">
        <v>48</v>
      </c>
      <c r="K1199">
        <v>40179.19</v>
      </c>
      <c r="L1199">
        <v>1928601.12</v>
      </c>
      <c r="M1199">
        <v>0</v>
      </c>
      <c r="N1199">
        <v>0</v>
      </c>
      <c r="O1199">
        <v>1928601.12</v>
      </c>
      <c r="P1199" t="s">
        <v>73</v>
      </c>
      <c r="Q1199" t="s">
        <v>32</v>
      </c>
    </row>
    <row r="1200" spans="1:17" x14ac:dyDescent="0.25">
      <c r="A1200" t="s">
        <v>1317</v>
      </c>
      <c r="B1200" s="1">
        <v>46007</v>
      </c>
      <c r="C1200" t="s">
        <v>54</v>
      </c>
      <c r="D1200" t="s">
        <v>133</v>
      </c>
      <c r="E1200" t="s">
        <v>49</v>
      </c>
      <c r="F1200" t="s">
        <v>36</v>
      </c>
      <c r="G1200" t="s">
        <v>89</v>
      </c>
      <c r="H1200" t="s">
        <v>23</v>
      </c>
      <c r="I1200" t="s">
        <v>110</v>
      </c>
      <c r="J1200">
        <v>28</v>
      </c>
      <c r="K1200">
        <v>45278.38</v>
      </c>
      <c r="L1200">
        <v>1267794.6399999999</v>
      </c>
      <c r="M1200">
        <v>66499.820000000007</v>
      </c>
      <c r="N1200">
        <v>0</v>
      </c>
      <c r="O1200">
        <v>1201294.82</v>
      </c>
      <c r="P1200" t="s">
        <v>32</v>
      </c>
      <c r="Q1200" t="s">
        <v>32</v>
      </c>
    </row>
    <row r="1201" spans="1:17" x14ac:dyDescent="0.25">
      <c r="A1201" t="s">
        <v>1318</v>
      </c>
      <c r="B1201" s="1">
        <v>46006</v>
      </c>
      <c r="C1201" t="s">
        <v>79</v>
      </c>
      <c r="D1201" t="s">
        <v>107</v>
      </c>
      <c r="E1201" t="s">
        <v>41</v>
      </c>
      <c r="F1201" t="s">
        <v>21</v>
      </c>
      <c r="G1201" t="s">
        <v>51</v>
      </c>
      <c r="H1201" t="s">
        <v>57</v>
      </c>
      <c r="I1201" t="s">
        <v>58</v>
      </c>
      <c r="J1201">
        <v>43</v>
      </c>
      <c r="K1201">
        <v>14651.66</v>
      </c>
      <c r="L1201">
        <v>630021.38</v>
      </c>
      <c r="M1201">
        <v>0</v>
      </c>
      <c r="N1201">
        <v>0</v>
      </c>
      <c r="O1201">
        <v>630021.38</v>
      </c>
      <c r="P1201" t="s">
        <v>73</v>
      </c>
      <c r="Q1201" t="s">
        <v>32</v>
      </c>
    </row>
    <row r="1202" spans="1:17" x14ac:dyDescent="0.25">
      <c r="A1202" t="s">
        <v>1319</v>
      </c>
      <c r="B1202" s="1">
        <v>45970</v>
      </c>
      <c r="C1202" t="s">
        <v>60</v>
      </c>
      <c r="D1202" t="s">
        <v>65</v>
      </c>
      <c r="E1202" t="s">
        <v>41</v>
      </c>
      <c r="F1202" t="s">
        <v>42</v>
      </c>
      <c r="G1202" t="s">
        <v>85</v>
      </c>
      <c r="H1202" t="s">
        <v>44</v>
      </c>
      <c r="I1202" t="s">
        <v>124</v>
      </c>
      <c r="J1202">
        <v>13</v>
      </c>
      <c r="K1202">
        <v>39955.89</v>
      </c>
      <c r="L1202">
        <v>519426.57</v>
      </c>
      <c r="M1202">
        <v>91499</v>
      </c>
      <c r="N1202">
        <v>0</v>
      </c>
      <c r="O1202">
        <v>427927.57</v>
      </c>
      <c r="P1202" t="s">
        <v>32</v>
      </c>
      <c r="Q1202" t="s">
        <v>32</v>
      </c>
    </row>
    <row r="1203" spans="1:17" x14ac:dyDescent="0.25">
      <c r="A1203" t="s">
        <v>1320</v>
      </c>
      <c r="B1203" s="1">
        <v>45999</v>
      </c>
      <c r="C1203" t="s">
        <v>79</v>
      </c>
      <c r="D1203" t="s">
        <v>80</v>
      </c>
      <c r="E1203" t="s">
        <v>35</v>
      </c>
      <c r="F1203" t="s">
        <v>137</v>
      </c>
      <c r="G1203" t="s">
        <v>102</v>
      </c>
      <c r="H1203" t="s">
        <v>94</v>
      </c>
      <c r="I1203" t="s">
        <v>144</v>
      </c>
      <c r="J1203">
        <v>32</v>
      </c>
      <c r="K1203">
        <v>37766.22</v>
      </c>
      <c r="L1203">
        <v>1208519.04</v>
      </c>
      <c r="M1203">
        <v>235782.45</v>
      </c>
      <c r="N1203">
        <v>313275.64</v>
      </c>
      <c r="O1203">
        <v>659460.94999999995</v>
      </c>
      <c r="P1203" t="s">
        <v>73</v>
      </c>
      <c r="Q1203" t="s">
        <v>32</v>
      </c>
    </row>
    <row r="1204" spans="1:17" x14ac:dyDescent="0.25">
      <c r="A1204" t="s">
        <v>1321</v>
      </c>
      <c r="B1204" s="1">
        <v>45957</v>
      </c>
      <c r="C1204" t="s">
        <v>18</v>
      </c>
      <c r="D1204" t="s">
        <v>19</v>
      </c>
      <c r="E1204" t="s">
        <v>35</v>
      </c>
      <c r="F1204" t="s">
        <v>84</v>
      </c>
      <c r="G1204" t="s">
        <v>56</v>
      </c>
      <c r="H1204" t="s">
        <v>94</v>
      </c>
      <c r="I1204" t="s">
        <v>95</v>
      </c>
      <c r="J1204">
        <v>7</v>
      </c>
      <c r="K1204">
        <v>40713.26</v>
      </c>
      <c r="L1204">
        <v>284992.82</v>
      </c>
      <c r="M1204">
        <v>20639.91</v>
      </c>
      <c r="N1204">
        <v>0</v>
      </c>
      <c r="O1204">
        <v>264352.90999999997</v>
      </c>
      <c r="P1204" t="s">
        <v>32</v>
      </c>
      <c r="Q1204" t="s">
        <v>32</v>
      </c>
    </row>
    <row r="1205" spans="1:17" x14ac:dyDescent="0.25">
      <c r="A1205" t="s">
        <v>1322</v>
      </c>
      <c r="B1205" s="1">
        <v>45958</v>
      </c>
      <c r="C1205" t="s">
        <v>54</v>
      </c>
      <c r="D1205" t="s">
        <v>70</v>
      </c>
      <c r="E1205" t="s">
        <v>35</v>
      </c>
      <c r="F1205" t="s">
        <v>50</v>
      </c>
      <c r="G1205" t="s">
        <v>85</v>
      </c>
      <c r="H1205" t="s">
        <v>94</v>
      </c>
      <c r="I1205" t="s">
        <v>144</v>
      </c>
      <c r="J1205">
        <v>12</v>
      </c>
      <c r="K1205">
        <v>2133.96</v>
      </c>
      <c r="L1205">
        <v>25607.52</v>
      </c>
      <c r="M1205">
        <v>722.9</v>
      </c>
      <c r="N1205">
        <v>0</v>
      </c>
      <c r="O1205">
        <v>24884.62</v>
      </c>
      <c r="P1205" t="s">
        <v>25</v>
      </c>
      <c r="Q1205" t="s">
        <v>26</v>
      </c>
    </row>
    <row r="1206" spans="1:17" x14ac:dyDescent="0.25">
      <c r="A1206" t="s">
        <v>1323</v>
      </c>
      <c r="B1206" s="1">
        <v>46042</v>
      </c>
      <c r="C1206" t="s">
        <v>47</v>
      </c>
      <c r="D1206" t="s">
        <v>127</v>
      </c>
      <c r="E1206" t="s">
        <v>35</v>
      </c>
      <c r="F1206" t="s">
        <v>50</v>
      </c>
      <c r="G1206" t="s">
        <v>51</v>
      </c>
      <c r="H1206" t="s">
        <v>38</v>
      </c>
      <c r="I1206" t="s">
        <v>39</v>
      </c>
      <c r="J1206">
        <v>48</v>
      </c>
      <c r="K1206">
        <v>27585.279999999999</v>
      </c>
      <c r="L1206">
        <v>1324093.4399999999</v>
      </c>
      <c r="M1206">
        <v>159589.19</v>
      </c>
      <c r="N1206">
        <v>0</v>
      </c>
      <c r="O1206">
        <v>1164504.25</v>
      </c>
      <c r="P1206" t="s">
        <v>32</v>
      </c>
      <c r="Q1206" t="s">
        <v>32</v>
      </c>
    </row>
    <row r="1207" spans="1:17" x14ac:dyDescent="0.25">
      <c r="A1207" t="s">
        <v>1324</v>
      </c>
      <c r="B1207" s="1">
        <v>45995</v>
      </c>
      <c r="C1207" t="s">
        <v>18</v>
      </c>
      <c r="D1207" t="s">
        <v>28</v>
      </c>
      <c r="E1207" t="s">
        <v>49</v>
      </c>
      <c r="F1207" t="s">
        <v>36</v>
      </c>
      <c r="G1207" t="s">
        <v>56</v>
      </c>
      <c r="H1207" t="s">
        <v>57</v>
      </c>
      <c r="I1207" t="s">
        <v>72</v>
      </c>
      <c r="J1207">
        <v>16</v>
      </c>
      <c r="K1207">
        <v>40233.07</v>
      </c>
      <c r="L1207">
        <v>643729.12</v>
      </c>
      <c r="M1207">
        <v>109853.69</v>
      </c>
      <c r="N1207">
        <v>0</v>
      </c>
      <c r="O1207">
        <v>533875.43000000005</v>
      </c>
      <c r="P1207" t="s">
        <v>32</v>
      </c>
      <c r="Q1207" t="s">
        <v>32</v>
      </c>
    </row>
    <row r="1208" spans="1:17" x14ac:dyDescent="0.25">
      <c r="A1208" t="s">
        <v>1325</v>
      </c>
      <c r="B1208" s="1">
        <v>45955</v>
      </c>
      <c r="C1208" t="s">
        <v>54</v>
      </c>
      <c r="D1208" t="s">
        <v>70</v>
      </c>
      <c r="E1208" t="s">
        <v>20</v>
      </c>
      <c r="F1208" t="s">
        <v>105</v>
      </c>
      <c r="G1208" t="s">
        <v>98</v>
      </c>
      <c r="H1208" t="s">
        <v>38</v>
      </c>
      <c r="I1208" t="s">
        <v>175</v>
      </c>
      <c r="J1208">
        <v>5</v>
      </c>
      <c r="K1208">
        <v>7209.33</v>
      </c>
      <c r="L1208">
        <v>36046.65</v>
      </c>
      <c r="M1208">
        <v>0</v>
      </c>
      <c r="N1208">
        <v>0</v>
      </c>
      <c r="O1208">
        <v>36046.65</v>
      </c>
      <c r="P1208" t="s">
        <v>73</v>
      </c>
      <c r="Q1208" t="s">
        <v>26</v>
      </c>
    </row>
    <row r="1209" spans="1:17" x14ac:dyDescent="0.25">
      <c r="A1209" t="s">
        <v>1326</v>
      </c>
      <c r="B1209" s="1">
        <v>45963</v>
      </c>
      <c r="C1209" t="s">
        <v>47</v>
      </c>
      <c r="D1209" t="s">
        <v>114</v>
      </c>
      <c r="E1209" t="s">
        <v>35</v>
      </c>
      <c r="F1209" t="s">
        <v>36</v>
      </c>
      <c r="G1209" t="s">
        <v>56</v>
      </c>
      <c r="H1209" t="s">
        <v>94</v>
      </c>
      <c r="I1209" t="s">
        <v>193</v>
      </c>
      <c r="J1209">
        <v>45</v>
      </c>
      <c r="K1209">
        <v>43125.82</v>
      </c>
      <c r="L1209">
        <v>1940661.9</v>
      </c>
      <c r="M1209">
        <v>170768.64000000001</v>
      </c>
      <c r="N1209">
        <v>0</v>
      </c>
      <c r="O1209">
        <v>1769893.26</v>
      </c>
      <c r="P1209" t="s">
        <v>32</v>
      </c>
      <c r="Q1209" t="s">
        <v>26</v>
      </c>
    </row>
    <row r="1210" spans="1:17" x14ac:dyDescent="0.25">
      <c r="A1210" t="s">
        <v>1327</v>
      </c>
      <c r="B1210" s="1">
        <v>46027</v>
      </c>
      <c r="C1210" t="s">
        <v>47</v>
      </c>
      <c r="D1210" t="s">
        <v>48</v>
      </c>
      <c r="E1210" t="s">
        <v>20</v>
      </c>
      <c r="F1210" t="s">
        <v>62</v>
      </c>
      <c r="G1210" t="s">
        <v>51</v>
      </c>
      <c r="H1210" t="s">
        <v>94</v>
      </c>
      <c r="I1210" t="s">
        <v>163</v>
      </c>
      <c r="J1210">
        <v>12</v>
      </c>
      <c r="K1210">
        <v>3690.55</v>
      </c>
      <c r="L1210">
        <v>44286.6</v>
      </c>
      <c r="M1210">
        <v>1000.46</v>
      </c>
      <c r="N1210">
        <v>0</v>
      </c>
      <c r="O1210">
        <v>43286.14</v>
      </c>
      <c r="P1210" t="s">
        <v>73</v>
      </c>
      <c r="Q1210" t="s">
        <v>26</v>
      </c>
    </row>
    <row r="1211" spans="1:17" x14ac:dyDescent="0.25">
      <c r="A1211" t="s">
        <v>1328</v>
      </c>
      <c r="B1211" s="1">
        <v>46000</v>
      </c>
      <c r="C1211" t="s">
        <v>18</v>
      </c>
      <c r="D1211" t="s">
        <v>28</v>
      </c>
      <c r="E1211" t="s">
        <v>35</v>
      </c>
      <c r="F1211" t="s">
        <v>50</v>
      </c>
      <c r="G1211" t="s">
        <v>63</v>
      </c>
      <c r="H1211" t="s">
        <v>44</v>
      </c>
      <c r="I1211" t="s">
        <v>281</v>
      </c>
      <c r="J1211">
        <v>32</v>
      </c>
      <c r="K1211">
        <v>49232.98</v>
      </c>
      <c r="L1211">
        <v>1575455.36</v>
      </c>
      <c r="M1211">
        <v>282642.43</v>
      </c>
      <c r="N1211">
        <v>0</v>
      </c>
      <c r="O1211">
        <v>1292812.93</v>
      </c>
      <c r="P1211" t="s">
        <v>31</v>
      </c>
      <c r="Q1211" t="s">
        <v>32</v>
      </c>
    </row>
    <row r="1212" spans="1:17" x14ac:dyDescent="0.25">
      <c r="A1212" t="s">
        <v>1329</v>
      </c>
      <c r="B1212" s="1">
        <v>45997</v>
      </c>
      <c r="C1212" t="s">
        <v>60</v>
      </c>
      <c r="D1212" t="s">
        <v>123</v>
      </c>
      <c r="E1212" t="s">
        <v>20</v>
      </c>
      <c r="F1212" t="s">
        <v>36</v>
      </c>
      <c r="G1212" t="s">
        <v>102</v>
      </c>
      <c r="H1212" t="s">
        <v>67</v>
      </c>
      <c r="I1212" t="s">
        <v>103</v>
      </c>
      <c r="J1212">
        <v>8</v>
      </c>
      <c r="K1212">
        <v>29850.62</v>
      </c>
      <c r="L1212">
        <v>238804.96</v>
      </c>
      <c r="M1212">
        <v>45483.48</v>
      </c>
      <c r="N1212">
        <v>0</v>
      </c>
      <c r="O1212">
        <v>193321.48</v>
      </c>
      <c r="P1212" t="s">
        <v>73</v>
      </c>
      <c r="Q1212" t="s">
        <v>26</v>
      </c>
    </row>
    <row r="1213" spans="1:17" x14ac:dyDescent="0.25">
      <c r="A1213" t="s">
        <v>1330</v>
      </c>
      <c r="B1213" s="1">
        <v>45970</v>
      </c>
      <c r="C1213" t="s">
        <v>60</v>
      </c>
      <c r="D1213" t="s">
        <v>123</v>
      </c>
      <c r="E1213" t="s">
        <v>49</v>
      </c>
      <c r="F1213" t="s">
        <v>62</v>
      </c>
      <c r="G1213" t="s">
        <v>37</v>
      </c>
      <c r="H1213" t="s">
        <v>67</v>
      </c>
      <c r="I1213" t="s">
        <v>170</v>
      </c>
      <c r="J1213">
        <v>26</v>
      </c>
      <c r="K1213">
        <v>19343.18</v>
      </c>
      <c r="L1213">
        <v>502922.68</v>
      </c>
      <c r="M1213">
        <v>84144</v>
      </c>
      <c r="N1213">
        <v>0</v>
      </c>
      <c r="O1213">
        <v>418778.68</v>
      </c>
      <c r="P1213" t="s">
        <v>32</v>
      </c>
      <c r="Q1213" t="s">
        <v>32</v>
      </c>
    </row>
    <row r="1214" spans="1:17" x14ac:dyDescent="0.25">
      <c r="A1214" t="s">
        <v>1331</v>
      </c>
      <c r="B1214" s="1">
        <v>45959</v>
      </c>
      <c r="C1214" t="s">
        <v>18</v>
      </c>
      <c r="D1214" t="s">
        <v>34</v>
      </c>
      <c r="E1214" t="s">
        <v>41</v>
      </c>
      <c r="F1214" t="s">
        <v>71</v>
      </c>
      <c r="G1214" t="s">
        <v>81</v>
      </c>
      <c r="H1214" t="s">
        <v>44</v>
      </c>
      <c r="I1214" t="s">
        <v>141</v>
      </c>
      <c r="J1214">
        <v>41</v>
      </c>
      <c r="K1214">
        <v>45808.72</v>
      </c>
      <c r="L1214">
        <v>1878157.52</v>
      </c>
      <c r="M1214">
        <v>0</v>
      </c>
      <c r="N1214">
        <v>0</v>
      </c>
      <c r="O1214">
        <v>1878157.52</v>
      </c>
      <c r="P1214" t="s">
        <v>31</v>
      </c>
      <c r="Q1214" t="s">
        <v>32</v>
      </c>
    </row>
    <row r="1215" spans="1:17" x14ac:dyDescent="0.25">
      <c r="A1215" t="s">
        <v>1332</v>
      </c>
      <c r="B1215" s="1">
        <v>45975</v>
      </c>
      <c r="C1215" t="s">
        <v>54</v>
      </c>
      <c r="D1215" t="s">
        <v>55</v>
      </c>
      <c r="E1215" t="s">
        <v>41</v>
      </c>
      <c r="F1215" t="s">
        <v>42</v>
      </c>
      <c r="G1215" t="s">
        <v>98</v>
      </c>
      <c r="H1215" t="s">
        <v>23</v>
      </c>
      <c r="I1215" t="s">
        <v>30</v>
      </c>
      <c r="J1215">
        <v>4</v>
      </c>
      <c r="K1215">
        <v>1310.75</v>
      </c>
      <c r="L1215">
        <v>5243</v>
      </c>
      <c r="M1215">
        <v>784.73</v>
      </c>
      <c r="N1215">
        <v>0</v>
      </c>
      <c r="O1215">
        <v>4458.2700000000004</v>
      </c>
      <c r="P1215" t="s">
        <v>31</v>
      </c>
      <c r="Q1215" t="s">
        <v>32</v>
      </c>
    </row>
    <row r="1216" spans="1:17" x14ac:dyDescent="0.25">
      <c r="A1216" t="s">
        <v>1333</v>
      </c>
      <c r="B1216" s="1">
        <v>46016</v>
      </c>
      <c r="C1216" t="s">
        <v>18</v>
      </c>
      <c r="D1216" t="s">
        <v>19</v>
      </c>
      <c r="E1216" t="s">
        <v>49</v>
      </c>
      <c r="F1216" t="s">
        <v>62</v>
      </c>
      <c r="G1216" t="s">
        <v>138</v>
      </c>
      <c r="H1216" t="s">
        <v>94</v>
      </c>
      <c r="I1216" t="s">
        <v>95</v>
      </c>
      <c r="J1216">
        <v>33</v>
      </c>
      <c r="K1216">
        <v>34551.160000000003</v>
      </c>
      <c r="L1216">
        <v>1140188.28</v>
      </c>
      <c r="M1216">
        <v>208616.81</v>
      </c>
      <c r="N1216">
        <v>220349.13</v>
      </c>
      <c r="O1216">
        <v>711222.34</v>
      </c>
      <c r="P1216" t="s">
        <v>32</v>
      </c>
      <c r="Q1216" t="s">
        <v>32</v>
      </c>
    </row>
    <row r="1217" spans="1:17" x14ac:dyDescent="0.25">
      <c r="A1217" t="s">
        <v>1334</v>
      </c>
      <c r="B1217" s="1">
        <v>45992</v>
      </c>
      <c r="C1217" t="s">
        <v>54</v>
      </c>
      <c r="D1217" t="s">
        <v>97</v>
      </c>
      <c r="E1217" t="s">
        <v>49</v>
      </c>
      <c r="F1217" t="s">
        <v>137</v>
      </c>
      <c r="G1217" t="s">
        <v>56</v>
      </c>
      <c r="H1217" t="s">
        <v>57</v>
      </c>
      <c r="I1217" t="s">
        <v>118</v>
      </c>
      <c r="J1217">
        <v>26</v>
      </c>
      <c r="K1217">
        <v>21226.21</v>
      </c>
      <c r="L1217">
        <v>551881.46</v>
      </c>
      <c r="M1217">
        <v>65555.61</v>
      </c>
      <c r="N1217">
        <v>0</v>
      </c>
      <c r="O1217">
        <v>486325.85</v>
      </c>
      <c r="P1217" t="s">
        <v>73</v>
      </c>
      <c r="Q1217" t="s">
        <v>26</v>
      </c>
    </row>
    <row r="1218" spans="1:17" x14ac:dyDescent="0.25">
      <c r="A1218" t="s">
        <v>1335</v>
      </c>
      <c r="B1218" s="1">
        <v>46004</v>
      </c>
      <c r="C1218" t="s">
        <v>54</v>
      </c>
      <c r="D1218" t="s">
        <v>133</v>
      </c>
      <c r="E1218" t="s">
        <v>35</v>
      </c>
      <c r="F1218" t="s">
        <v>62</v>
      </c>
      <c r="G1218" t="s">
        <v>43</v>
      </c>
      <c r="H1218" t="s">
        <v>94</v>
      </c>
      <c r="I1218" t="s">
        <v>95</v>
      </c>
      <c r="J1218">
        <v>37</v>
      </c>
      <c r="K1218">
        <v>44675.06</v>
      </c>
      <c r="L1218">
        <v>1652977.22</v>
      </c>
      <c r="M1218">
        <v>0</v>
      </c>
      <c r="N1218">
        <v>0</v>
      </c>
      <c r="O1218">
        <v>1652977.22</v>
      </c>
      <c r="P1218" t="s">
        <v>25</v>
      </c>
      <c r="Q1218" t="s">
        <v>26</v>
      </c>
    </row>
    <row r="1219" spans="1:17" x14ac:dyDescent="0.25">
      <c r="A1219" t="s">
        <v>1336</v>
      </c>
      <c r="B1219" s="1">
        <v>45999</v>
      </c>
      <c r="C1219" t="s">
        <v>54</v>
      </c>
      <c r="D1219" t="s">
        <v>70</v>
      </c>
      <c r="E1219" t="s">
        <v>35</v>
      </c>
      <c r="F1219" t="s">
        <v>105</v>
      </c>
      <c r="G1219" t="s">
        <v>29</v>
      </c>
      <c r="H1219" t="s">
        <v>67</v>
      </c>
      <c r="I1219" t="s">
        <v>154</v>
      </c>
      <c r="J1219">
        <v>34</v>
      </c>
      <c r="K1219">
        <v>17081.05</v>
      </c>
      <c r="L1219">
        <v>580755.69999999995</v>
      </c>
      <c r="M1219">
        <v>29227.45</v>
      </c>
      <c r="N1219">
        <v>0</v>
      </c>
      <c r="O1219">
        <v>551528.25</v>
      </c>
      <c r="P1219" t="s">
        <v>32</v>
      </c>
      <c r="Q1219" t="s">
        <v>26</v>
      </c>
    </row>
    <row r="1220" spans="1:17" x14ac:dyDescent="0.25">
      <c r="A1220" t="s">
        <v>1337</v>
      </c>
      <c r="B1220" s="1">
        <v>46040</v>
      </c>
      <c r="C1220" t="s">
        <v>54</v>
      </c>
      <c r="D1220" t="s">
        <v>70</v>
      </c>
      <c r="E1220" t="s">
        <v>20</v>
      </c>
      <c r="F1220" t="s">
        <v>71</v>
      </c>
      <c r="G1220" t="s">
        <v>37</v>
      </c>
      <c r="H1220" t="s">
        <v>23</v>
      </c>
      <c r="I1220" t="s">
        <v>30</v>
      </c>
      <c r="J1220">
        <v>1</v>
      </c>
      <c r="K1220">
        <v>3558.4</v>
      </c>
      <c r="L1220">
        <v>3558.4</v>
      </c>
      <c r="M1220">
        <v>102.72</v>
      </c>
      <c r="N1220">
        <v>0</v>
      </c>
      <c r="O1220">
        <v>3455.68</v>
      </c>
      <c r="P1220" t="s">
        <v>25</v>
      </c>
      <c r="Q1220" t="s">
        <v>26</v>
      </c>
    </row>
    <row r="1221" spans="1:17" x14ac:dyDescent="0.25">
      <c r="A1221" t="s">
        <v>1338</v>
      </c>
      <c r="B1221" s="1">
        <v>45970</v>
      </c>
      <c r="C1221" t="s">
        <v>79</v>
      </c>
      <c r="D1221" t="s">
        <v>101</v>
      </c>
      <c r="E1221" t="s">
        <v>41</v>
      </c>
      <c r="F1221" t="s">
        <v>137</v>
      </c>
      <c r="G1221" t="s">
        <v>51</v>
      </c>
      <c r="H1221" t="s">
        <v>67</v>
      </c>
      <c r="I1221" t="s">
        <v>103</v>
      </c>
      <c r="J1221">
        <v>40</v>
      </c>
      <c r="K1221">
        <v>43108.14</v>
      </c>
      <c r="L1221">
        <v>1724325.6</v>
      </c>
      <c r="M1221">
        <v>0</v>
      </c>
      <c r="N1221">
        <v>268529.53000000003</v>
      </c>
      <c r="O1221">
        <v>1455796.07</v>
      </c>
      <c r="P1221" t="s">
        <v>31</v>
      </c>
      <c r="Q1221" t="s">
        <v>32</v>
      </c>
    </row>
    <row r="1222" spans="1:17" x14ac:dyDescent="0.25">
      <c r="A1222" t="s">
        <v>1339</v>
      </c>
      <c r="B1222" s="1">
        <v>45979</v>
      </c>
      <c r="C1222" t="s">
        <v>18</v>
      </c>
      <c r="D1222" t="s">
        <v>75</v>
      </c>
      <c r="E1222" t="s">
        <v>20</v>
      </c>
      <c r="F1222" t="s">
        <v>112</v>
      </c>
      <c r="G1222" t="s">
        <v>43</v>
      </c>
      <c r="H1222" t="s">
        <v>67</v>
      </c>
      <c r="I1222" t="s">
        <v>170</v>
      </c>
      <c r="J1222">
        <v>12</v>
      </c>
      <c r="K1222">
        <v>10781.08</v>
      </c>
      <c r="L1222">
        <v>129372.96</v>
      </c>
      <c r="M1222">
        <v>0</v>
      </c>
      <c r="N1222">
        <v>7560.95</v>
      </c>
      <c r="O1222">
        <v>121812.01</v>
      </c>
      <c r="P1222" t="s">
        <v>32</v>
      </c>
      <c r="Q1222" t="s">
        <v>32</v>
      </c>
    </row>
    <row r="1223" spans="1:17" x14ac:dyDescent="0.25">
      <c r="A1223" t="s">
        <v>1340</v>
      </c>
      <c r="B1223" s="1">
        <v>45959</v>
      </c>
      <c r="C1223" t="s">
        <v>47</v>
      </c>
      <c r="D1223" t="s">
        <v>48</v>
      </c>
      <c r="E1223" t="s">
        <v>20</v>
      </c>
      <c r="F1223" t="s">
        <v>112</v>
      </c>
      <c r="G1223" t="s">
        <v>138</v>
      </c>
      <c r="H1223" t="s">
        <v>38</v>
      </c>
      <c r="I1223" t="s">
        <v>175</v>
      </c>
      <c r="J1223">
        <v>46</v>
      </c>
      <c r="K1223">
        <v>46589.4</v>
      </c>
      <c r="L1223">
        <v>2143112.4</v>
      </c>
      <c r="M1223">
        <v>129658.6</v>
      </c>
      <c r="N1223">
        <v>0</v>
      </c>
      <c r="O1223">
        <v>2013453.8</v>
      </c>
      <c r="P1223" t="s">
        <v>32</v>
      </c>
      <c r="Q1223" t="s">
        <v>32</v>
      </c>
    </row>
    <row r="1224" spans="1:17" x14ac:dyDescent="0.25">
      <c r="A1224" t="s">
        <v>1341</v>
      </c>
      <c r="B1224" s="1">
        <v>46036</v>
      </c>
      <c r="C1224" t="s">
        <v>18</v>
      </c>
      <c r="D1224" t="s">
        <v>28</v>
      </c>
      <c r="E1224" t="s">
        <v>20</v>
      </c>
      <c r="F1224" t="s">
        <v>50</v>
      </c>
      <c r="G1224" t="s">
        <v>140</v>
      </c>
      <c r="H1224" t="s">
        <v>67</v>
      </c>
      <c r="I1224" t="s">
        <v>154</v>
      </c>
      <c r="J1224">
        <v>28</v>
      </c>
      <c r="K1224">
        <v>26340.77</v>
      </c>
      <c r="L1224">
        <v>737541.56</v>
      </c>
      <c r="M1224">
        <v>37340.730000000003</v>
      </c>
      <c r="N1224">
        <v>178726.52</v>
      </c>
      <c r="O1224">
        <v>521474.31</v>
      </c>
      <c r="P1224" t="s">
        <v>31</v>
      </c>
      <c r="Q1224" t="s">
        <v>32</v>
      </c>
    </row>
    <row r="1225" spans="1:17" x14ac:dyDescent="0.25">
      <c r="A1225" t="s">
        <v>1342</v>
      </c>
      <c r="B1225" s="1">
        <v>46009</v>
      </c>
      <c r="C1225" t="s">
        <v>47</v>
      </c>
      <c r="D1225" t="s">
        <v>88</v>
      </c>
      <c r="E1225" t="s">
        <v>41</v>
      </c>
      <c r="F1225" t="s">
        <v>42</v>
      </c>
      <c r="G1225" t="s">
        <v>43</v>
      </c>
      <c r="H1225" t="s">
        <v>94</v>
      </c>
      <c r="I1225" t="s">
        <v>115</v>
      </c>
      <c r="J1225">
        <v>5</v>
      </c>
      <c r="K1225">
        <v>27060.04</v>
      </c>
      <c r="L1225">
        <v>135300.20000000001</v>
      </c>
      <c r="M1225">
        <v>0</v>
      </c>
      <c r="N1225">
        <v>35515.910000000003</v>
      </c>
      <c r="O1225">
        <v>99784.29</v>
      </c>
      <c r="P1225" t="s">
        <v>73</v>
      </c>
      <c r="Q1225" t="s">
        <v>32</v>
      </c>
    </row>
    <row r="1226" spans="1:17" x14ac:dyDescent="0.25">
      <c r="A1226" t="s">
        <v>1343</v>
      </c>
      <c r="B1226" s="1">
        <v>46038</v>
      </c>
      <c r="C1226" t="s">
        <v>54</v>
      </c>
      <c r="D1226" t="s">
        <v>70</v>
      </c>
      <c r="E1226" t="s">
        <v>35</v>
      </c>
      <c r="F1226" t="s">
        <v>36</v>
      </c>
      <c r="G1226" t="s">
        <v>85</v>
      </c>
      <c r="H1226" t="s">
        <v>44</v>
      </c>
      <c r="I1226" t="s">
        <v>45</v>
      </c>
      <c r="J1226">
        <v>26</v>
      </c>
      <c r="K1226">
        <v>29808.47</v>
      </c>
      <c r="L1226">
        <v>775020.22</v>
      </c>
      <c r="M1226">
        <v>150683.19</v>
      </c>
      <c r="N1226">
        <v>0</v>
      </c>
      <c r="O1226">
        <v>624337.03</v>
      </c>
      <c r="P1226" t="s">
        <v>73</v>
      </c>
      <c r="Q1226" t="s">
        <v>32</v>
      </c>
    </row>
    <row r="1227" spans="1:17" x14ac:dyDescent="0.25">
      <c r="A1227" t="s">
        <v>1344</v>
      </c>
      <c r="B1227" s="1">
        <v>46017</v>
      </c>
      <c r="C1227" t="s">
        <v>47</v>
      </c>
      <c r="D1227" t="s">
        <v>88</v>
      </c>
      <c r="E1227" t="s">
        <v>49</v>
      </c>
      <c r="F1227" t="s">
        <v>36</v>
      </c>
      <c r="G1227" t="s">
        <v>66</v>
      </c>
      <c r="H1227" t="s">
        <v>67</v>
      </c>
      <c r="I1227" t="s">
        <v>77</v>
      </c>
      <c r="J1227">
        <v>50</v>
      </c>
      <c r="K1227">
        <v>50106.44</v>
      </c>
      <c r="L1227">
        <v>2505322</v>
      </c>
      <c r="M1227">
        <v>0</v>
      </c>
      <c r="N1227">
        <v>0</v>
      </c>
      <c r="O1227">
        <v>2505322</v>
      </c>
      <c r="P1227" t="s">
        <v>31</v>
      </c>
      <c r="Q1227" t="s">
        <v>32</v>
      </c>
    </row>
    <row r="1228" spans="1:17" x14ac:dyDescent="0.25">
      <c r="A1228" t="s">
        <v>1345</v>
      </c>
      <c r="B1228" s="1">
        <v>46027</v>
      </c>
      <c r="C1228" t="s">
        <v>47</v>
      </c>
      <c r="D1228" t="s">
        <v>127</v>
      </c>
      <c r="E1228" t="s">
        <v>49</v>
      </c>
      <c r="F1228" t="s">
        <v>42</v>
      </c>
      <c r="G1228" t="s">
        <v>29</v>
      </c>
      <c r="H1228" t="s">
        <v>67</v>
      </c>
      <c r="I1228" t="s">
        <v>170</v>
      </c>
      <c r="J1228">
        <v>36</v>
      </c>
      <c r="K1228">
        <v>2836.75</v>
      </c>
      <c r="L1228">
        <v>102123</v>
      </c>
      <c r="M1228">
        <v>9648.0300000000007</v>
      </c>
      <c r="N1228">
        <v>0</v>
      </c>
      <c r="O1228">
        <v>92474.97</v>
      </c>
      <c r="P1228" t="s">
        <v>31</v>
      </c>
      <c r="Q1228" t="s">
        <v>32</v>
      </c>
    </row>
    <row r="1229" spans="1:17" x14ac:dyDescent="0.25">
      <c r="A1229" t="s">
        <v>1346</v>
      </c>
      <c r="B1229" s="1">
        <v>45990</v>
      </c>
      <c r="C1229" t="s">
        <v>18</v>
      </c>
      <c r="D1229" t="s">
        <v>19</v>
      </c>
      <c r="E1229" t="s">
        <v>41</v>
      </c>
      <c r="F1229" t="s">
        <v>71</v>
      </c>
      <c r="G1229" t="s">
        <v>29</v>
      </c>
      <c r="H1229" t="s">
        <v>23</v>
      </c>
      <c r="I1229" t="s">
        <v>131</v>
      </c>
      <c r="J1229">
        <v>21</v>
      </c>
      <c r="K1229">
        <v>11259.82</v>
      </c>
      <c r="L1229">
        <v>236456.22</v>
      </c>
      <c r="M1229">
        <v>0</v>
      </c>
      <c r="N1229">
        <v>0</v>
      </c>
      <c r="O1229">
        <v>236456.22</v>
      </c>
      <c r="P1229" t="s">
        <v>73</v>
      </c>
      <c r="Q1229" t="s">
        <v>32</v>
      </c>
    </row>
    <row r="1230" spans="1:17" x14ac:dyDescent="0.25">
      <c r="A1230" t="s">
        <v>1347</v>
      </c>
      <c r="B1230" s="1">
        <v>46018</v>
      </c>
      <c r="C1230" t="s">
        <v>47</v>
      </c>
      <c r="D1230" t="s">
        <v>114</v>
      </c>
      <c r="E1230" t="s">
        <v>20</v>
      </c>
      <c r="F1230" t="s">
        <v>50</v>
      </c>
      <c r="G1230" t="s">
        <v>37</v>
      </c>
      <c r="H1230" t="s">
        <v>44</v>
      </c>
      <c r="I1230" t="s">
        <v>135</v>
      </c>
      <c r="J1230">
        <v>22</v>
      </c>
      <c r="K1230">
        <v>21611.69</v>
      </c>
      <c r="L1230">
        <v>475457.18</v>
      </c>
      <c r="M1230">
        <v>0</v>
      </c>
      <c r="N1230">
        <v>123987.35</v>
      </c>
      <c r="O1230">
        <v>351469.83</v>
      </c>
      <c r="P1230" t="s">
        <v>73</v>
      </c>
      <c r="Q1230" t="s">
        <v>32</v>
      </c>
    </row>
    <row r="1231" spans="1:17" x14ac:dyDescent="0.25">
      <c r="A1231" t="s">
        <v>1348</v>
      </c>
      <c r="B1231" s="1">
        <v>45981</v>
      </c>
      <c r="C1231" t="s">
        <v>18</v>
      </c>
      <c r="D1231" t="s">
        <v>19</v>
      </c>
      <c r="E1231" t="s">
        <v>35</v>
      </c>
      <c r="F1231" t="s">
        <v>50</v>
      </c>
      <c r="G1231" t="s">
        <v>37</v>
      </c>
      <c r="H1231" t="s">
        <v>94</v>
      </c>
      <c r="I1231" t="s">
        <v>95</v>
      </c>
      <c r="J1231">
        <v>33</v>
      </c>
      <c r="K1231">
        <v>27480.62</v>
      </c>
      <c r="L1231">
        <v>906860.46</v>
      </c>
      <c r="M1231">
        <v>107415.02</v>
      </c>
      <c r="N1231">
        <v>0</v>
      </c>
      <c r="O1231">
        <v>799445.44</v>
      </c>
      <c r="P1231" t="s">
        <v>31</v>
      </c>
      <c r="Q1231" t="s">
        <v>32</v>
      </c>
    </row>
    <row r="1232" spans="1:17" x14ac:dyDescent="0.25">
      <c r="A1232" t="s">
        <v>1349</v>
      </c>
      <c r="B1232" s="1">
        <v>46021</v>
      </c>
      <c r="C1232" t="s">
        <v>54</v>
      </c>
      <c r="D1232" t="s">
        <v>97</v>
      </c>
      <c r="E1232" t="s">
        <v>41</v>
      </c>
      <c r="F1232" t="s">
        <v>50</v>
      </c>
      <c r="G1232" t="s">
        <v>43</v>
      </c>
      <c r="H1232" t="s">
        <v>67</v>
      </c>
      <c r="I1232" t="s">
        <v>68</v>
      </c>
      <c r="J1232">
        <v>44</v>
      </c>
      <c r="K1232">
        <v>16172.44</v>
      </c>
      <c r="L1232">
        <v>711587.36</v>
      </c>
      <c r="M1232">
        <v>26033.42</v>
      </c>
      <c r="N1232">
        <v>0</v>
      </c>
      <c r="O1232">
        <v>685553.94</v>
      </c>
      <c r="P1232" t="s">
        <v>25</v>
      </c>
      <c r="Q1232" t="s">
        <v>26</v>
      </c>
    </row>
    <row r="1233" spans="1:17" x14ac:dyDescent="0.25">
      <c r="A1233" t="s">
        <v>1350</v>
      </c>
      <c r="B1233" s="1">
        <v>45990</v>
      </c>
      <c r="C1233" t="s">
        <v>54</v>
      </c>
      <c r="D1233" t="s">
        <v>97</v>
      </c>
      <c r="E1233" t="s">
        <v>35</v>
      </c>
      <c r="F1233" t="s">
        <v>21</v>
      </c>
      <c r="G1233" t="s">
        <v>138</v>
      </c>
      <c r="H1233" t="s">
        <v>38</v>
      </c>
      <c r="I1233" t="s">
        <v>82</v>
      </c>
      <c r="J1233">
        <v>23</v>
      </c>
      <c r="K1233">
        <v>11942.4</v>
      </c>
      <c r="L1233">
        <v>274675.20000000001</v>
      </c>
      <c r="M1233">
        <v>0</v>
      </c>
      <c r="N1233">
        <v>0</v>
      </c>
      <c r="O1233">
        <v>274675.20000000001</v>
      </c>
      <c r="P1233" t="s">
        <v>31</v>
      </c>
      <c r="Q1233" t="s">
        <v>32</v>
      </c>
    </row>
    <row r="1234" spans="1:17" x14ac:dyDescent="0.25">
      <c r="A1234" t="s">
        <v>1351</v>
      </c>
      <c r="B1234" s="1">
        <v>45956</v>
      </c>
      <c r="C1234" t="s">
        <v>47</v>
      </c>
      <c r="D1234" t="s">
        <v>48</v>
      </c>
      <c r="E1234" t="s">
        <v>35</v>
      </c>
      <c r="F1234" t="s">
        <v>112</v>
      </c>
      <c r="G1234" t="s">
        <v>56</v>
      </c>
      <c r="H1234" t="s">
        <v>23</v>
      </c>
      <c r="I1234" t="s">
        <v>131</v>
      </c>
      <c r="J1234">
        <v>48</v>
      </c>
      <c r="K1234">
        <v>44309.31</v>
      </c>
      <c r="L1234">
        <v>2126846.88</v>
      </c>
      <c r="M1234">
        <v>0</v>
      </c>
      <c r="N1234">
        <v>0</v>
      </c>
      <c r="O1234">
        <v>2126846.88</v>
      </c>
      <c r="P1234" t="s">
        <v>31</v>
      </c>
      <c r="Q1234" t="s">
        <v>32</v>
      </c>
    </row>
    <row r="1235" spans="1:17" x14ac:dyDescent="0.25">
      <c r="A1235" t="s">
        <v>1352</v>
      </c>
      <c r="B1235" s="1">
        <v>46007</v>
      </c>
      <c r="C1235" t="s">
        <v>79</v>
      </c>
      <c r="D1235" t="s">
        <v>107</v>
      </c>
      <c r="E1235" t="s">
        <v>41</v>
      </c>
      <c r="F1235" t="s">
        <v>36</v>
      </c>
      <c r="G1235" t="s">
        <v>85</v>
      </c>
      <c r="H1235" t="s">
        <v>94</v>
      </c>
      <c r="I1235" t="s">
        <v>193</v>
      </c>
      <c r="J1235">
        <v>36</v>
      </c>
      <c r="K1235">
        <v>3074.98</v>
      </c>
      <c r="L1235">
        <v>110699.28</v>
      </c>
      <c r="M1235">
        <v>0</v>
      </c>
      <c r="N1235">
        <v>28965.46</v>
      </c>
      <c r="O1235">
        <v>81733.820000000007</v>
      </c>
      <c r="P1235" t="s">
        <v>31</v>
      </c>
      <c r="Q1235" t="s">
        <v>32</v>
      </c>
    </row>
    <row r="1236" spans="1:17" x14ac:dyDescent="0.25">
      <c r="A1236" t="s">
        <v>1353</v>
      </c>
      <c r="B1236" s="1">
        <v>45982</v>
      </c>
      <c r="C1236" t="s">
        <v>54</v>
      </c>
      <c r="D1236" t="s">
        <v>70</v>
      </c>
      <c r="E1236" t="s">
        <v>20</v>
      </c>
      <c r="F1236" t="s">
        <v>62</v>
      </c>
      <c r="G1236" t="s">
        <v>89</v>
      </c>
      <c r="H1236" t="s">
        <v>23</v>
      </c>
      <c r="I1236" t="s">
        <v>99</v>
      </c>
      <c r="J1236">
        <v>46</v>
      </c>
      <c r="K1236">
        <v>15179.44</v>
      </c>
      <c r="L1236">
        <v>698254.24</v>
      </c>
      <c r="M1236">
        <v>0</v>
      </c>
      <c r="N1236">
        <v>0</v>
      </c>
      <c r="O1236">
        <v>698254.24</v>
      </c>
      <c r="P1236" t="s">
        <v>25</v>
      </c>
      <c r="Q1236" t="s">
        <v>26</v>
      </c>
    </row>
    <row r="1237" spans="1:17" x14ac:dyDescent="0.25">
      <c r="A1237" t="s">
        <v>1354</v>
      </c>
      <c r="B1237" s="1">
        <v>46001</v>
      </c>
      <c r="C1237" t="s">
        <v>18</v>
      </c>
      <c r="D1237" t="s">
        <v>19</v>
      </c>
      <c r="E1237" t="s">
        <v>35</v>
      </c>
      <c r="F1237" t="s">
        <v>21</v>
      </c>
      <c r="G1237" t="s">
        <v>63</v>
      </c>
      <c r="H1237" t="s">
        <v>38</v>
      </c>
      <c r="I1237" t="s">
        <v>39</v>
      </c>
      <c r="J1237">
        <v>24</v>
      </c>
      <c r="K1237">
        <v>25108.48</v>
      </c>
      <c r="L1237">
        <v>602603.52000000002</v>
      </c>
      <c r="M1237">
        <v>0</v>
      </c>
      <c r="N1237">
        <v>0</v>
      </c>
      <c r="O1237">
        <v>602603.52000000002</v>
      </c>
      <c r="P1237" t="s">
        <v>31</v>
      </c>
      <c r="Q1237" t="s">
        <v>32</v>
      </c>
    </row>
    <row r="1238" spans="1:17" x14ac:dyDescent="0.25">
      <c r="A1238" t="s">
        <v>1355</v>
      </c>
      <c r="B1238" s="1">
        <v>45970</v>
      </c>
      <c r="C1238" t="s">
        <v>79</v>
      </c>
      <c r="D1238" t="s">
        <v>80</v>
      </c>
      <c r="E1238" t="s">
        <v>20</v>
      </c>
      <c r="F1238" t="s">
        <v>21</v>
      </c>
      <c r="G1238" t="s">
        <v>98</v>
      </c>
      <c r="H1238" t="s">
        <v>23</v>
      </c>
      <c r="I1238" t="s">
        <v>110</v>
      </c>
      <c r="J1238">
        <v>11</v>
      </c>
      <c r="K1238">
        <v>11037.42</v>
      </c>
      <c r="L1238">
        <v>121411.62</v>
      </c>
      <c r="M1238">
        <v>19978.03</v>
      </c>
      <c r="N1238">
        <v>0</v>
      </c>
      <c r="O1238">
        <v>101433.59</v>
      </c>
      <c r="P1238" t="s">
        <v>25</v>
      </c>
      <c r="Q1238" t="s">
        <v>26</v>
      </c>
    </row>
    <row r="1239" spans="1:17" x14ac:dyDescent="0.25">
      <c r="A1239" t="s">
        <v>1356</v>
      </c>
      <c r="B1239" s="1">
        <v>45964</v>
      </c>
      <c r="C1239" t="s">
        <v>18</v>
      </c>
      <c r="D1239" t="s">
        <v>28</v>
      </c>
      <c r="E1239" t="s">
        <v>20</v>
      </c>
      <c r="F1239" t="s">
        <v>42</v>
      </c>
      <c r="G1239" t="s">
        <v>22</v>
      </c>
      <c r="H1239" t="s">
        <v>23</v>
      </c>
      <c r="I1239" t="s">
        <v>131</v>
      </c>
      <c r="J1239">
        <v>48</v>
      </c>
      <c r="K1239">
        <v>26275.62</v>
      </c>
      <c r="L1239">
        <v>1261229.76</v>
      </c>
      <c r="M1239">
        <v>40039.269999999997</v>
      </c>
      <c r="N1239">
        <v>0</v>
      </c>
      <c r="O1239">
        <v>1221190.49</v>
      </c>
      <c r="P1239" t="s">
        <v>73</v>
      </c>
      <c r="Q1239" t="s">
        <v>26</v>
      </c>
    </row>
    <row r="1240" spans="1:17" x14ac:dyDescent="0.25">
      <c r="A1240" t="s">
        <v>1357</v>
      </c>
      <c r="B1240" s="1">
        <v>45978</v>
      </c>
      <c r="C1240" t="s">
        <v>18</v>
      </c>
      <c r="D1240" t="s">
        <v>34</v>
      </c>
      <c r="E1240" t="s">
        <v>35</v>
      </c>
      <c r="F1240" t="s">
        <v>21</v>
      </c>
      <c r="G1240" t="s">
        <v>85</v>
      </c>
      <c r="H1240" t="s">
        <v>67</v>
      </c>
      <c r="I1240" t="s">
        <v>68</v>
      </c>
      <c r="J1240">
        <v>29</v>
      </c>
      <c r="K1240">
        <v>6353.56</v>
      </c>
      <c r="L1240">
        <v>184253.24</v>
      </c>
      <c r="M1240">
        <v>0</v>
      </c>
      <c r="N1240">
        <v>0</v>
      </c>
      <c r="O1240">
        <v>184253.24</v>
      </c>
      <c r="P1240" t="s">
        <v>31</v>
      </c>
      <c r="Q1240" t="s">
        <v>32</v>
      </c>
    </row>
    <row r="1241" spans="1:17" x14ac:dyDescent="0.25">
      <c r="A1241" t="s">
        <v>1358</v>
      </c>
      <c r="B1241" s="1">
        <v>45967</v>
      </c>
      <c r="C1241" t="s">
        <v>60</v>
      </c>
      <c r="D1241" t="s">
        <v>151</v>
      </c>
      <c r="E1241" t="s">
        <v>35</v>
      </c>
      <c r="F1241" t="s">
        <v>84</v>
      </c>
      <c r="G1241" t="s">
        <v>85</v>
      </c>
      <c r="H1241" t="s">
        <v>38</v>
      </c>
      <c r="I1241" t="s">
        <v>120</v>
      </c>
      <c r="J1241">
        <v>29</v>
      </c>
      <c r="K1241">
        <v>47699.06</v>
      </c>
      <c r="L1241">
        <v>1383272.74</v>
      </c>
      <c r="M1241">
        <v>0</v>
      </c>
      <c r="N1241">
        <v>0</v>
      </c>
      <c r="O1241">
        <v>1383272.74</v>
      </c>
      <c r="P1241" t="s">
        <v>25</v>
      </c>
      <c r="Q1241" t="s">
        <v>26</v>
      </c>
    </row>
    <row r="1242" spans="1:17" x14ac:dyDescent="0.25">
      <c r="A1242" t="s">
        <v>1359</v>
      </c>
      <c r="B1242" s="1">
        <v>46004</v>
      </c>
      <c r="C1242" t="s">
        <v>18</v>
      </c>
      <c r="D1242" t="s">
        <v>75</v>
      </c>
      <c r="E1242" t="s">
        <v>41</v>
      </c>
      <c r="F1242" t="s">
        <v>112</v>
      </c>
      <c r="G1242" t="s">
        <v>56</v>
      </c>
      <c r="H1242" t="s">
        <v>23</v>
      </c>
      <c r="I1242" t="s">
        <v>30</v>
      </c>
      <c r="J1242">
        <v>50</v>
      </c>
      <c r="K1242">
        <v>34606.07</v>
      </c>
      <c r="L1242">
        <v>1730303.5</v>
      </c>
      <c r="M1242">
        <v>0</v>
      </c>
      <c r="N1242">
        <v>0</v>
      </c>
      <c r="O1242">
        <v>1730303.5</v>
      </c>
      <c r="P1242" t="s">
        <v>25</v>
      </c>
      <c r="Q1242" t="s">
        <v>26</v>
      </c>
    </row>
    <row r="1243" spans="1:17" x14ac:dyDescent="0.25">
      <c r="A1243" t="s">
        <v>1360</v>
      </c>
      <c r="B1243" s="1">
        <v>46035</v>
      </c>
      <c r="C1243" t="s">
        <v>60</v>
      </c>
      <c r="D1243" t="s">
        <v>123</v>
      </c>
      <c r="E1243" t="s">
        <v>49</v>
      </c>
      <c r="F1243" t="s">
        <v>42</v>
      </c>
      <c r="G1243" t="s">
        <v>56</v>
      </c>
      <c r="H1243" t="s">
        <v>57</v>
      </c>
      <c r="I1243" t="s">
        <v>92</v>
      </c>
      <c r="J1243">
        <v>24</v>
      </c>
      <c r="K1243">
        <v>33794.239999999998</v>
      </c>
      <c r="L1243">
        <v>811061.76000000001</v>
      </c>
      <c r="M1243">
        <v>19143.8</v>
      </c>
      <c r="N1243">
        <v>0</v>
      </c>
      <c r="O1243">
        <v>791917.96</v>
      </c>
      <c r="P1243" t="s">
        <v>25</v>
      </c>
      <c r="Q1243" t="s">
        <v>26</v>
      </c>
    </row>
    <row r="1244" spans="1:17" x14ac:dyDescent="0.25">
      <c r="A1244" t="s">
        <v>1361</v>
      </c>
      <c r="B1244" s="1">
        <v>46013</v>
      </c>
      <c r="C1244" t="s">
        <v>60</v>
      </c>
      <c r="D1244" t="s">
        <v>61</v>
      </c>
      <c r="E1244" t="s">
        <v>35</v>
      </c>
      <c r="F1244" t="s">
        <v>84</v>
      </c>
      <c r="G1244" t="s">
        <v>138</v>
      </c>
      <c r="H1244" t="s">
        <v>44</v>
      </c>
      <c r="I1244" t="s">
        <v>135</v>
      </c>
      <c r="J1244">
        <v>31</v>
      </c>
      <c r="K1244">
        <v>36597.160000000003</v>
      </c>
      <c r="L1244">
        <v>1134511.96</v>
      </c>
      <c r="M1244">
        <v>0</v>
      </c>
      <c r="N1244">
        <v>0</v>
      </c>
      <c r="O1244">
        <v>1134511.96</v>
      </c>
      <c r="P1244" t="s">
        <v>73</v>
      </c>
      <c r="Q1244" t="s">
        <v>32</v>
      </c>
    </row>
    <row r="1245" spans="1:17" x14ac:dyDescent="0.25">
      <c r="A1245" t="s">
        <v>1362</v>
      </c>
      <c r="B1245" s="1">
        <v>45993</v>
      </c>
      <c r="C1245" t="s">
        <v>47</v>
      </c>
      <c r="D1245" t="s">
        <v>127</v>
      </c>
      <c r="E1245" t="s">
        <v>20</v>
      </c>
      <c r="F1245" t="s">
        <v>62</v>
      </c>
      <c r="G1245" t="s">
        <v>89</v>
      </c>
      <c r="H1245" t="s">
        <v>94</v>
      </c>
      <c r="I1245" t="s">
        <v>177</v>
      </c>
      <c r="J1245">
        <v>50</v>
      </c>
      <c r="K1245">
        <v>12210.29</v>
      </c>
      <c r="L1245">
        <v>610514.5</v>
      </c>
      <c r="M1245">
        <v>0</v>
      </c>
      <c r="N1245">
        <v>0</v>
      </c>
      <c r="O1245">
        <v>610514.5</v>
      </c>
      <c r="P1245" t="s">
        <v>32</v>
      </c>
      <c r="Q1245" t="s">
        <v>32</v>
      </c>
    </row>
    <row r="1246" spans="1:17" x14ac:dyDescent="0.25">
      <c r="A1246" t="s">
        <v>1363</v>
      </c>
      <c r="B1246" s="1">
        <v>45955</v>
      </c>
      <c r="C1246" t="s">
        <v>79</v>
      </c>
      <c r="D1246" t="s">
        <v>101</v>
      </c>
      <c r="E1246" t="s">
        <v>35</v>
      </c>
      <c r="F1246" t="s">
        <v>42</v>
      </c>
      <c r="G1246" t="s">
        <v>51</v>
      </c>
      <c r="H1246" t="s">
        <v>23</v>
      </c>
      <c r="I1246" t="s">
        <v>110</v>
      </c>
      <c r="J1246">
        <v>3</v>
      </c>
      <c r="K1246">
        <v>37433.64</v>
      </c>
      <c r="L1246">
        <v>112300.92</v>
      </c>
      <c r="M1246">
        <v>6859.41</v>
      </c>
      <c r="N1246">
        <v>0</v>
      </c>
      <c r="O1246">
        <v>105441.51</v>
      </c>
      <c r="P1246" t="s">
        <v>31</v>
      </c>
      <c r="Q1246" t="s">
        <v>32</v>
      </c>
    </row>
    <row r="1247" spans="1:17" x14ac:dyDescent="0.25">
      <c r="A1247" t="s">
        <v>1364</v>
      </c>
      <c r="B1247" s="1">
        <v>46001</v>
      </c>
      <c r="C1247" t="s">
        <v>60</v>
      </c>
      <c r="D1247" t="s">
        <v>61</v>
      </c>
      <c r="E1247" t="s">
        <v>41</v>
      </c>
      <c r="F1247" t="s">
        <v>21</v>
      </c>
      <c r="G1247" t="s">
        <v>138</v>
      </c>
      <c r="H1247" t="s">
        <v>94</v>
      </c>
      <c r="I1247" t="s">
        <v>177</v>
      </c>
      <c r="J1247">
        <v>27</v>
      </c>
      <c r="K1247">
        <v>12575.74</v>
      </c>
      <c r="L1247">
        <v>339544.98</v>
      </c>
      <c r="M1247">
        <v>0</v>
      </c>
      <c r="N1247">
        <v>0</v>
      </c>
      <c r="O1247">
        <v>339544.98</v>
      </c>
      <c r="P1247" t="s">
        <v>31</v>
      </c>
      <c r="Q1247" t="s">
        <v>32</v>
      </c>
    </row>
    <row r="1248" spans="1:17" x14ac:dyDescent="0.25">
      <c r="A1248" t="s">
        <v>1365</v>
      </c>
      <c r="B1248" s="1">
        <v>46021</v>
      </c>
      <c r="C1248" t="s">
        <v>60</v>
      </c>
      <c r="D1248" t="s">
        <v>65</v>
      </c>
      <c r="E1248" t="s">
        <v>20</v>
      </c>
      <c r="F1248" t="s">
        <v>112</v>
      </c>
      <c r="G1248" t="s">
        <v>140</v>
      </c>
      <c r="H1248" t="s">
        <v>44</v>
      </c>
      <c r="I1248" t="s">
        <v>141</v>
      </c>
      <c r="J1248">
        <v>41</v>
      </c>
      <c r="K1248">
        <v>3292.35</v>
      </c>
      <c r="L1248">
        <v>134986.35</v>
      </c>
      <c r="M1248">
        <v>22467.15</v>
      </c>
      <c r="N1248">
        <v>0</v>
      </c>
      <c r="O1248">
        <v>112519.2</v>
      </c>
      <c r="P1248" t="s">
        <v>73</v>
      </c>
      <c r="Q1248" t="s">
        <v>32</v>
      </c>
    </row>
    <row r="1249" spans="1:17" x14ac:dyDescent="0.25">
      <c r="A1249" t="s">
        <v>1366</v>
      </c>
      <c r="B1249" s="1">
        <v>46019</v>
      </c>
      <c r="C1249" t="s">
        <v>79</v>
      </c>
      <c r="D1249" t="s">
        <v>101</v>
      </c>
      <c r="E1249" t="s">
        <v>49</v>
      </c>
      <c r="F1249" t="s">
        <v>62</v>
      </c>
      <c r="G1249" t="s">
        <v>140</v>
      </c>
      <c r="H1249" t="s">
        <v>94</v>
      </c>
      <c r="I1249" t="s">
        <v>193</v>
      </c>
      <c r="J1249">
        <v>15</v>
      </c>
      <c r="K1249">
        <v>2463.75</v>
      </c>
      <c r="L1249">
        <v>36956.25</v>
      </c>
      <c r="M1249">
        <v>1282.55</v>
      </c>
      <c r="N1249">
        <v>0</v>
      </c>
      <c r="O1249">
        <v>35673.699999999997</v>
      </c>
      <c r="P1249" t="s">
        <v>32</v>
      </c>
      <c r="Q1249" t="s">
        <v>26</v>
      </c>
    </row>
    <row r="1250" spans="1:17" x14ac:dyDescent="0.25">
      <c r="A1250" t="s">
        <v>1367</v>
      </c>
      <c r="B1250" s="1">
        <v>45956</v>
      </c>
      <c r="C1250" t="s">
        <v>54</v>
      </c>
      <c r="D1250" t="s">
        <v>55</v>
      </c>
      <c r="E1250" t="s">
        <v>20</v>
      </c>
      <c r="F1250" t="s">
        <v>84</v>
      </c>
      <c r="G1250" t="s">
        <v>37</v>
      </c>
      <c r="H1250" t="s">
        <v>57</v>
      </c>
      <c r="I1250" t="s">
        <v>118</v>
      </c>
      <c r="J1250">
        <v>3</v>
      </c>
      <c r="K1250">
        <v>4590.3100000000004</v>
      </c>
      <c r="L1250">
        <v>13770.93</v>
      </c>
      <c r="M1250">
        <v>340.92</v>
      </c>
      <c r="N1250">
        <v>0</v>
      </c>
      <c r="O1250">
        <v>13430.01</v>
      </c>
      <c r="P1250" t="s">
        <v>32</v>
      </c>
      <c r="Q1250" t="s">
        <v>32</v>
      </c>
    </row>
    <row r="1251" spans="1:17" x14ac:dyDescent="0.25">
      <c r="A1251" t="s">
        <v>1368</v>
      </c>
      <c r="B1251" s="1">
        <v>46045</v>
      </c>
      <c r="C1251" t="s">
        <v>18</v>
      </c>
      <c r="D1251" t="s">
        <v>19</v>
      </c>
      <c r="E1251" t="s">
        <v>35</v>
      </c>
      <c r="F1251" t="s">
        <v>50</v>
      </c>
      <c r="G1251" t="s">
        <v>51</v>
      </c>
      <c r="H1251" t="s">
        <v>44</v>
      </c>
      <c r="I1251" t="s">
        <v>45</v>
      </c>
      <c r="J1251">
        <v>10</v>
      </c>
      <c r="K1251">
        <v>14036.8</v>
      </c>
      <c r="L1251">
        <v>140368</v>
      </c>
      <c r="M1251">
        <v>14978.24</v>
      </c>
      <c r="N1251">
        <v>0</v>
      </c>
      <c r="O1251">
        <v>125389.75999999999</v>
      </c>
      <c r="P1251" t="s">
        <v>25</v>
      </c>
      <c r="Q1251" t="s">
        <v>26</v>
      </c>
    </row>
    <row r="1252" spans="1:17" x14ac:dyDescent="0.25">
      <c r="A1252" t="s">
        <v>1369</v>
      </c>
      <c r="B1252" s="1">
        <v>45957</v>
      </c>
      <c r="C1252" t="s">
        <v>47</v>
      </c>
      <c r="D1252" t="s">
        <v>114</v>
      </c>
      <c r="E1252" t="s">
        <v>49</v>
      </c>
      <c r="F1252" t="s">
        <v>84</v>
      </c>
      <c r="G1252" t="s">
        <v>89</v>
      </c>
      <c r="H1252" t="s">
        <v>67</v>
      </c>
      <c r="I1252" t="s">
        <v>103</v>
      </c>
      <c r="J1252">
        <v>48</v>
      </c>
      <c r="K1252">
        <v>31614.66</v>
      </c>
      <c r="L1252">
        <v>1517503.68</v>
      </c>
      <c r="M1252">
        <v>299259.44</v>
      </c>
      <c r="N1252">
        <v>258035.93</v>
      </c>
      <c r="O1252">
        <v>960208.31</v>
      </c>
      <c r="P1252" t="s">
        <v>25</v>
      </c>
      <c r="Q1252" t="s">
        <v>26</v>
      </c>
    </row>
    <row r="1253" spans="1:17" x14ac:dyDescent="0.25">
      <c r="A1253" t="s">
        <v>1370</v>
      </c>
      <c r="B1253" s="1">
        <v>45974</v>
      </c>
      <c r="C1253" t="s">
        <v>79</v>
      </c>
      <c r="D1253" t="s">
        <v>107</v>
      </c>
      <c r="E1253" t="s">
        <v>41</v>
      </c>
      <c r="F1253" t="s">
        <v>84</v>
      </c>
      <c r="G1253" t="s">
        <v>81</v>
      </c>
      <c r="H1253" t="s">
        <v>38</v>
      </c>
      <c r="I1253" t="s">
        <v>175</v>
      </c>
      <c r="J1253">
        <v>2</v>
      </c>
      <c r="K1253">
        <v>48085.83</v>
      </c>
      <c r="L1253">
        <v>96171.66</v>
      </c>
      <c r="M1253">
        <v>3243.83</v>
      </c>
      <c r="N1253">
        <v>0</v>
      </c>
      <c r="O1253">
        <v>92927.83</v>
      </c>
      <c r="P1253" t="s">
        <v>25</v>
      </c>
      <c r="Q1253" t="s">
        <v>26</v>
      </c>
    </row>
    <row r="1254" spans="1:17" x14ac:dyDescent="0.25">
      <c r="A1254" t="s">
        <v>1371</v>
      </c>
      <c r="B1254" s="1">
        <v>46045</v>
      </c>
      <c r="C1254" t="s">
        <v>79</v>
      </c>
      <c r="D1254" t="s">
        <v>107</v>
      </c>
      <c r="E1254" t="s">
        <v>20</v>
      </c>
      <c r="F1254" t="s">
        <v>62</v>
      </c>
      <c r="G1254" t="s">
        <v>51</v>
      </c>
      <c r="H1254" t="s">
        <v>23</v>
      </c>
      <c r="I1254" t="s">
        <v>131</v>
      </c>
      <c r="J1254">
        <v>33</v>
      </c>
      <c r="K1254">
        <v>17548.23</v>
      </c>
      <c r="L1254">
        <v>579091.59</v>
      </c>
      <c r="M1254">
        <v>103849.09</v>
      </c>
      <c r="N1254">
        <v>31790.78</v>
      </c>
      <c r="O1254">
        <v>443451.72</v>
      </c>
      <c r="P1254" t="s">
        <v>25</v>
      </c>
      <c r="Q1254" t="s">
        <v>26</v>
      </c>
    </row>
    <row r="1255" spans="1:17" x14ac:dyDescent="0.25">
      <c r="A1255" t="s">
        <v>1372</v>
      </c>
      <c r="B1255" s="1">
        <v>45978</v>
      </c>
      <c r="C1255" t="s">
        <v>60</v>
      </c>
      <c r="D1255" t="s">
        <v>123</v>
      </c>
      <c r="E1255" t="s">
        <v>41</v>
      </c>
      <c r="F1255" t="s">
        <v>105</v>
      </c>
      <c r="G1255" t="s">
        <v>98</v>
      </c>
      <c r="H1255" t="s">
        <v>38</v>
      </c>
      <c r="I1255" t="s">
        <v>120</v>
      </c>
      <c r="J1255">
        <v>48</v>
      </c>
      <c r="K1255">
        <v>45772.92</v>
      </c>
      <c r="L1255">
        <v>2197100.16</v>
      </c>
      <c r="M1255">
        <v>0</v>
      </c>
      <c r="N1255">
        <v>0</v>
      </c>
      <c r="O1255">
        <v>2197100.16</v>
      </c>
      <c r="P1255" t="s">
        <v>32</v>
      </c>
      <c r="Q1255" t="s">
        <v>32</v>
      </c>
    </row>
    <row r="1256" spans="1:17" x14ac:dyDescent="0.25">
      <c r="A1256" t="s">
        <v>1373</v>
      </c>
      <c r="B1256" s="1">
        <v>45988</v>
      </c>
      <c r="C1256" t="s">
        <v>47</v>
      </c>
      <c r="D1256" t="s">
        <v>127</v>
      </c>
      <c r="E1256" t="s">
        <v>49</v>
      </c>
      <c r="F1256" t="s">
        <v>36</v>
      </c>
      <c r="G1256" t="s">
        <v>89</v>
      </c>
      <c r="H1256" t="s">
        <v>94</v>
      </c>
      <c r="I1256" t="s">
        <v>95</v>
      </c>
      <c r="J1256">
        <v>36</v>
      </c>
      <c r="K1256">
        <v>15357.09</v>
      </c>
      <c r="L1256">
        <v>552855.24</v>
      </c>
      <c r="M1256">
        <v>40091.870000000003</v>
      </c>
      <c r="N1256">
        <v>0</v>
      </c>
      <c r="O1256">
        <v>512763.37</v>
      </c>
      <c r="P1256" t="s">
        <v>32</v>
      </c>
      <c r="Q1256" t="s">
        <v>32</v>
      </c>
    </row>
    <row r="1257" spans="1:17" x14ac:dyDescent="0.25">
      <c r="A1257" t="s">
        <v>1374</v>
      </c>
      <c r="B1257" s="1">
        <v>46019</v>
      </c>
      <c r="C1257" t="s">
        <v>18</v>
      </c>
      <c r="D1257" t="s">
        <v>34</v>
      </c>
      <c r="E1257" t="s">
        <v>41</v>
      </c>
      <c r="F1257" t="s">
        <v>84</v>
      </c>
      <c r="G1257" t="s">
        <v>22</v>
      </c>
      <c r="H1257" t="s">
        <v>94</v>
      </c>
      <c r="I1257" t="s">
        <v>193</v>
      </c>
      <c r="J1257">
        <v>42</v>
      </c>
      <c r="K1257">
        <v>47158.7</v>
      </c>
      <c r="L1257">
        <v>1980665.4</v>
      </c>
      <c r="M1257">
        <v>112047.93</v>
      </c>
      <c r="N1257">
        <v>0</v>
      </c>
      <c r="O1257">
        <v>1868617.47</v>
      </c>
      <c r="P1257" t="s">
        <v>73</v>
      </c>
      <c r="Q1257" t="s">
        <v>26</v>
      </c>
    </row>
    <row r="1258" spans="1:17" x14ac:dyDescent="0.25">
      <c r="A1258" t="s">
        <v>1375</v>
      </c>
      <c r="B1258" s="1">
        <v>46039</v>
      </c>
      <c r="C1258" t="s">
        <v>60</v>
      </c>
      <c r="D1258" t="s">
        <v>151</v>
      </c>
      <c r="E1258" t="s">
        <v>41</v>
      </c>
      <c r="F1258" t="s">
        <v>137</v>
      </c>
      <c r="G1258" t="s">
        <v>63</v>
      </c>
      <c r="H1258" t="s">
        <v>67</v>
      </c>
      <c r="I1258" t="s">
        <v>68</v>
      </c>
      <c r="J1258">
        <v>21</v>
      </c>
      <c r="K1258">
        <v>34217.160000000003</v>
      </c>
      <c r="L1258">
        <v>718560.36</v>
      </c>
      <c r="M1258">
        <v>126468.81</v>
      </c>
      <c r="N1258">
        <v>0</v>
      </c>
      <c r="O1258">
        <v>592091.55000000005</v>
      </c>
      <c r="P1258" t="s">
        <v>32</v>
      </c>
      <c r="Q1258" t="s">
        <v>32</v>
      </c>
    </row>
    <row r="1259" spans="1:17" x14ac:dyDescent="0.25">
      <c r="A1259" t="s">
        <v>1376</v>
      </c>
      <c r="B1259" s="1">
        <v>45988</v>
      </c>
      <c r="C1259" t="s">
        <v>60</v>
      </c>
      <c r="D1259" t="s">
        <v>61</v>
      </c>
      <c r="E1259" t="s">
        <v>49</v>
      </c>
      <c r="F1259" t="s">
        <v>84</v>
      </c>
      <c r="G1259" t="s">
        <v>22</v>
      </c>
      <c r="H1259" t="s">
        <v>44</v>
      </c>
      <c r="I1259" t="s">
        <v>135</v>
      </c>
      <c r="J1259">
        <v>43</v>
      </c>
      <c r="K1259">
        <v>21106.09</v>
      </c>
      <c r="L1259">
        <v>907561.87</v>
      </c>
      <c r="M1259">
        <v>0</v>
      </c>
      <c r="N1259">
        <v>0</v>
      </c>
      <c r="O1259">
        <v>907561.87</v>
      </c>
      <c r="P1259" t="s">
        <v>25</v>
      </c>
      <c r="Q1259" t="s">
        <v>26</v>
      </c>
    </row>
    <row r="1260" spans="1:17" x14ac:dyDescent="0.25">
      <c r="A1260" t="s">
        <v>1377</v>
      </c>
      <c r="B1260" s="1">
        <v>46007</v>
      </c>
      <c r="C1260" t="s">
        <v>54</v>
      </c>
      <c r="D1260" t="s">
        <v>70</v>
      </c>
      <c r="E1260" t="s">
        <v>41</v>
      </c>
      <c r="F1260" t="s">
        <v>137</v>
      </c>
      <c r="G1260" t="s">
        <v>102</v>
      </c>
      <c r="H1260" t="s">
        <v>94</v>
      </c>
      <c r="I1260" t="s">
        <v>144</v>
      </c>
      <c r="J1260">
        <v>6</v>
      </c>
      <c r="K1260">
        <v>10722.22</v>
      </c>
      <c r="L1260">
        <v>64333.32</v>
      </c>
      <c r="M1260">
        <v>0</v>
      </c>
      <c r="N1260">
        <v>10559.36</v>
      </c>
      <c r="O1260">
        <v>53773.96</v>
      </c>
      <c r="P1260" t="s">
        <v>25</v>
      </c>
      <c r="Q1260" t="s">
        <v>26</v>
      </c>
    </row>
    <row r="1261" spans="1:17" x14ac:dyDescent="0.25">
      <c r="A1261" t="s">
        <v>1378</v>
      </c>
      <c r="B1261" s="1">
        <v>46000</v>
      </c>
      <c r="C1261" t="s">
        <v>54</v>
      </c>
      <c r="D1261" t="s">
        <v>55</v>
      </c>
      <c r="E1261" t="s">
        <v>49</v>
      </c>
      <c r="F1261" t="s">
        <v>36</v>
      </c>
      <c r="G1261" t="s">
        <v>81</v>
      </c>
      <c r="H1261" t="s">
        <v>44</v>
      </c>
      <c r="I1261" t="s">
        <v>135</v>
      </c>
      <c r="J1261">
        <v>45</v>
      </c>
      <c r="K1261">
        <v>24291.03</v>
      </c>
      <c r="L1261">
        <v>1093096.3500000001</v>
      </c>
      <c r="M1261">
        <v>143275.60999999999</v>
      </c>
      <c r="N1261">
        <v>0</v>
      </c>
      <c r="O1261">
        <v>949820.74</v>
      </c>
      <c r="P1261" t="s">
        <v>31</v>
      </c>
      <c r="Q1261" t="s">
        <v>32</v>
      </c>
    </row>
    <row r="1262" spans="1:17" x14ac:dyDescent="0.25">
      <c r="A1262" t="s">
        <v>1379</v>
      </c>
      <c r="B1262" s="1">
        <v>45976</v>
      </c>
      <c r="C1262" t="s">
        <v>79</v>
      </c>
      <c r="D1262" t="s">
        <v>80</v>
      </c>
      <c r="E1262" t="s">
        <v>41</v>
      </c>
      <c r="F1262" t="s">
        <v>21</v>
      </c>
      <c r="G1262" t="s">
        <v>22</v>
      </c>
      <c r="H1262" t="s">
        <v>38</v>
      </c>
      <c r="I1262" t="s">
        <v>120</v>
      </c>
      <c r="J1262">
        <v>47</v>
      </c>
      <c r="K1262">
        <v>20908.400000000001</v>
      </c>
      <c r="L1262">
        <v>982694.8</v>
      </c>
      <c r="M1262">
        <v>183476.02</v>
      </c>
      <c r="N1262">
        <v>0</v>
      </c>
      <c r="O1262">
        <v>799218.78</v>
      </c>
      <c r="P1262" t="s">
        <v>73</v>
      </c>
      <c r="Q1262" t="s">
        <v>32</v>
      </c>
    </row>
    <row r="1263" spans="1:17" x14ac:dyDescent="0.25">
      <c r="A1263" t="s">
        <v>1380</v>
      </c>
      <c r="B1263" s="1">
        <v>45997</v>
      </c>
      <c r="C1263" t="s">
        <v>54</v>
      </c>
      <c r="D1263" t="s">
        <v>55</v>
      </c>
      <c r="E1263" t="s">
        <v>35</v>
      </c>
      <c r="F1263" t="s">
        <v>21</v>
      </c>
      <c r="G1263" t="s">
        <v>89</v>
      </c>
      <c r="H1263" t="s">
        <v>44</v>
      </c>
      <c r="I1263" t="s">
        <v>281</v>
      </c>
      <c r="J1263">
        <v>32</v>
      </c>
      <c r="K1263">
        <v>16684.919999999998</v>
      </c>
      <c r="L1263">
        <v>533917.43999999994</v>
      </c>
      <c r="M1263">
        <v>71168.06</v>
      </c>
      <c r="N1263">
        <v>0</v>
      </c>
      <c r="O1263">
        <v>462749.38</v>
      </c>
      <c r="P1263" t="s">
        <v>25</v>
      </c>
      <c r="Q1263" t="s">
        <v>26</v>
      </c>
    </row>
    <row r="1264" spans="1:17" x14ac:dyDescent="0.25">
      <c r="A1264" t="s">
        <v>1381</v>
      </c>
      <c r="B1264" s="1">
        <v>46040</v>
      </c>
      <c r="C1264" t="s">
        <v>60</v>
      </c>
      <c r="D1264" t="s">
        <v>61</v>
      </c>
      <c r="E1264" t="s">
        <v>20</v>
      </c>
      <c r="F1264" t="s">
        <v>84</v>
      </c>
      <c r="G1264" t="s">
        <v>56</v>
      </c>
      <c r="H1264" t="s">
        <v>44</v>
      </c>
      <c r="I1264" t="s">
        <v>124</v>
      </c>
      <c r="J1264">
        <v>36</v>
      </c>
      <c r="K1264">
        <v>46620.88</v>
      </c>
      <c r="L1264">
        <v>1678351.68</v>
      </c>
      <c r="M1264">
        <v>0</v>
      </c>
      <c r="N1264">
        <v>294518.65999999997</v>
      </c>
      <c r="O1264">
        <v>1383833.02</v>
      </c>
      <c r="P1264" t="s">
        <v>31</v>
      </c>
      <c r="Q1264" t="s">
        <v>32</v>
      </c>
    </row>
    <row r="1265" spans="1:17" x14ac:dyDescent="0.25">
      <c r="A1265" t="s">
        <v>1382</v>
      </c>
      <c r="B1265" s="1">
        <v>46042</v>
      </c>
      <c r="C1265" t="s">
        <v>18</v>
      </c>
      <c r="D1265" t="s">
        <v>34</v>
      </c>
      <c r="E1265" t="s">
        <v>49</v>
      </c>
      <c r="F1265" t="s">
        <v>62</v>
      </c>
      <c r="G1265" t="s">
        <v>81</v>
      </c>
      <c r="H1265" t="s">
        <v>23</v>
      </c>
      <c r="I1265" t="s">
        <v>99</v>
      </c>
      <c r="J1265">
        <v>12</v>
      </c>
      <c r="K1265">
        <v>18986.36</v>
      </c>
      <c r="L1265">
        <v>227836.32</v>
      </c>
      <c r="M1265">
        <v>0</v>
      </c>
      <c r="N1265">
        <v>0</v>
      </c>
      <c r="O1265">
        <v>227836.32</v>
      </c>
      <c r="P1265" t="s">
        <v>31</v>
      </c>
      <c r="Q1265" t="s">
        <v>32</v>
      </c>
    </row>
    <row r="1266" spans="1:17" x14ac:dyDescent="0.25">
      <c r="A1266" t="s">
        <v>1383</v>
      </c>
      <c r="B1266" s="1">
        <v>45994</v>
      </c>
      <c r="C1266" t="s">
        <v>47</v>
      </c>
      <c r="D1266" t="s">
        <v>114</v>
      </c>
      <c r="E1266" t="s">
        <v>41</v>
      </c>
      <c r="F1266" t="s">
        <v>71</v>
      </c>
      <c r="G1266" t="s">
        <v>85</v>
      </c>
      <c r="H1266" t="s">
        <v>57</v>
      </c>
      <c r="I1266" t="s">
        <v>148</v>
      </c>
      <c r="J1266">
        <v>17</v>
      </c>
      <c r="K1266">
        <v>31590.37</v>
      </c>
      <c r="L1266">
        <v>537036.29</v>
      </c>
      <c r="M1266">
        <v>67975.95</v>
      </c>
      <c r="N1266">
        <v>0</v>
      </c>
      <c r="O1266">
        <v>469060.34</v>
      </c>
      <c r="P1266" t="s">
        <v>25</v>
      </c>
      <c r="Q1266" t="s">
        <v>26</v>
      </c>
    </row>
    <row r="1267" spans="1:17" x14ac:dyDescent="0.25">
      <c r="A1267" t="s">
        <v>1384</v>
      </c>
      <c r="B1267" s="1">
        <v>45998</v>
      </c>
      <c r="C1267" t="s">
        <v>79</v>
      </c>
      <c r="D1267" t="s">
        <v>107</v>
      </c>
      <c r="E1267" t="s">
        <v>20</v>
      </c>
      <c r="F1267" t="s">
        <v>84</v>
      </c>
      <c r="G1267" t="s">
        <v>37</v>
      </c>
      <c r="H1267" t="s">
        <v>94</v>
      </c>
      <c r="I1267" t="s">
        <v>163</v>
      </c>
      <c r="J1267">
        <v>5</v>
      </c>
      <c r="K1267">
        <v>2244.7399999999998</v>
      </c>
      <c r="L1267">
        <v>11223.7</v>
      </c>
      <c r="M1267">
        <v>2011.11</v>
      </c>
      <c r="N1267">
        <v>0</v>
      </c>
      <c r="O1267">
        <v>9212.59</v>
      </c>
      <c r="P1267" t="s">
        <v>25</v>
      </c>
      <c r="Q1267" t="s">
        <v>26</v>
      </c>
    </row>
    <row r="1268" spans="1:17" x14ac:dyDescent="0.25">
      <c r="A1268" t="s">
        <v>1385</v>
      </c>
      <c r="B1268" s="1">
        <v>46025</v>
      </c>
      <c r="C1268" t="s">
        <v>18</v>
      </c>
      <c r="D1268" t="s">
        <v>28</v>
      </c>
      <c r="E1268" t="s">
        <v>20</v>
      </c>
      <c r="F1268" t="s">
        <v>137</v>
      </c>
      <c r="G1268" t="s">
        <v>102</v>
      </c>
      <c r="H1268" t="s">
        <v>57</v>
      </c>
      <c r="I1268" t="s">
        <v>58</v>
      </c>
      <c r="J1268">
        <v>46</v>
      </c>
      <c r="K1268">
        <v>24978.28</v>
      </c>
      <c r="L1268">
        <v>1149000.8799999999</v>
      </c>
      <c r="M1268">
        <v>12305.14</v>
      </c>
      <c r="N1268">
        <v>0</v>
      </c>
      <c r="O1268">
        <v>1136695.74</v>
      </c>
      <c r="P1268" t="s">
        <v>31</v>
      </c>
      <c r="Q1268" t="s">
        <v>32</v>
      </c>
    </row>
    <row r="1269" spans="1:17" x14ac:dyDescent="0.25">
      <c r="A1269" t="s">
        <v>1386</v>
      </c>
      <c r="B1269" s="1">
        <v>46036</v>
      </c>
      <c r="C1269" t="s">
        <v>47</v>
      </c>
      <c r="D1269" t="s">
        <v>48</v>
      </c>
      <c r="E1269" t="s">
        <v>20</v>
      </c>
      <c r="F1269" t="s">
        <v>105</v>
      </c>
      <c r="G1269" t="s">
        <v>43</v>
      </c>
      <c r="H1269" t="s">
        <v>38</v>
      </c>
      <c r="I1269" t="s">
        <v>175</v>
      </c>
      <c r="J1269">
        <v>19</v>
      </c>
      <c r="K1269">
        <v>44903.42</v>
      </c>
      <c r="L1269">
        <v>853164.98</v>
      </c>
      <c r="M1269">
        <v>43297.26</v>
      </c>
      <c r="N1269">
        <v>0</v>
      </c>
      <c r="O1269">
        <v>809867.72</v>
      </c>
      <c r="P1269" t="s">
        <v>31</v>
      </c>
      <c r="Q1269" t="s">
        <v>32</v>
      </c>
    </row>
    <row r="1270" spans="1:17" x14ac:dyDescent="0.25">
      <c r="A1270" t="s">
        <v>1387</v>
      </c>
      <c r="B1270" s="1">
        <v>45988</v>
      </c>
      <c r="C1270" t="s">
        <v>47</v>
      </c>
      <c r="D1270" t="s">
        <v>114</v>
      </c>
      <c r="E1270" t="s">
        <v>49</v>
      </c>
      <c r="F1270" t="s">
        <v>137</v>
      </c>
      <c r="G1270" t="s">
        <v>29</v>
      </c>
      <c r="H1270" t="s">
        <v>38</v>
      </c>
      <c r="I1270" t="s">
        <v>39</v>
      </c>
      <c r="J1270">
        <v>25</v>
      </c>
      <c r="K1270">
        <v>11559.11</v>
      </c>
      <c r="L1270">
        <v>288977.75</v>
      </c>
      <c r="M1270">
        <v>26496.89</v>
      </c>
      <c r="N1270">
        <v>0</v>
      </c>
      <c r="O1270">
        <v>262480.86</v>
      </c>
      <c r="P1270" t="s">
        <v>25</v>
      </c>
      <c r="Q1270" t="s">
        <v>26</v>
      </c>
    </row>
    <row r="1271" spans="1:17" x14ac:dyDescent="0.25">
      <c r="A1271" t="s">
        <v>1388</v>
      </c>
      <c r="B1271" s="1">
        <v>45981</v>
      </c>
      <c r="C1271" t="s">
        <v>18</v>
      </c>
      <c r="D1271" t="s">
        <v>28</v>
      </c>
      <c r="E1271" t="s">
        <v>20</v>
      </c>
      <c r="F1271" t="s">
        <v>112</v>
      </c>
      <c r="G1271" t="s">
        <v>43</v>
      </c>
      <c r="H1271" t="s">
        <v>67</v>
      </c>
      <c r="I1271" t="s">
        <v>103</v>
      </c>
      <c r="J1271">
        <v>9</v>
      </c>
      <c r="K1271">
        <v>28685.48</v>
      </c>
      <c r="L1271">
        <v>258169.32</v>
      </c>
      <c r="M1271">
        <v>45336.87</v>
      </c>
      <c r="N1271">
        <v>0</v>
      </c>
      <c r="O1271">
        <v>212832.45</v>
      </c>
      <c r="P1271" t="s">
        <v>73</v>
      </c>
      <c r="Q1271" t="s">
        <v>32</v>
      </c>
    </row>
    <row r="1272" spans="1:17" x14ac:dyDescent="0.25">
      <c r="A1272" t="s">
        <v>1389</v>
      </c>
      <c r="B1272" s="1">
        <v>45999</v>
      </c>
      <c r="C1272" t="s">
        <v>54</v>
      </c>
      <c r="D1272" t="s">
        <v>97</v>
      </c>
      <c r="E1272" t="s">
        <v>20</v>
      </c>
      <c r="F1272" t="s">
        <v>21</v>
      </c>
      <c r="G1272" t="s">
        <v>98</v>
      </c>
      <c r="H1272" t="s">
        <v>38</v>
      </c>
      <c r="I1272" t="s">
        <v>82</v>
      </c>
      <c r="J1272">
        <v>8</v>
      </c>
      <c r="K1272">
        <v>44340.52</v>
      </c>
      <c r="L1272">
        <v>354724.16</v>
      </c>
      <c r="M1272">
        <v>0</v>
      </c>
      <c r="N1272">
        <v>0</v>
      </c>
      <c r="O1272">
        <v>354724.16</v>
      </c>
      <c r="P1272" t="s">
        <v>25</v>
      </c>
      <c r="Q1272" t="s">
        <v>26</v>
      </c>
    </row>
    <row r="1273" spans="1:17" x14ac:dyDescent="0.25">
      <c r="A1273" t="s">
        <v>1390</v>
      </c>
      <c r="B1273" s="1">
        <v>46023</v>
      </c>
      <c r="C1273" t="s">
        <v>54</v>
      </c>
      <c r="D1273" t="s">
        <v>55</v>
      </c>
      <c r="E1273" t="s">
        <v>41</v>
      </c>
      <c r="F1273" t="s">
        <v>36</v>
      </c>
      <c r="G1273" t="s">
        <v>81</v>
      </c>
      <c r="H1273" t="s">
        <v>38</v>
      </c>
      <c r="I1273" t="s">
        <v>120</v>
      </c>
      <c r="J1273">
        <v>1</v>
      </c>
      <c r="K1273">
        <v>48820.61</v>
      </c>
      <c r="L1273">
        <v>48820.61</v>
      </c>
      <c r="M1273">
        <v>0</v>
      </c>
      <c r="N1273">
        <v>0</v>
      </c>
      <c r="O1273">
        <v>48820.61</v>
      </c>
      <c r="P1273" t="s">
        <v>31</v>
      </c>
      <c r="Q1273" t="s">
        <v>32</v>
      </c>
    </row>
    <row r="1274" spans="1:17" x14ac:dyDescent="0.25">
      <c r="A1274" t="s">
        <v>1391</v>
      </c>
      <c r="B1274" s="1">
        <v>46038</v>
      </c>
      <c r="C1274" t="s">
        <v>18</v>
      </c>
      <c r="D1274" t="s">
        <v>28</v>
      </c>
      <c r="E1274" t="s">
        <v>35</v>
      </c>
      <c r="F1274" t="s">
        <v>36</v>
      </c>
      <c r="G1274" t="s">
        <v>63</v>
      </c>
      <c r="H1274" t="s">
        <v>67</v>
      </c>
      <c r="I1274" t="s">
        <v>170</v>
      </c>
      <c r="J1274">
        <v>29</v>
      </c>
      <c r="K1274">
        <v>2895.13</v>
      </c>
      <c r="L1274">
        <v>83958.77</v>
      </c>
      <c r="M1274">
        <v>2606.25</v>
      </c>
      <c r="N1274">
        <v>6895.55</v>
      </c>
      <c r="O1274">
        <v>74456.97</v>
      </c>
      <c r="P1274" t="s">
        <v>25</v>
      </c>
      <c r="Q1274" t="s">
        <v>26</v>
      </c>
    </row>
    <row r="1275" spans="1:17" x14ac:dyDescent="0.25">
      <c r="A1275" t="s">
        <v>1392</v>
      </c>
      <c r="B1275" s="1">
        <v>46011</v>
      </c>
      <c r="C1275" t="s">
        <v>18</v>
      </c>
      <c r="D1275" t="s">
        <v>34</v>
      </c>
      <c r="E1275" t="s">
        <v>35</v>
      </c>
      <c r="F1275" t="s">
        <v>137</v>
      </c>
      <c r="G1275" t="s">
        <v>81</v>
      </c>
      <c r="H1275" t="s">
        <v>38</v>
      </c>
      <c r="I1275" t="s">
        <v>120</v>
      </c>
      <c r="J1275">
        <v>4</v>
      </c>
      <c r="K1275">
        <v>26061.52</v>
      </c>
      <c r="L1275">
        <v>104246.08</v>
      </c>
      <c r="M1275">
        <v>0</v>
      </c>
      <c r="N1275">
        <v>0</v>
      </c>
      <c r="O1275">
        <v>104246.08</v>
      </c>
      <c r="P1275" t="s">
        <v>31</v>
      </c>
      <c r="Q1275" t="s">
        <v>32</v>
      </c>
    </row>
    <row r="1276" spans="1:17" x14ac:dyDescent="0.25">
      <c r="A1276" t="s">
        <v>1393</v>
      </c>
      <c r="B1276" s="1">
        <v>46034</v>
      </c>
      <c r="C1276" t="s">
        <v>60</v>
      </c>
      <c r="D1276" t="s">
        <v>61</v>
      </c>
      <c r="E1276" t="s">
        <v>35</v>
      </c>
      <c r="F1276" t="s">
        <v>62</v>
      </c>
      <c r="G1276" t="s">
        <v>138</v>
      </c>
      <c r="H1276" t="s">
        <v>57</v>
      </c>
      <c r="I1276" t="s">
        <v>58</v>
      </c>
      <c r="J1276">
        <v>46</v>
      </c>
      <c r="K1276">
        <v>11888.97</v>
      </c>
      <c r="L1276">
        <v>546892.62</v>
      </c>
      <c r="M1276">
        <v>41778.800000000003</v>
      </c>
      <c r="N1276">
        <v>90430.2</v>
      </c>
      <c r="O1276">
        <v>414683.62</v>
      </c>
      <c r="P1276" t="s">
        <v>73</v>
      </c>
      <c r="Q1276" t="s">
        <v>32</v>
      </c>
    </row>
    <row r="1277" spans="1:17" x14ac:dyDescent="0.25">
      <c r="A1277" t="s">
        <v>1394</v>
      </c>
      <c r="B1277" s="1">
        <v>46031</v>
      </c>
      <c r="C1277" t="s">
        <v>18</v>
      </c>
      <c r="D1277" t="s">
        <v>75</v>
      </c>
      <c r="E1277" t="s">
        <v>35</v>
      </c>
      <c r="F1277" t="s">
        <v>84</v>
      </c>
      <c r="G1277" t="s">
        <v>89</v>
      </c>
      <c r="H1277" t="s">
        <v>57</v>
      </c>
      <c r="I1277" t="s">
        <v>148</v>
      </c>
      <c r="J1277">
        <v>34</v>
      </c>
      <c r="K1277">
        <v>28847.01</v>
      </c>
      <c r="L1277">
        <v>980798.34</v>
      </c>
      <c r="M1277">
        <v>32299.33</v>
      </c>
      <c r="N1277">
        <v>0</v>
      </c>
      <c r="O1277">
        <v>948499.01</v>
      </c>
      <c r="P1277" t="s">
        <v>32</v>
      </c>
      <c r="Q1277" t="s">
        <v>32</v>
      </c>
    </row>
    <row r="1278" spans="1:17" x14ac:dyDescent="0.25">
      <c r="A1278" t="s">
        <v>1395</v>
      </c>
      <c r="B1278" s="1">
        <v>45959</v>
      </c>
      <c r="C1278" t="s">
        <v>60</v>
      </c>
      <c r="D1278" t="s">
        <v>123</v>
      </c>
      <c r="E1278" t="s">
        <v>49</v>
      </c>
      <c r="F1278" t="s">
        <v>137</v>
      </c>
      <c r="G1278" t="s">
        <v>81</v>
      </c>
      <c r="H1278" t="s">
        <v>23</v>
      </c>
      <c r="I1278" t="s">
        <v>110</v>
      </c>
      <c r="J1278">
        <v>2</v>
      </c>
      <c r="K1278">
        <v>2753.49</v>
      </c>
      <c r="L1278">
        <v>5506.98</v>
      </c>
      <c r="M1278">
        <v>1024.74</v>
      </c>
      <c r="N1278">
        <v>0</v>
      </c>
      <c r="O1278">
        <v>4482.24</v>
      </c>
      <c r="P1278" t="s">
        <v>25</v>
      </c>
      <c r="Q1278" t="s">
        <v>26</v>
      </c>
    </row>
    <row r="1279" spans="1:17" x14ac:dyDescent="0.25">
      <c r="A1279" t="s">
        <v>1396</v>
      </c>
      <c r="B1279" s="1">
        <v>45957</v>
      </c>
      <c r="C1279" t="s">
        <v>47</v>
      </c>
      <c r="D1279" t="s">
        <v>88</v>
      </c>
      <c r="E1279" t="s">
        <v>49</v>
      </c>
      <c r="F1279" t="s">
        <v>62</v>
      </c>
      <c r="G1279" t="s">
        <v>140</v>
      </c>
      <c r="H1279" t="s">
        <v>23</v>
      </c>
      <c r="I1279" t="s">
        <v>99</v>
      </c>
      <c r="J1279">
        <v>43</v>
      </c>
      <c r="K1279">
        <v>11145.65</v>
      </c>
      <c r="L1279">
        <v>479262.95</v>
      </c>
      <c r="M1279">
        <v>35733.019999999997</v>
      </c>
      <c r="N1279">
        <v>0</v>
      </c>
      <c r="O1279">
        <v>443529.93</v>
      </c>
      <c r="P1279" t="s">
        <v>73</v>
      </c>
      <c r="Q1279" t="s">
        <v>32</v>
      </c>
    </row>
    <row r="1280" spans="1:17" x14ac:dyDescent="0.25">
      <c r="A1280" t="s">
        <v>1397</v>
      </c>
      <c r="B1280" s="1">
        <v>46015</v>
      </c>
      <c r="C1280" t="s">
        <v>54</v>
      </c>
      <c r="D1280" t="s">
        <v>133</v>
      </c>
      <c r="E1280" t="s">
        <v>41</v>
      </c>
      <c r="F1280" t="s">
        <v>137</v>
      </c>
      <c r="G1280" t="s">
        <v>29</v>
      </c>
      <c r="H1280" t="s">
        <v>38</v>
      </c>
      <c r="I1280" t="s">
        <v>39</v>
      </c>
      <c r="J1280">
        <v>17</v>
      </c>
      <c r="K1280">
        <v>41056.33</v>
      </c>
      <c r="L1280">
        <v>697957.61</v>
      </c>
      <c r="M1280">
        <v>133529.79</v>
      </c>
      <c r="N1280">
        <v>0</v>
      </c>
      <c r="O1280">
        <v>564427.81999999995</v>
      </c>
      <c r="P1280" t="s">
        <v>25</v>
      </c>
      <c r="Q1280" t="s">
        <v>26</v>
      </c>
    </row>
    <row r="1281" spans="1:17" x14ac:dyDescent="0.25">
      <c r="A1281" t="s">
        <v>1398</v>
      </c>
      <c r="B1281" s="1">
        <v>45969</v>
      </c>
      <c r="C1281" t="s">
        <v>79</v>
      </c>
      <c r="D1281" t="s">
        <v>80</v>
      </c>
      <c r="E1281" t="s">
        <v>20</v>
      </c>
      <c r="F1281" t="s">
        <v>21</v>
      </c>
      <c r="G1281" t="s">
        <v>66</v>
      </c>
      <c r="H1281" t="s">
        <v>38</v>
      </c>
      <c r="I1281" t="s">
        <v>39</v>
      </c>
      <c r="J1281">
        <v>4</v>
      </c>
      <c r="K1281">
        <v>4992.75</v>
      </c>
      <c r="L1281">
        <v>19971</v>
      </c>
      <c r="M1281">
        <v>0</v>
      </c>
      <c r="N1281">
        <v>0</v>
      </c>
      <c r="O1281">
        <v>19971</v>
      </c>
      <c r="P1281" t="s">
        <v>73</v>
      </c>
      <c r="Q1281" t="s">
        <v>32</v>
      </c>
    </row>
    <row r="1282" spans="1:17" x14ac:dyDescent="0.25">
      <c r="A1282" t="s">
        <v>1399</v>
      </c>
      <c r="B1282" s="1">
        <v>46034</v>
      </c>
      <c r="C1282" t="s">
        <v>54</v>
      </c>
      <c r="D1282" t="s">
        <v>70</v>
      </c>
      <c r="E1282" t="s">
        <v>41</v>
      </c>
      <c r="F1282" t="s">
        <v>50</v>
      </c>
      <c r="G1282" t="s">
        <v>140</v>
      </c>
      <c r="H1282" t="s">
        <v>94</v>
      </c>
      <c r="I1282" t="s">
        <v>144</v>
      </c>
      <c r="J1282">
        <v>17</v>
      </c>
      <c r="K1282">
        <v>43733.72</v>
      </c>
      <c r="L1282">
        <v>743473.24</v>
      </c>
      <c r="M1282">
        <v>109493.39</v>
      </c>
      <c r="N1282">
        <v>0</v>
      </c>
      <c r="O1282">
        <v>633979.85</v>
      </c>
      <c r="P1282" t="s">
        <v>25</v>
      </c>
      <c r="Q1282" t="s">
        <v>26</v>
      </c>
    </row>
    <row r="1283" spans="1:17" x14ac:dyDescent="0.25">
      <c r="A1283" t="s">
        <v>1400</v>
      </c>
      <c r="B1283" s="1">
        <v>46032</v>
      </c>
      <c r="C1283" t="s">
        <v>18</v>
      </c>
      <c r="D1283" t="s">
        <v>75</v>
      </c>
      <c r="E1283" t="s">
        <v>41</v>
      </c>
      <c r="F1283" t="s">
        <v>105</v>
      </c>
      <c r="G1283" t="s">
        <v>85</v>
      </c>
      <c r="H1283" t="s">
        <v>23</v>
      </c>
      <c r="I1283" t="s">
        <v>131</v>
      </c>
      <c r="J1283">
        <v>15</v>
      </c>
      <c r="K1283">
        <v>27875.47</v>
      </c>
      <c r="L1283">
        <v>418132.05</v>
      </c>
      <c r="M1283">
        <v>0</v>
      </c>
      <c r="N1283">
        <v>0</v>
      </c>
      <c r="O1283">
        <v>418132.05</v>
      </c>
      <c r="P1283" t="s">
        <v>25</v>
      </c>
      <c r="Q1283" t="s">
        <v>26</v>
      </c>
    </row>
    <row r="1284" spans="1:17" x14ac:dyDescent="0.25">
      <c r="A1284" t="s">
        <v>1401</v>
      </c>
      <c r="B1284" s="1">
        <v>45955</v>
      </c>
      <c r="C1284" t="s">
        <v>79</v>
      </c>
      <c r="D1284" t="s">
        <v>91</v>
      </c>
      <c r="E1284" t="s">
        <v>35</v>
      </c>
      <c r="F1284" t="s">
        <v>62</v>
      </c>
      <c r="G1284" t="s">
        <v>138</v>
      </c>
      <c r="H1284" t="s">
        <v>38</v>
      </c>
      <c r="I1284" t="s">
        <v>86</v>
      </c>
      <c r="J1284">
        <v>6</v>
      </c>
      <c r="K1284">
        <v>14152.02</v>
      </c>
      <c r="L1284">
        <v>84912.12</v>
      </c>
      <c r="M1284">
        <v>5367.87</v>
      </c>
      <c r="N1284">
        <v>0</v>
      </c>
      <c r="O1284">
        <v>79544.25</v>
      </c>
      <c r="P1284" t="s">
        <v>32</v>
      </c>
      <c r="Q1284" t="s">
        <v>32</v>
      </c>
    </row>
    <row r="1285" spans="1:17" x14ac:dyDescent="0.25">
      <c r="A1285" t="s">
        <v>1402</v>
      </c>
      <c r="B1285" s="1">
        <v>46025</v>
      </c>
      <c r="C1285" t="s">
        <v>79</v>
      </c>
      <c r="D1285" t="s">
        <v>80</v>
      </c>
      <c r="E1285" t="s">
        <v>49</v>
      </c>
      <c r="F1285" t="s">
        <v>71</v>
      </c>
      <c r="G1285" t="s">
        <v>29</v>
      </c>
      <c r="H1285" t="s">
        <v>67</v>
      </c>
      <c r="I1285" t="s">
        <v>170</v>
      </c>
      <c r="J1285">
        <v>31</v>
      </c>
      <c r="K1285">
        <v>6673.04</v>
      </c>
      <c r="L1285">
        <v>206864.24</v>
      </c>
      <c r="M1285">
        <v>35937.839999999997</v>
      </c>
      <c r="N1285">
        <v>0</v>
      </c>
      <c r="O1285">
        <v>170926.4</v>
      </c>
      <c r="P1285" t="s">
        <v>73</v>
      </c>
      <c r="Q1285" t="s">
        <v>32</v>
      </c>
    </row>
    <row r="1286" spans="1:17" x14ac:dyDescent="0.25">
      <c r="A1286" t="s">
        <v>1403</v>
      </c>
      <c r="B1286" s="1">
        <v>46027</v>
      </c>
      <c r="C1286" t="s">
        <v>47</v>
      </c>
      <c r="D1286" t="s">
        <v>88</v>
      </c>
      <c r="E1286" t="s">
        <v>20</v>
      </c>
      <c r="F1286" t="s">
        <v>21</v>
      </c>
      <c r="G1286" t="s">
        <v>81</v>
      </c>
      <c r="H1286" t="s">
        <v>23</v>
      </c>
      <c r="I1286" t="s">
        <v>30</v>
      </c>
      <c r="J1286">
        <v>30</v>
      </c>
      <c r="K1286">
        <v>26585.32</v>
      </c>
      <c r="L1286">
        <v>797559.6</v>
      </c>
      <c r="M1286">
        <v>159116.71</v>
      </c>
      <c r="N1286">
        <v>0</v>
      </c>
      <c r="O1286">
        <v>638442.89</v>
      </c>
      <c r="P1286" t="s">
        <v>73</v>
      </c>
      <c r="Q1286" t="s">
        <v>32</v>
      </c>
    </row>
    <row r="1287" spans="1:17" x14ac:dyDescent="0.25">
      <c r="A1287" t="s">
        <v>1404</v>
      </c>
      <c r="B1287" s="1">
        <v>45990</v>
      </c>
      <c r="C1287" t="s">
        <v>18</v>
      </c>
      <c r="D1287" t="s">
        <v>28</v>
      </c>
      <c r="E1287" t="s">
        <v>35</v>
      </c>
      <c r="F1287" t="s">
        <v>21</v>
      </c>
      <c r="G1287" t="s">
        <v>98</v>
      </c>
      <c r="H1287" t="s">
        <v>38</v>
      </c>
      <c r="I1287" t="s">
        <v>82</v>
      </c>
      <c r="J1287">
        <v>42</v>
      </c>
      <c r="K1287">
        <v>42342.34</v>
      </c>
      <c r="L1287">
        <v>1778378.28</v>
      </c>
      <c r="M1287">
        <v>323819.06</v>
      </c>
      <c r="N1287">
        <v>0</v>
      </c>
      <c r="O1287">
        <v>1454559.22</v>
      </c>
      <c r="P1287" t="s">
        <v>73</v>
      </c>
      <c r="Q1287" t="s">
        <v>32</v>
      </c>
    </row>
    <row r="1288" spans="1:17" x14ac:dyDescent="0.25">
      <c r="A1288" t="s">
        <v>1405</v>
      </c>
      <c r="B1288" s="1">
        <v>46036</v>
      </c>
      <c r="C1288" t="s">
        <v>79</v>
      </c>
      <c r="D1288" t="s">
        <v>101</v>
      </c>
      <c r="E1288" t="s">
        <v>20</v>
      </c>
      <c r="F1288" t="s">
        <v>42</v>
      </c>
      <c r="G1288" t="s">
        <v>81</v>
      </c>
      <c r="H1288" t="s">
        <v>94</v>
      </c>
      <c r="I1288" t="s">
        <v>115</v>
      </c>
      <c r="J1288">
        <v>40</v>
      </c>
      <c r="K1288">
        <v>23303.42</v>
      </c>
      <c r="L1288">
        <v>932136.8</v>
      </c>
      <c r="M1288">
        <v>0</v>
      </c>
      <c r="N1288">
        <v>0</v>
      </c>
      <c r="O1288">
        <v>932136.8</v>
      </c>
      <c r="P1288" t="s">
        <v>32</v>
      </c>
      <c r="Q1288" t="s">
        <v>32</v>
      </c>
    </row>
    <row r="1289" spans="1:17" x14ac:dyDescent="0.25">
      <c r="A1289" t="s">
        <v>1406</v>
      </c>
      <c r="B1289" s="1">
        <v>45981</v>
      </c>
      <c r="C1289" t="s">
        <v>79</v>
      </c>
      <c r="D1289" t="s">
        <v>101</v>
      </c>
      <c r="E1289" t="s">
        <v>20</v>
      </c>
      <c r="F1289" t="s">
        <v>137</v>
      </c>
      <c r="G1289" t="s">
        <v>81</v>
      </c>
      <c r="H1289" t="s">
        <v>23</v>
      </c>
      <c r="I1289" t="s">
        <v>52</v>
      </c>
      <c r="J1289">
        <v>50</v>
      </c>
      <c r="K1289">
        <v>14992.75</v>
      </c>
      <c r="L1289">
        <v>749637.5</v>
      </c>
      <c r="M1289">
        <v>117164.35</v>
      </c>
      <c r="N1289">
        <v>0</v>
      </c>
      <c r="O1289">
        <v>632473.15</v>
      </c>
      <c r="P1289" t="s">
        <v>31</v>
      </c>
      <c r="Q1289" t="s">
        <v>32</v>
      </c>
    </row>
    <row r="1290" spans="1:17" x14ac:dyDescent="0.25">
      <c r="A1290" t="s">
        <v>1407</v>
      </c>
      <c r="B1290" s="1">
        <v>46043</v>
      </c>
      <c r="C1290" t="s">
        <v>47</v>
      </c>
      <c r="D1290" t="s">
        <v>88</v>
      </c>
      <c r="E1290" t="s">
        <v>49</v>
      </c>
      <c r="F1290" t="s">
        <v>137</v>
      </c>
      <c r="G1290" t="s">
        <v>22</v>
      </c>
      <c r="H1290" t="s">
        <v>67</v>
      </c>
      <c r="I1290" t="s">
        <v>103</v>
      </c>
      <c r="J1290">
        <v>35</v>
      </c>
      <c r="K1290">
        <v>43808.959999999999</v>
      </c>
      <c r="L1290">
        <v>1533313.6</v>
      </c>
      <c r="M1290">
        <v>111990.35</v>
      </c>
      <c r="N1290">
        <v>0</v>
      </c>
      <c r="O1290">
        <v>1421323.25</v>
      </c>
      <c r="P1290" t="s">
        <v>73</v>
      </c>
      <c r="Q1290" t="s">
        <v>32</v>
      </c>
    </row>
    <row r="1291" spans="1:17" x14ac:dyDescent="0.25">
      <c r="A1291" t="s">
        <v>1408</v>
      </c>
      <c r="B1291" s="1">
        <v>46045</v>
      </c>
      <c r="C1291" t="s">
        <v>54</v>
      </c>
      <c r="D1291" t="s">
        <v>55</v>
      </c>
      <c r="E1291" t="s">
        <v>49</v>
      </c>
      <c r="F1291" t="s">
        <v>21</v>
      </c>
      <c r="G1291" t="s">
        <v>51</v>
      </c>
      <c r="H1291" t="s">
        <v>67</v>
      </c>
      <c r="I1291" t="s">
        <v>103</v>
      </c>
      <c r="J1291">
        <v>9</v>
      </c>
      <c r="K1291">
        <v>28284.9</v>
      </c>
      <c r="L1291">
        <v>254564.1</v>
      </c>
      <c r="M1291">
        <v>0</v>
      </c>
      <c r="N1291">
        <v>0</v>
      </c>
      <c r="O1291">
        <v>254564.1</v>
      </c>
      <c r="P1291" t="s">
        <v>32</v>
      </c>
      <c r="Q1291" t="s">
        <v>26</v>
      </c>
    </row>
    <row r="1292" spans="1:17" x14ac:dyDescent="0.25">
      <c r="A1292" t="s">
        <v>1409</v>
      </c>
      <c r="B1292" s="1">
        <v>45976</v>
      </c>
      <c r="C1292" t="s">
        <v>79</v>
      </c>
      <c r="D1292" t="s">
        <v>107</v>
      </c>
      <c r="E1292" t="s">
        <v>49</v>
      </c>
      <c r="F1292" t="s">
        <v>137</v>
      </c>
      <c r="G1292" t="s">
        <v>89</v>
      </c>
      <c r="H1292" t="s">
        <v>38</v>
      </c>
      <c r="I1292" t="s">
        <v>120</v>
      </c>
      <c r="J1292">
        <v>43</v>
      </c>
      <c r="K1292">
        <v>25620.959999999999</v>
      </c>
      <c r="L1292">
        <v>1101701.28</v>
      </c>
      <c r="M1292">
        <v>0</v>
      </c>
      <c r="N1292">
        <v>79521.850000000006</v>
      </c>
      <c r="O1292">
        <v>1022179.43</v>
      </c>
      <c r="P1292" t="s">
        <v>31</v>
      </c>
      <c r="Q1292" t="s">
        <v>32</v>
      </c>
    </row>
    <row r="1293" spans="1:17" x14ac:dyDescent="0.25">
      <c r="A1293" t="s">
        <v>1410</v>
      </c>
      <c r="B1293" s="1">
        <v>46010</v>
      </c>
      <c r="C1293" t="s">
        <v>60</v>
      </c>
      <c r="D1293" t="s">
        <v>123</v>
      </c>
      <c r="E1293" t="s">
        <v>41</v>
      </c>
      <c r="F1293" t="s">
        <v>137</v>
      </c>
      <c r="G1293" t="s">
        <v>66</v>
      </c>
      <c r="H1293" t="s">
        <v>44</v>
      </c>
      <c r="I1293" t="s">
        <v>281</v>
      </c>
      <c r="J1293">
        <v>5</v>
      </c>
      <c r="K1293">
        <v>12993.32</v>
      </c>
      <c r="L1293">
        <v>64966.6</v>
      </c>
      <c r="M1293">
        <v>4367.2</v>
      </c>
      <c r="N1293">
        <v>0</v>
      </c>
      <c r="O1293">
        <v>60599.4</v>
      </c>
      <c r="P1293" t="s">
        <v>25</v>
      </c>
      <c r="Q1293" t="s">
        <v>26</v>
      </c>
    </row>
    <row r="1294" spans="1:17" x14ac:dyDescent="0.25">
      <c r="A1294" t="s">
        <v>1411</v>
      </c>
      <c r="B1294" s="1">
        <v>45960</v>
      </c>
      <c r="C1294" t="s">
        <v>79</v>
      </c>
      <c r="D1294" t="s">
        <v>101</v>
      </c>
      <c r="E1294" t="s">
        <v>35</v>
      </c>
      <c r="F1294" t="s">
        <v>42</v>
      </c>
      <c r="G1294" t="s">
        <v>102</v>
      </c>
      <c r="H1294" t="s">
        <v>94</v>
      </c>
      <c r="I1294" t="s">
        <v>177</v>
      </c>
      <c r="J1294">
        <v>15</v>
      </c>
      <c r="K1294">
        <v>31145.599999999999</v>
      </c>
      <c r="L1294">
        <v>467184</v>
      </c>
      <c r="M1294">
        <v>78900.009999999995</v>
      </c>
      <c r="N1294">
        <v>0</v>
      </c>
      <c r="O1294">
        <v>388283.99</v>
      </c>
      <c r="P1294" t="s">
        <v>32</v>
      </c>
      <c r="Q1294" t="s">
        <v>26</v>
      </c>
    </row>
    <row r="1295" spans="1:17" x14ac:dyDescent="0.25">
      <c r="A1295" t="s">
        <v>1412</v>
      </c>
      <c r="B1295" s="1">
        <v>46022</v>
      </c>
      <c r="C1295" t="s">
        <v>18</v>
      </c>
      <c r="D1295" t="s">
        <v>75</v>
      </c>
      <c r="E1295" t="s">
        <v>35</v>
      </c>
      <c r="F1295" t="s">
        <v>21</v>
      </c>
      <c r="G1295" t="s">
        <v>43</v>
      </c>
      <c r="H1295" t="s">
        <v>67</v>
      </c>
      <c r="I1295" t="s">
        <v>68</v>
      </c>
      <c r="J1295">
        <v>8</v>
      </c>
      <c r="K1295">
        <v>4694.2700000000004</v>
      </c>
      <c r="L1295">
        <v>37554.160000000003</v>
      </c>
      <c r="M1295">
        <v>5005.0600000000004</v>
      </c>
      <c r="N1295">
        <v>0</v>
      </c>
      <c r="O1295">
        <v>32549.1</v>
      </c>
      <c r="P1295" t="s">
        <v>32</v>
      </c>
      <c r="Q1295" t="s">
        <v>32</v>
      </c>
    </row>
    <row r="1296" spans="1:17" x14ac:dyDescent="0.25">
      <c r="A1296" t="s">
        <v>1413</v>
      </c>
      <c r="B1296" s="1">
        <v>45989</v>
      </c>
      <c r="C1296" t="s">
        <v>60</v>
      </c>
      <c r="D1296" t="s">
        <v>65</v>
      </c>
      <c r="E1296" t="s">
        <v>49</v>
      </c>
      <c r="F1296" t="s">
        <v>84</v>
      </c>
      <c r="G1296" t="s">
        <v>22</v>
      </c>
      <c r="H1296" t="s">
        <v>44</v>
      </c>
      <c r="I1296" t="s">
        <v>281</v>
      </c>
      <c r="J1296">
        <v>29</v>
      </c>
      <c r="K1296">
        <v>29566.14</v>
      </c>
      <c r="L1296">
        <v>857418.06</v>
      </c>
      <c r="M1296">
        <v>32582.29</v>
      </c>
      <c r="N1296">
        <v>0</v>
      </c>
      <c r="O1296">
        <v>824835.77</v>
      </c>
      <c r="P1296" t="s">
        <v>25</v>
      </c>
      <c r="Q1296" t="s">
        <v>26</v>
      </c>
    </row>
    <row r="1297" spans="1:17" x14ac:dyDescent="0.25">
      <c r="A1297" t="s">
        <v>1414</v>
      </c>
      <c r="B1297" s="1">
        <v>45974</v>
      </c>
      <c r="C1297" t="s">
        <v>79</v>
      </c>
      <c r="D1297" t="s">
        <v>91</v>
      </c>
      <c r="E1297" t="s">
        <v>35</v>
      </c>
      <c r="F1297" t="s">
        <v>62</v>
      </c>
      <c r="G1297" t="s">
        <v>29</v>
      </c>
      <c r="H1297" t="s">
        <v>44</v>
      </c>
      <c r="I1297" t="s">
        <v>152</v>
      </c>
      <c r="J1297">
        <v>50</v>
      </c>
      <c r="K1297">
        <v>12949.7</v>
      </c>
      <c r="L1297">
        <v>647485</v>
      </c>
      <c r="M1297">
        <v>50409.73</v>
      </c>
      <c r="N1297">
        <v>0</v>
      </c>
      <c r="O1297">
        <v>597075.27</v>
      </c>
      <c r="P1297" t="s">
        <v>73</v>
      </c>
      <c r="Q1297" t="s">
        <v>32</v>
      </c>
    </row>
    <row r="1298" spans="1:17" x14ac:dyDescent="0.25">
      <c r="A1298" t="s">
        <v>1415</v>
      </c>
      <c r="B1298" s="1">
        <v>45998</v>
      </c>
      <c r="C1298" t="s">
        <v>54</v>
      </c>
      <c r="D1298" t="s">
        <v>97</v>
      </c>
      <c r="E1298" t="s">
        <v>41</v>
      </c>
      <c r="F1298" t="s">
        <v>112</v>
      </c>
      <c r="G1298" t="s">
        <v>102</v>
      </c>
      <c r="H1298" t="s">
        <v>23</v>
      </c>
      <c r="I1298" t="s">
        <v>52</v>
      </c>
      <c r="J1298">
        <v>28</v>
      </c>
      <c r="K1298">
        <v>11157.76</v>
      </c>
      <c r="L1298">
        <v>312417.28000000003</v>
      </c>
      <c r="M1298">
        <v>0</v>
      </c>
      <c r="N1298">
        <v>0</v>
      </c>
      <c r="O1298">
        <v>312417.28000000003</v>
      </c>
      <c r="P1298" t="s">
        <v>25</v>
      </c>
      <c r="Q1298" t="s">
        <v>26</v>
      </c>
    </row>
    <row r="1299" spans="1:17" x14ac:dyDescent="0.25">
      <c r="A1299" t="s">
        <v>1416</v>
      </c>
      <c r="B1299" s="1">
        <v>46031</v>
      </c>
      <c r="C1299" t="s">
        <v>79</v>
      </c>
      <c r="D1299" t="s">
        <v>101</v>
      </c>
      <c r="E1299" t="s">
        <v>20</v>
      </c>
      <c r="F1299" t="s">
        <v>71</v>
      </c>
      <c r="G1299" t="s">
        <v>66</v>
      </c>
      <c r="H1299" t="s">
        <v>38</v>
      </c>
      <c r="I1299" t="s">
        <v>82</v>
      </c>
      <c r="J1299">
        <v>17</v>
      </c>
      <c r="K1299">
        <v>34920.160000000003</v>
      </c>
      <c r="L1299">
        <v>593642.72</v>
      </c>
      <c r="M1299">
        <v>69617.33</v>
      </c>
      <c r="N1299">
        <v>0</v>
      </c>
      <c r="O1299">
        <v>524025.39</v>
      </c>
      <c r="P1299" t="s">
        <v>73</v>
      </c>
      <c r="Q1299" t="s">
        <v>32</v>
      </c>
    </row>
    <row r="1300" spans="1:17" x14ac:dyDescent="0.25">
      <c r="A1300" t="s">
        <v>1417</v>
      </c>
      <c r="B1300" s="1">
        <v>46000</v>
      </c>
      <c r="C1300" t="s">
        <v>60</v>
      </c>
      <c r="D1300" t="s">
        <v>65</v>
      </c>
      <c r="E1300" t="s">
        <v>41</v>
      </c>
      <c r="F1300" t="s">
        <v>105</v>
      </c>
      <c r="G1300" t="s">
        <v>102</v>
      </c>
      <c r="H1300" t="s">
        <v>57</v>
      </c>
      <c r="I1300" t="s">
        <v>58</v>
      </c>
      <c r="J1300">
        <v>45</v>
      </c>
      <c r="K1300">
        <v>4212.7299999999996</v>
      </c>
      <c r="L1300">
        <v>189572.85</v>
      </c>
      <c r="M1300">
        <v>27899.45</v>
      </c>
      <c r="N1300">
        <v>0</v>
      </c>
      <c r="O1300">
        <v>161673.4</v>
      </c>
      <c r="P1300" t="s">
        <v>32</v>
      </c>
      <c r="Q1300" t="s">
        <v>32</v>
      </c>
    </row>
    <row r="1301" spans="1:17" x14ac:dyDescent="0.25">
      <c r="A1301" t="s">
        <v>1418</v>
      </c>
      <c r="B1301" s="1">
        <v>46001</v>
      </c>
      <c r="C1301" t="s">
        <v>79</v>
      </c>
      <c r="D1301" t="s">
        <v>80</v>
      </c>
      <c r="E1301" t="s">
        <v>35</v>
      </c>
      <c r="F1301" t="s">
        <v>62</v>
      </c>
      <c r="G1301" t="s">
        <v>22</v>
      </c>
      <c r="H1301" t="s">
        <v>94</v>
      </c>
      <c r="I1301" t="s">
        <v>193</v>
      </c>
      <c r="J1301">
        <v>50</v>
      </c>
      <c r="K1301">
        <v>23137.56</v>
      </c>
      <c r="L1301">
        <v>1156878</v>
      </c>
      <c r="M1301">
        <v>204762.06</v>
      </c>
      <c r="N1301">
        <v>0</v>
      </c>
      <c r="O1301">
        <v>952115.94</v>
      </c>
      <c r="P1301" t="s">
        <v>25</v>
      </c>
      <c r="Q1301" t="s">
        <v>26</v>
      </c>
    </row>
    <row r="1302" spans="1:17" x14ac:dyDescent="0.25">
      <c r="A1302" t="s">
        <v>1419</v>
      </c>
      <c r="B1302" s="1">
        <v>46008</v>
      </c>
      <c r="C1302" t="s">
        <v>47</v>
      </c>
      <c r="D1302" t="s">
        <v>114</v>
      </c>
      <c r="E1302" t="s">
        <v>20</v>
      </c>
      <c r="F1302" t="s">
        <v>84</v>
      </c>
      <c r="G1302" t="s">
        <v>138</v>
      </c>
      <c r="H1302" t="s">
        <v>57</v>
      </c>
      <c r="I1302" t="s">
        <v>148</v>
      </c>
      <c r="J1302">
        <v>7</v>
      </c>
      <c r="K1302">
        <v>15850.13</v>
      </c>
      <c r="L1302">
        <v>110950.91</v>
      </c>
      <c r="M1302">
        <v>20179.7</v>
      </c>
      <c r="N1302">
        <v>0</v>
      </c>
      <c r="O1302">
        <v>90771.21</v>
      </c>
      <c r="P1302" t="s">
        <v>31</v>
      </c>
      <c r="Q1302" t="s">
        <v>32</v>
      </c>
    </row>
    <row r="1303" spans="1:17" x14ac:dyDescent="0.25">
      <c r="A1303" t="s">
        <v>1420</v>
      </c>
      <c r="B1303" s="1">
        <v>46015</v>
      </c>
      <c r="C1303" t="s">
        <v>79</v>
      </c>
      <c r="D1303" t="s">
        <v>101</v>
      </c>
      <c r="E1303" t="s">
        <v>20</v>
      </c>
      <c r="F1303" t="s">
        <v>42</v>
      </c>
      <c r="G1303" t="s">
        <v>98</v>
      </c>
      <c r="H1303" t="s">
        <v>94</v>
      </c>
      <c r="I1303" t="s">
        <v>193</v>
      </c>
      <c r="J1303">
        <v>20</v>
      </c>
      <c r="K1303">
        <v>769.7</v>
      </c>
      <c r="L1303">
        <v>15394</v>
      </c>
      <c r="M1303">
        <v>0</v>
      </c>
      <c r="N1303">
        <v>0</v>
      </c>
      <c r="O1303">
        <v>15394</v>
      </c>
      <c r="P1303" t="s">
        <v>32</v>
      </c>
      <c r="Q1303" t="s">
        <v>26</v>
      </c>
    </row>
    <row r="1304" spans="1:17" x14ac:dyDescent="0.25">
      <c r="A1304" t="s">
        <v>1421</v>
      </c>
      <c r="B1304" s="1">
        <v>46038</v>
      </c>
      <c r="C1304" t="s">
        <v>79</v>
      </c>
      <c r="D1304" t="s">
        <v>101</v>
      </c>
      <c r="E1304" t="s">
        <v>49</v>
      </c>
      <c r="F1304" t="s">
        <v>71</v>
      </c>
      <c r="G1304" t="s">
        <v>51</v>
      </c>
      <c r="H1304" t="s">
        <v>38</v>
      </c>
      <c r="I1304" t="s">
        <v>175</v>
      </c>
      <c r="J1304">
        <v>7</v>
      </c>
      <c r="K1304">
        <v>45366.48</v>
      </c>
      <c r="L1304">
        <v>317565.36</v>
      </c>
      <c r="M1304">
        <v>49547.86</v>
      </c>
      <c r="N1304">
        <v>0</v>
      </c>
      <c r="O1304">
        <v>268017.5</v>
      </c>
      <c r="P1304" t="s">
        <v>25</v>
      </c>
      <c r="Q1304" t="s">
        <v>26</v>
      </c>
    </row>
    <row r="1305" spans="1:17" x14ac:dyDescent="0.25">
      <c r="A1305" t="s">
        <v>1422</v>
      </c>
      <c r="B1305" s="1">
        <v>45962</v>
      </c>
      <c r="C1305" t="s">
        <v>79</v>
      </c>
      <c r="D1305" t="s">
        <v>80</v>
      </c>
      <c r="E1305" t="s">
        <v>35</v>
      </c>
      <c r="F1305" t="s">
        <v>84</v>
      </c>
      <c r="G1305" t="s">
        <v>22</v>
      </c>
      <c r="H1305" t="s">
        <v>57</v>
      </c>
      <c r="I1305" t="s">
        <v>160</v>
      </c>
      <c r="J1305">
        <v>40</v>
      </c>
      <c r="K1305">
        <v>601.55999999999995</v>
      </c>
      <c r="L1305">
        <v>24062.400000000001</v>
      </c>
      <c r="M1305">
        <v>0</v>
      </c>
      <c r="N1305">
        <v>0</v>
      </c>
      <c r="O1305">
        <v>24062.400000000001</v>
      </c>
      <c r="P1305" t="s">
        <v>25</v>
      </c>
      <c r="Q1305" t="s">
        <v>26</v>
      </c>
    </row>
    <row r="1306" spans="1:17" x14ac:dyDescent="0.25">
      <c r="A1306" t="s">
        <v>1423</v>
      </c>
      <c r="B1306" s="1">
        <v>45974</v>
      </c>
      <c r="C1306" t="s">
        <v>18</v>
      </c>
      <c r="D1306" t="s">
        <v>75</v>
      </c>
      <c r="E1306" t="s">
        <v>49</v>
      </c>
      <c r="F1306" t="s">
        <v>50</v>
      </c>
      <c r="G1306" t="s">
        <v>140</v>
      </c>
      <c r="H1306" t="s">
        <v>67</v>
      </c>
      <c r="I1306" t="s">
        <v>103</v>
      </c>
      <c r="J1306">
        <v>43</v>
      </c>
      <c r="K1306">
        <v>6624.58</v>
      </c>
      <c r="L1306">
        <v>284856.94</v>
      </c>
      <c r="M1306">
        <v>41626.5</v>
      </c>
      <c r="N1306">
        <v>0</v>
      </c>
      <c r="O1306">
        <v>243230.44</v>
      </c>
      <c r="P1306" t="s">
        <v>32</v>
      </c>
      <c r="Q1306" t="s">
        <v>32</v>
      </c>
    </row>
    <row r="1307" spans="1:17" x14ac:dyDescent="0.25">
      <c r="A1307" t="s">
        <v>1424</v>
      </c>
      <c r="B1307" s="1">
        <v>45969</v>
      </c>
      <c r="C1307" t="s">
        <v>47</v>
      </c>
      <c r="D1307" t="s">
        <v>127</v>
      </c>
      <c r="E1307" t="s">
        <v>41</v>
      </c>
      <c r="F1307" t="s">
        <v>84</v>
      </c>
      <c r="G1307" t="s">
        <v>85</v>
      </c>
      <c r="H1307" t="s">
        <v>94</v>
      </c>
      <c r="I1307" t="s">
        <v>144</v>
      </c>
      <c r="J1307">
        <v>3</v>
      </c>
      <c r="K1307">
        <v>18740.96</v>
      </c>
      <c r="L1307">
        <v>56222.879999999997</v>
      </c>
      <c r="M1307">
        <v>0</v>
      </c>
      <c r="N1307">
        <v>0</v>
      </c>
      <c r="O1307">
        <v>56222.879999999997</v>
      </c>
      <c r="P1307" t="s">
        <v>73</v>
      </c>
      <c r="Q1307" t="s">
        <v>32</v>
      </c>
    </row>
    <row r="1308" spans="1:17" x14ac:dyDescent="0.25">
      <c r="A1308" t="s">
        <v>1425</v>
      </c>
      <c r="B1308" s="1">
        <v>46004</v>
      </c>
      <c r="C1308" t="s">
        <v>79</v>
      </c>
      <c r="D1308" t="s">
        <v>107</v>
      </c>
      <c r="E1308" t="s">
        <v>49</v>
      </c>
      <c r="F1308" t="s">
        <v>112</v>
      </c>
      <c r="G1308" t="s">
        <v>29</v>
      </c>
      <c r="H1308" t="s">
        <v>38</v>
      </c>
      <c r="I1308" t="s">
        <v>175</v>
      </c>
      <c r="J1308">
        <v>24</v>
      </c>
      <c r="K1308">
        <v>30651.34</v>
      </c>
      <c r="L1308">
        <v>735632.16</v>
      </c>
      <c r="M1308">
        <v>0</v>
      </c>
      <c r="N1308">
        <v>0</v>
      </c>
      <c r="O1308">
        <v>735632.16</v>
      </c>
      <c r="P1308" t="s">
        <v>25</v>
      </c>
      <c r="Q1308" t="s">
        <v>26</v>
      </c>
    </row>
    <row r="1309" spans="1:17" x14ac:dyDescent="0.25">
      <c r="A1309" t="s">
        <v>1426</v>
      </c>
      <c r="B1309" s="1">
        <v>45964</v>
      </c>
      <c r="C1309" t="s">
        <v>60</v>
      </c>
      <c r="D1309" t="s">
        <v>61</v>
      </c>
      <c r="E1309" t="s">
        <v>35</v>
      </c>
      <c r="F1309" t="s">
        <v>21</v>
      </c>
      <c r="G1309" t="s">
        <v>29</v>
      </c>
      <c r="H1309" t="s">
        <v>38</v>
      </c>
      <c r="I1309" t="s">
        <v>39</v>
      </c>
      <c r="J1309">
        <v>18</v>
      </c>
      <c r="K1309">
        <v>10421.719999999999</v>
      </c>
      <c r="L1309">
        <v>187590.96</v>
      </c>
      <c r="M1309">
        <v>0</v>
      </c>
      <c r="N1309">
        <v>0</v>
      </c>
      <c r="O1309">
        <v>187590.96</v>
      </c>
      <c r="P1309" t="s">
        <v>25</v>
      </c>
      <c r="Q1309" t="s">
        <v>26</v>
      </c>
    </row>
    <row r="1310" spans="1:17" x14ac:dyDescent="0.25">
      <c r="A1310" t="s">
        <v>1427</v>
      </c>
      <c r="B1310" s="1">
        <v>45970</v>
      </c>
      <c r="C1310" t="s">
        <v>54</v>
      </c>
      <c r="D1310" t="s">
        <v>133</v>
      </c>
      <c r="E1310" t="s">
        <v>41</v>
      </c>
      <c r="F1310" t="s">
        <v>84</v>
      </c>
      <c r="G1310" t="s">
        <v>43</v>
      </c>
      <c r="H1310" t="s">
        <v>57</v>
      </c>
      <c r="I1310" t="s">
        <v>118</v>
      </c>
      <c r="J1310">
        <v>45</v>
      </c>
      <c r="K1310">
        <v>37028.410000000003</v>
      </c>
      <c r="L1310">
        <v>1666278.45</v>
      </c>
      <c r="M1310">
        <v>229249.29</v>
      </c>
      <c r="N1310">
        <v>493985.82</v>
      </c>
      <c r="O1310">
        <v>943043.34</v>
      </c>
      <c r="P1310" t="s">
        <v>25</v>
      </c>
      <c r="Q1310" t="s">
        <v>26</v>
      </c>
    </row>
    <row r="1311" spans="1:17" x14ac:dyDescent="0.25">
      <c r="A1311" t="s">
        <v>1428</v>
      </c>
      <c r="B1311" s="1">
        <v>45975</v>
      </c>
      <c r="C1311" t="s">
        <v>60</v>
      </c>
      <c r="D1311" t="s">
        <v>65</v>
      </c>
      <c r="E1311" t="s">
        <v>49</v>
      </c>
      <c r="F1311" t="s">
        <v>105</v>
      </c>
      <c r="G1311" t="s">
        <v>81</v>
      </c>
      <c r="H1311" t="s">
        <v>23</v>
      </c>
      <c r="I1311" t="s">
        <v>30</v>
      </c>
      <c r="J1311">
        <v>47</v>
      </c>
      <c r="K1311">
        <v>18824.13</v>
      </c>
      <c r="L1311">
        <v>884734.11</v>
      </c>
      <c r="M1311">
        <v>91801.36</v>
      </c>
      <c r="N1311">
        <v>0</v>
      </c>
      <c r="O1311">
        <v>792932.75</v>
      </c>
      <c r="P1311" t="s">
        <v>73</v>
      </c>
      <c r="Q1311" t="s">
        <v>26</v>
      </c>
    </row>
    <row r="1312" spans="1:17" x14ac:dyDescent="0.25">
      <c r="A1312" t="s">
        <v>1429</v>
      </c>
      <c r="B1312" s="1">
        <v>46011</v>
      </c>
      <c r="C1312" t="s">
        <v>47</v>
      </c>
      <c r="D1312" t="s">
        <v>127</v>
      </c>
      <c r="E1312" t="s">
        <v>35</v>
      </c>
      <c r="F1312" t="s">
        <v>21</v>
      </c>
      <c r="G1312" t="s">
        <v>37</v>
      </c>
      <c r="H1312" t="s">
        <v>44</v>
      </c>
      <c r="I1312" t="s">
        <v>124</v>
      </c>
      <c r="J1312">
        <v>36</v>
      </c>
      <c r="K1312">
        <v>11084.01</v>
      </c>
      <c r="L1312">
        <v>399024.36</v>
      </c>
      <c r="M1312">
        <v>0</v>
      </c>
      <c r="N1312">
        <v>102014.45</v>
      </c>
      <c r="O1312">
        <v>297009.90999999997</v>
      </c>
      <c r="P1312" t="s">
        <v>25</v>
      </c>
      <c r="Q1312" t="s">
        <v>26</v>
      </c>
    </row>
    <row r="1313" spans="1:17" x14ac:dyDescent="0.25">
      <c r="A1313" t="s">
        <v>1430</v>
      </c>
      <c r="B1313" s="1">
        <v>46019</v>
      </c>
      <c r="C1313" t="s">
        <v>54</v>
      </c>
      <c r="D1313" t="s">
        <v>97</v>
      </c>
      <c r="E1313" t="s">
        <v>49</v>
      </c>
      <c r="F1313" t="s">
        <v>71</v>
      </c>
      <c r="G1313" t="s">
        <v>63</v>
      </c>
      <c r="H1313" t="s">
        <v>23</v>
      </c>
      <c r="I1313" t="s">
        <v>110</v>
      </c>
      <c r="J1313">
        <v>28</v>
      </c>
      <c r="K1313">
        <v>14032.49</v>
      </c>
      <c r="L1313">
        <v>392909.72</v>
      </c>
      <c r="M1313">
        <v>0</v>
      </c>
      <c r="N1313">
        <v>0</v>
      </c>
      <c r="O1313">
        <v>392909.72</v>
      </c>
      <c r="P1313" t="s">
        <v>31</v>
      </c>
      <c r="Q1313" t="s">
        <v>32</v>
      </c>
    </row>
    <row r="1314" spans="1:17" x14ac:dyDescent="0.25">
      <c r="A1314" t="s">
        <v>1431</v>
      </c>
      <c r="B1314" s="1">
        <v>45987</v>
      </c>
      <c r="C1314" t="s">
        <v>60</v>
      </c>
      <c r="D1314" t="s">
        <v>123</v>
      </c>
      <c r="E1314" t="s">
        <v>20</v>
      </c>
      <c r="F1314" t="s">
        <v>71</v>
      </c>
      <c r="G1314" t="s">
        <v>22</v>
      </c>
      <c r="H1314" t="s">
        <v>67</v>
      </c>
      <c r="I1314" t="s">
        <v>68</v>
      </c>
      <c r="J1314">
        <v>45</v>
      </c>
      <c r="K1314">
        <v>9011.56</v>
      </c>
      <c r="L1314">
        <v>405520.2</v>
      </c>
      <c r="M1314">
        <v>59598.92</v>
      </c>
      <c r="N1314">
        <v>0</v>
      </c>
      <c r="O1314">
        <v>345921.28000000003</v>
      </c>
      <c r="P1314" t="s">
        <v>31</v>
      </c>
      <c r="Q1314" t="s">
        <v>32</v>
      </c>
    </row>
    <row r="1315" spans="1:17" x14ac:dyDescent="0.25">
      <c r="A1315" t="s">
        <v>1432</v>
      </c>
      <c r="B1315" s="1">
        <v>46006</v>
      </c>
      <c r="C1315" t="s">
        <v>18</v>
      </c>
      <c r="D1315" t="s">
        <v>75</v>
      </c>
      <c r="E1315" t="s">
        <v>49</v>
      </c>
      <c r="F1315" t="s">
        <v>105</v>
      </c>
      <c r="G1315" t="s">
        <v>140</v>
      </c>
      <c r="H1315" t="s">
        <v>38</v>
      </c>
      <c r="I1315" t="s">
        <v>82</v>
      </c>
      <c r="J1315">
        <v>25</v>
      </c>
      <c r="K1315">
        <v>29092.43</v>
      </c>
      <c r="L1315">
        <v>727310.75</v>
      </c>
      <c r="M1315">
        <v>87987.42</v>
      </c>
      <c r="N1315">
        <v>187335.36</v>
      </c>
      <c r="O1315">
        <v>451987.97</v>
      </c>
      <c r="P1315" t="s">
        <v>32</v>
      </c>
      <c r="Q1315" t="s">
        <v>32</v>
      </c>
    </row>
    <row r="1316" spans="1:17" x14ac:dyDescent="0.25">
      <c r="A1316" t="s">
        <v>1433</v>
      </c>
      <c r="B1316" s="1">
        <v>46029</v>
      </c>
      <c r="C1316" t="s">
        <v>47</v>
      </c>
      <c r="D1316" t="s">
        <v>88</v>
      </c>
      <c r="E1316" t="s">
        <v>20</v>
      </c>
      <c r="F1316" t="s">
        <v>50</v>
      </c>
      <c r="G1316" t="s">
        <v>29</v>
      </c>
      <c r="H1316" t="s">
        <v>23</v>
      </c>
      <c r="I1316" t="s">
        <v>110</v>
      </c>
      <c r="J1316">
        <v>13</v>
      </c>
      <c r="K1316">
        <v>47521.05</v>
      </c>
      <c r="L1316">
        <v>617773.65</v>
      </c>
      <c r="M1316">
        <v>0</v>
      </c>
      <c r="N1316">
        <v>0</v>
      </c>
      <c r="O1316">
        <v>617773.65</v>
      </c>
      <c r="P1316" t="s">
        <v>32</v>
      </c>
      <c r="Q1316" t="s">
        <v>26</v>
      </c>
    </row>
    <row r="1317" spans="1:17" x14ac:dyDescent="0.25">
      <c r="A1317" t="s">
        <v>1434</v>
      </c>
      <c r="B1317" s="1">
        <v>46004</v>
      </c>
      <c r="C1317" t="s">
        <v>60</v>
      </c>
      <c r="D1317" t="s">
        <v>61</v>
      </c>
      <c r="E1317" t="s">
        <v>20</v>
      </c>
      <c r="F1317" t="s">
        <v>42</v>
      </c>
      <c r="G1317" t="s">
        <v>22</v>
      </c>
      <c r="H1317" t="s">
        <v>23</v>
      </c>
      <c r="I1317" t="s">
        <v>52</v>
      </c>
      <c r="J1317">
        <v>32</v>
      </c>
      <c r="K1317">
        <v>33236.400000000001</v>
      </c>
      <c r="L1317">
        <v>1063564.8</v>
      </c>
      <c r="M1317">
        <v>0</v>
      </c>
      <c r="N1317">
        <v>0</v>
      </c>
      <c r="O1317">
        <v>1063564.8</v>
      </c>
      <c r="P1317" t="s">
        <v>73</v>
      </c>
      <c r="Q1317" t="s">
        <v>32</v>
      </c>
    </row>
    <row r="1318" spans="1:17" x14ac:dyDescent="0.25">
      <c r="A1318" t="s">
        <v>1435</v>
      </c>
      <c r="B1318" s="1">
        <v>46004</v>
      </c>
      <c r="C1318" t="s">
        <v>79</v>
      </c>
      <c r="D1318" t="s">
        <v>80</v>
      </c>
      <c r="E1318" t="s">
        <v>35</v>
      </c>
      <c r="F1318" t="s">
        <v>137</v>
      </c>
      <c r="G1318" t="s">
        <v>43</v>
      </c>
      <c r="H1318" t="s">
        <v>38</v>
      </c>
      <c r="I1318" t="s">
        <v>82</v>
      </c>
      <c r="J1318">
        <v>24</v>
      </c>
      <c r="K1318">
        <v>17479.43</v>
      </c>
      <c r="L1318">
        <v>419506.32</v>
      </c>
      <c r="M1318">
        <v>0</v>
      </c>
      <c r="N1318">
        <v>0</v>
      </c>
      <c r="O1318">
        <v>419506.32</v>
      </c>
      <c r="P1318" t="s">
        <v>73</v>
      </c>
      <c r="Q1318" t="s">
        <v>32</v>
      </c>
    </row>
    <row r="1319" spans="1:17" x14ac:dyDescent="0.25">
      <c r="A1319" t="s">
        <v>1436</v>
      </c>
      <c r="B1319" s="1">
        <v>46027</v>
      </c>
      <c r="C1319" t="s">
        <v>18</v>
      </c>
      <c r="D1319" t="s">
        <v>19</v>
      </c>
      <c r="E1319" t="s">
        <v>41</v>
      </c>
      <c r="F1319" t="s">
        <v>42</v>
      </c>
      <c r="G1319" t="s">
        <v>56</v>
      </c>
      <c r="H1319" t="s">
        <v>94</v>
      </c>
      <c r="I1319" t="s">
        <v>177</v>
      </c>
      <c r="J1319">
        <v>31</v>
      </c>
      <c r="K1319">
        <v>20990.95</v>
      </c>
      <c r="L1319">
        <v>650719.44999999995</v>
      </c>
      <c r="M1319">
        <v>6532.51</v>
      </c>
      <c r="N1319">
        <v>0</v>
      </c>
      <c r="O1319">
        <v>644186.93999999994</v>
      </c>
      <c r="P1319" t="s">
        <v>73</v>
      </c>
      <c r="Q1319" t="s">
        <v>32</v>
      </c>
    </row>
    <row r="1320" spans="1:17" x14ac:dyDescent="0.25">
      <c r="A1320" t="s">
        <v>1437</v>
      </c>
      <c r="B1320" s="1">
        <v>45970</v>
      </c>
      <c r="C1320" t="s">
        <v>18</v>
      </c>
      <c r="D1320" t="s">
        <v>34</v>
      </c>
      <c r="E1320" t="s">
        <v>20</v>
      </c>
      <c r="F1320" t="s">
        <v>105</v>
      </c>
      <c r="G1320" t="s">
        <v>138</v>
      </c>
      <c r="H1320" t="s">
        <v>67</v>
      </c>
      <c r="I1320" t="s">
        <v>170</v>
      </c>
      <c r="J1320">
        <v>23</v>
      </c>
      <c r="K1320">
        <v>9876.43</v>
      </c>
      <c r="L1320">
        <v>227157.89</v>
      </c>
      <c r="M1320">
        <v>3207.6</v>
      </c>
      <c r="N1320">
        <v>0</v>
      </c>
      <c r="O1320">
        <v>223950.29</v>
      </c>
      <c r="P1320" t="s">
        <v>73</v>
      </c>
      <c r="Q1320" t="s">
        <v>32</v>
      </c>
    </row>
    <row r="1321" spans="1:17" x14ac:dyDescent="0.25">
      <c r="A1321" t="s">
        <v>1438</v>
      </c>
      <c r="B1321" s="1">
        <v>45977</v>
      </c>
      <c r="C1321" t="s">
        <v>54</v>
      </c>
      <c r="D1321" t="s">
        <v>97</v>
      </c>
      <c r="E1321" t="s">
        <v>20</v>
      </c>
      <c r="F1321" t="s">
        <v>71</v>
      </c>
      <c r="G1321" t="s">
        <v>51</v>
      </c>
      <c r="H1321" t="s">
        <v>44</v>
      </c>
      <c r="I1321" t="s">
        <v>135</v>
      </c>
      <c r="J1321">
        <v>4</v>
      </c>
      <c r="K1321">
        <v>22217.72</v>
      </c>
      <c r="L1321">
        <v>88870.88</v>
      </c>
      <c r="M1321">
        <v>0</v>
      </c>
      <c r="N1321">
        <v>0</v>
      </c>
      <c r="O1321">
        <v>88870.88</v>
      </c>
      <c r="P1321" t="s">
        <v>31</v>
      </c>
      <c r="Q1321" t="s">
        <v>32</v>
      </c>
    </row>
    <row r="1322" spans="1:17" x14ac:dyDescent="0.25">
      <c r="A1322" t="s">
        <v>1439</v>
      </c>
      <c r="B1322" s="1">
        <v>46021</v>
      </c>
      <c r="C1322" t="s">
        <v>54</v>
      </c>
      <c r="D1322" t="s">
        <v>55</v>
      </c>
      <c r="E1322" t="s">
        <v>49</v>
      </c>
      <c r="F1322" t="s">
        <v>50</v>
      </c>
      <c r="G1322" t="s">
        <v>138</v>
      </c>
      <c r="H1322" t="s">
        <v>44</v>
      </c>
      <c r="I1322" t="s">
        <v>135</v>
      </c>
      <c r="J1322">
        <v>44</v>
      </c>
      <c r="K1322">
        <v>22568.82</v>
      </c>
      <c r="L1322">
        <v>993028.08</v>
      </c>
      <c r="M1322">
        <v>143684.76999999999</v>
      </c>
      <c r="N1322">
        <v>0</v>
      </c>
      <c r="O1322">
        <v>849343.31</v>
      </c>
      <c r="P1322" t="s">
        <v>25</v>
      </c>
      <c r="Q1322" t="s">
        <v>26</v>
      </c>
    </row>
    <row r="1323" spans="1:17" x14ac:dyDescent="0.25">
      <c r="A1323" t="s">
        <v>1440</v>
      </c>
      <c r="B1323" s="1">
        <v>45975</v>
      </c>
      <c r="C1323" t="s">
        <v>47</v>
      </c>
      <c r="D1323" t="s">
        <v>48</v>
      </c>
      <c r="E1323" t="s">
        <v>20</v>
      </c>
      <c r="F1323" t="s">
        <v>36</v>
      </c>
      <c r="G1323" t="s">
        <v>89</v>
      </c>
      <c r="H1323" t="s">
        <v>38</v>
      </c>
      <c r="I1323" t="s">
        <v>108</v>
      </c>
      <c r="J1323">
        <v>39</v>
      </c>
      <c r="K1323">
        <v>17418.330000000002</v>
      </c>
      <c r="L1323">
        <v>679314.87</v>
      </c>
      <c r="M1323">
        <v>111906.77</v>
      </c>
      <c r="N1323">
        <v>0</v>
      </c>
      <c r="O1323">
        <v>567408.1</v>
      </c>
      <c r="P1323" t="s">
        <v>31</v>
      </c>
      <c r="Q1323" t="s">
        <v>32</v>
      </c>
    </row>
    <row r="1324" spans="1:17" x14ac:dyDescent="0.25">
      <c r="A1324" t="s">
        <v>1441</v>
      </c>
      <c r="B1324" s="1">
        <v>46004</v>
      </c>
      <c r="C1324" t="s">
        <v>54</v>
      </c>
      <c r="D1324" t="s">
        <v>55</v>
      </c>
      <c r="E1324" t="s">
        <v>41</v>
      </c>
      <c r="F1324" t="s">
        <v>21</v>
      </c>
      <c r="G1324" t="s">
        <v>63</v>
      </c>
      <c r="H1324" t="s">
        <v>57</v>
      </c>
      <c r="I1324" t="s">
        <v>118</v>
      </c>
      <c r="J1324">
        <v>37</v>
      </c>
      <c r="K1324">
        <v>37602.720000000001</v>
      </c>
      <c r="L1324">
        <v>1391300.64</v>
      </c>
      <c r="M1324">
        <v>85159.21</v>
      </c>
      <c r="N1324">
        <v>0</v>
      </c>
      <c r="O1324">
        <v>1306141.43</v>
      </c>
      <c r="P1324" t="s">
        <v>73</v>
      </c>
      <c r="Q1324" t="s">
        <v>32</v>
      </c>
    </row>
    <row r="1325" spans="1:17" x14ac:dyDescent="0.25">
      <c r="A1325" t="s">
        <v>1442</v>
      </c>
      <c r="B1325" s="1">
        <v>45963</v>
      </c>
      <c r="C1325" t="s">
        <v>60</v>
      </c>
      <c r="D1325" t="s">
        <v>123</v>
      </c>
      <c r="E1325" t="s">
        <v>41</v>
      </c>
      <c r="F1325" t="s">
        <v>42</v>
      </c>
      <c r="G1325" t="s">
        <v>56</v>
      </c>
      <c r="H1325" t="s">
        <v>94</v>
      </c>
      <c r="I1325" t="s">
        <v>115</v>
      </c>
      <c r="J1325">
        <v>48</v>
      </c>
      <c r="K1325">
        <v>2246.33</v>
      </c>
      <c r="L1325">
        <v>107823.84</v>
      </c>
      <c r="M1325">
        <v>1462.74</v>
      </c>
      <c r="N1325">
        <v>0</v>
      </c>
      <c r="O1325">
        <v>106361.1</v>
      </c>
      <c r="P1325" t="s">
        <v>73</v>
      </c>
      <c r="Q1325" t="s">
        <v>26</v>
      </c>
    </row>
    <row r="1326" spans="1:17" x14ac:dyDescent="0.25">
      <c r="A1326" t="s">
        <v>1443</v>
      </c>
      <c r="B1326" s="1">
        <v>45982</v>
      </c>
      <c r="C1326" t="s">
        <v>54</v>
      </c>
      <c r="D1326" t="s">
        <v>133</v>
      </c>
      <c r="E1326" t="s">
        <v>20</v>
      </c>
      <c r="F1326" t="s">
        <v>50</v>
      </c>
      <c r="G1326" t="s">
        <v>66</v>
      </c>
      <c r="H1326" t="s">
        <v>67</v>
      </c>
      <c r="I1326" t="s">
        <v>154</v>
      </c>
      <c r="J1326">
        <v>10</v>
      </c>
      <c r="K1326">
        <v>26621.27</v>
      </c>
      <c r="L1326">
        <v>266212.7</v>
      </c>
      <c r="M1326">
        <v>34559.82</v>
      </c>
      <c r="N1326">
        <v>0</v>
      </c>
      <c r="O1326">
        <v>231652.88</v>
      </c>
      <c r="P1326" t="s">
        <v>25</v>
      </c>
      <c r="Q1326" t="s">
        <v>26</v>
      </c>
    </row>
    <row r="1327" spans="1:17" x14ac:dyDescent="0.25">
      <c r="A1327" t="s">
        <v>1444</v>
      </c>
      <c r="B1327" s="1">
        <v>45969</v>
      </c>
      <c r="C1327" t="s">
        <v>47</v>
      </c>
      <c r="D1327" t="s">
        <v>127</v>
      </c>
      <c r="E1327" t="s">
        <v>49</v>
      </c>
      <c r="F1327" t="s">
        <v>71</v>
      </c>
      <c r="G1327" t="s">
        <v>51</v>
      </c>
      <c r="H1327" t="s">
        <v>57</v>
      </c>
      <c r="I1327" t="s">
        <v>118</v>
      </c>
      <c r="J1327">
        <v>38</v>
      </c>
      <c r="K1327">
        <v>2933.24</v>
      </c>
      <c r="L1327">
        <v>111463.12</v>
      </c>
      <c r="M1327">
        <v>0</v>
      </c>
      <c r="N1327">
        <v>0</v>
      </c>
      <c r="O1327">
        <v>111463.12</v>
      </c>
      <c r="P1327" t="s">
        <v>32</v>
      </c>
      <c r="Q1327" t="s">
        <v>26</v>
      </c>
    </row>
    <row r="1328" spans="1:17" x14ac:dyDescent="0.25">
      <c r="A1328" t="s">
        <v>1445</v>
      </c>
      <c r="B1328" s="1">
        <v>45956</v>
      </c>
      <c r="C1328" t="s">
        <v>79</v>
      </c>
      <c r="D1328" t="s">
        <v>101</v>
      </c>
      <c r="E1328" t="s">
        <v>35</v>
      </c>
      <c r="F1328" t="s">
        <v>105</v>
      </c>
      <c r="G1328" t="s">
        <v>29</v>
      </c>
      <c r="H1328" t="s">
        <v>94</v>
      </c>
      <c r="I1328" t="s">
        <v>177</v>
      </c>
      <c r="J1328">
        <v>1</v>
      </c>
      <c r="K1328">
        <v>12142.84</v>
      </c>
      <c r="L1328">
        <v>12142.84</v>
      </c>
      <c r="M1328">
        <v>0</v>
      </c>
      <c r="N1328">
        <v>2714.38</v>
      </c>
      <c r="O1328">
        <v>9428.4599999999991</v>
      </c>
      <c r="P1328" t="s">
        <v>25</v>
      </c>
      <c r="Q1328" t="s">
        <v>26</v>
      </c>
    </row>
    <row r="1329" spans="1:17" x14ac:dyDescent="0.25">
      <c r="A1329" t="s">
        <v>1446</v>
      </c>
      <c r="B1329" s="1">
        <v>45986</v>
      </c>
      <c r="C1329" t="s">
        <v>18</v>
      </c>
      <c r="D1329" t="s">
        <v>28</v>
      </c>
      <c r="E1329" t="s">
        <v>20</v>
      </c>
      <c r="F1329" t="s">
        <v>112</v>
      </c>
      <c r="G1329" t="s">
        <v>51</v>
      </c>
      <c r="H1329" t="s">
        <v>38</v>
      </c>
      <c r="I1329" t="s">
        <v>86</v>
      </c>
      <c r="J1329">
        <v>4</v>
      </c>
      <c r="K1329">
        <v>46763.09</v>
      </c>
      <c r="L1329">
        <v>187052.36</v>
      </c>
      <c r="M1329">
        <v>0</v>
      </c>
      <c r="N1329">
        <v>0</v>
      </c>
      <c r="O1329">
        <v>187052.36</v>
      </c>
      <c r="P1329" t="s">
        <v>25</v>
      </c>
      <c r="Q1329" t="s">
        <v>26</v>
      </c>
    </row>
    <row r="1330" spans="1:17" x14ac:dyDescent="0.25">
      <c r="A1330" t="s">
        <v>1447</v>
      </c>
      <c r="B1330" s="1">
        <v>45972</v>
      </c>
      <c r="C1330" t="s">
        <v>60</v>
      </c>
      <c r="D1330" t="s">
        <v>61</v>
      </c>
      <c r="E1330" t="s">
        <v>49</v>
      </c>
      <c r="F1330" t="s">
        <v>36</v>
      </c>
      <c r="G1330" t="s">
        <v>22</v>
      </c>
      <c r="H1330" t="s">
        <v>57</v>
      </c>
      <c r="I1330" t="s">
        <v>58</v>
      </c>
      <c r="J1330">
        <v>36</v>
      </c>
      <c r="K1330">
        <v>13663.24</v>
      </c>
      <c r="L1330">
        <v>491876.64</v>
      </c>
      <c r="M1330">
        <v>0</v>
      </c>
      <c r="N1330">
        <v>0</v>
      </c>
      <c r="O1330">
        <v>491876.64</v>
      </c>
      <c r="P1330" t="s">
        <v>32</v>
      </c>
      <c r="Q1330" t="s">
        <v>32</v>
      </c>
    </row>
    <row r="1331" spans="1:17" x14ac:dyDescent="0.25">
      <c r="A1331" t="s">
        <v>1448</v>
      </c>
      <c r="B1331" s="1">
        <v>45972</v>
      </c>
      <c r="C1331" t="s">
        <v>47</v>
      </c>
      <c r="D1331" t="s">
        <v>127</v>
      </c>
      <c r="E1331" t="s">
        <v>41</v>
      </c>
      <c r="F1331" t="s">
        <v>84</v>
      </c>
      <c r="G1331" t="s">
        <v>138</v>
      </c>
      <c r="H1331" t="s">
        <v>23</v>
      </c>
      <c r="I1331" t="s">
        <v>131</v>
      </c>
      <c r="J1331">
        <v>39</v>
      </c>
      <c r="K1331">
        <v>1639.1</v>
      </c>
      <c r="L1331">
        <v>63924.9</v>
      </c>
      <c r="M1331">
        <v>0</v>
      </c>
      <c r="N1331">
        <v>0</v>
      </c>
      <c r="O1331">
        <v>63924.9</v>
      </c>
      <c r="P1331" t="s">
        <v>25</v>
      </c>
      <c r="Q1331" t="s">
        <v>26</v>
      </c>
    </row>
    <row r="1332" spans="1:17" x14ac:dyDescent="0.25">
      <c r="A1332" t="s">
        <v>1449</v>
      </c>
      <c r="B1332" s="1">
        <v>46014</v>
      </c>
      <c r="C1332" t="s">
        <v>79</v>
      </c>
      <c r="D1332" t="s">
        <v>91</v>
      </c>
      <c r="E1332" t="s">
        <v>20</v>
      </c>
      <c r="F1332" t="s">
        <v>137</v>
      </c>
      <c r="G1332" t="s">
        <v>140</v>
      </c>
      <c r="H1332" t="s">
        <v>57</v>
      </c>
      <c r="I1332" t="s">
        <v>148</v>
      </c>
      <c r="J1332">
        <v>26</v>
      </c>
      <c r="K1332">
        <v>15107.89</v>
      </c>
      <c r="L1332">
        <v>392805.14</v>
      </c>
      <c r="M1332">
        <v>0</v>
      </c>
      <c r="N1332">
        <v>0</v>
      </c>
      <c r="O1332">
        <v>392805.14</v>
      </c>
      <c r="P1332" t="s">
        <v>73</v>
      </c>
      <c r="Q1332" t="s">
        <v>32</v>
      </c>
    </row>
    <row r="1333" spans="1:17" x14ac:dyDescent="0.25">
      <c r="A1333" t="s">
        <v>1450</v>
      </c>
      <c r="B1333" s="1">
        <v>46034</v>
      </c>
      <c r="C1333" t="s">
        <v>18</v>
      </c>
      <c r="D1333" t="s">
        <v>34</v>
      </c>
      <c r="E1333" t="s">
        <v>20</v>
      </c>
      <c r="F1333" t="s">
        <v>112</v>
      </c>
      <c r="G1333" t="s">
        <v>81</v>
      </c>
      <c r="H1333" t="s">
        <v>23</v>
      </c>
      <c r="I1333" t="s">
        <v>110</v>
      </c>
      <c r="J1333">
        <v>13</v>
      </c>
      <c r="K1333">
        <v>13673.59</v>
      </c>
      <c r="L1333">
        <v>177756.67</v>
      </c>
      <c r="M1333">
        <v>17624.23</v>
      </c>
      <c r="N1333">
        <v>0</v>
      </c>
      <c r="O1333">
        <v>160132.44</v>
      </c>
      <c r="P1333" t="s">
        <v>31</v>
      </c>
      <c r="Q1333" t="s">
        <v>32</v>
      </c>
    </row>
    <row r="1334" spans="1:17" x14ac:dyDescent="0.25">
      <c r="A1334" t="s">
        <v>1451</v>
      </c>
      <c r="B1334" s="1">
        <v>45985</v>
      </c>
      <c r="C1334" t="s">
        <v>47</v>
      </c>
      <c r="D1334" t="s">
        <v>88</v>
      </c>
      <c r="E1334" t="s">
        <v>49</v>
      </c>
      <c r="F1334" t="s">
        <v>42</v>
      </c>
      <c r="G1334" t="s">
        <v>138</v>
      </c>
      <c r="H1334" t="s">
        <v>38</v>
      </c>
      <c r="I1334" t="s">
        <v>108</v>
      </c>
      <c r="J1334">
        <v>23</v>
      </c>
      <c r="K1334">
        <v>18150.2</v>
      </c>
      <c r="L1334">
        <v>417454.6</v>
      </c>
      <c r="M1334">
        <v>5123.16</v>
      </c>
      <c r="N1334">
        <v>0</v>
      </c>
      <c r="O1334">
        <v>412331.44</v>
      </c>
      <c r="P1334" t="s">
        <v>25</v>
      </c>
      <c r="Q1334" t="s">
        <v>26</v>
      </c>
    </row>
    <row r="1335" spans="1:17" x14ac:dyDescent="0.25">
      <c r="A1335" t="s">
        <v>1452</v>
      </c>
      <c r="B1335" s="1">
        <v>46005</v>
      </c>
      <c r="C1335" t="s">
        <v>79</v>
      </c>
      <c r="D1335" t="s">
        <v>80</v>
      </c>
      <c r="E1335" t="s">
        <v>35</v>
      </c>
      <c r="F1335" t="s">
        <v>112</v>
      </c>
      <c r="G1335" t="s">
        <v>37</v>
      </c>
      <c r="H1335" t="s">
        <v>38</v>
      </c>
      <c r="I1335" t="s">
        <v>120</v>
      </c>
      <c r="J1335">
        <v>40</v>
      </c>
      <c r="K1335">
        <v>47740.5</v>
      </c>
      <c r="L1335">
        <v>1909620</v>
      </c>
      <c r="M1335">
        <v>238008.7</v>
      </c>
      <c r="N1335">
        <v>0</v>
      </c>
      <c r="O1335">
        <v>1671611.3</v>
      </c>
      <c r="P1335" t="s">
        <v>32</v>
      </c>
      <c r="Q1335" t="s">
        <v>32</v>
      </c>
    </row>
    <row r="1336" spans="1:17" x14ac:dyDescent="0.25">
      <c r="A1336" t="s">
        <v>1453</v>
      </c>
      <c r="B1336" s="1">
        <v>45956</v>
      </c>
      <c r="C1336" t="s">
        <v>79</v>
      </c>
      <c r="D1336" t="s">
        <v>101</v>
      </c>
      <c r="E1336" t="s">
        <v>41</v>
      </c>
      <c r="F1336" t="s">
        <v>50</v>
      </c>
      <c r="G1336" t="s">
        <v>29</v>
      </c>
      <c r="H1336" t="s">
        <v>44</v>
      </c>
      <c r="I1336" t="s">
        <v>124</v>
      </c>
      <c r="J1336">
        <v>3</v>
      </c>
      <c r="K1336">
        <v>29910.43</v>
      </c>
      <c r="L1336">
        <v>89731.29</v>
      </c>
      <c r="M1336">
        <v>15798.97</v>
      </c>
      <c r="N1336">
        <v>0</v>
      </c>
      <c r="O1336">
        <v>73932.320000000007</v>
      </c>
      <c r="P1336" t="s">
        <v>73</v>
      </c>
      <c r="Q1336" t="s">
        <v>32</v>
      </c>
    </row>
    <row r="1337" spans="1:17" x14ac:dyDescent="0.25">
      <c r="A1337" t="s">
        <v>1454</v>
      </c>
      <c r="B1337" s="1">
        <v>45981</v>
      </c>
      <c r="C1337" t="s">
        <v>47</v>
      </c>
      <c r="D1337" t="s">
        <v>88</v>
      </c>
      <c r="E1337" t="s">
        <v>41</v>
      </c>
      <c r="F1337" t="s">
        <v>21</v>
      </c>
      <c r="G1337" t="s">
        <v>89</v>
      </c>
      <c r="H1337" t="s">
        <v>94</v>
      </c>
      <c r="I1337" t="s">
        <v>95</v>
      </c>
      <c r="J1337">
        <v>24</v>
      </c>
      <c r="K1337">
        <v>29778.95</v>
      </c>
      <c r="L1337">
        <v>714694.8</v>
      </c>
      <c r="M1337">
        <v>31439.38</v>
      </c>
      <c r="N1337">
        <v>0</v>
      </c>
      <c r="O1337">
        <v>683255.42</v>
      </c>
      <c r="P1337" t="s">
        <v>73</v>
      </c>
      <c r="Q1337" t="s">
        <v>26</v>
      </c>
    </row>
    <row r="1338" spans="1:17" x14ac:dyDescent="0.25">
      <c r="A1338" t="s">
        <v>1455</v>
      </c>
      <c r="B1338" s="1">
        <v>46035</v>
      </c>
      <c r="C1338" t="s">
        <v>79</v>
      </c>
      <c r="D1338" t="s">
        <v>80</v>
      </c>
      <c r="E1338" t="s">
        <v>41</v>
      </c>
      <c r="F1338" t="s">
        <v>105</v>
      </c>
      <c r="G1338" t="s">
        <v>37</v>
      </c>
      <c r="H1338" t="s">
        <v>67</v>
      </c>
      <c r="I1338" t="s">
        <v>201</v>
      </c>
      <c r="J1338">
        <v>48</v>
      </c>
      <c r="K1338">
        <v>28272.05</v>
      </c>
      <c r="L1338">
        <v>1357058.4</v>
      </c>
      <c r="M1338">
        <v>258326.15</v>
      </c>
      <c r="N1338">
        <v>0</v>
      </c>
      <c r="O1338">
        <v>1098732.25</v>
      </c>
      <c r="P1338" t="s">
        <v>73</v>
      </c>
      <c r="Q1338" t="s">
        <v>26</v>
      </c>
    </row>
    <row r="1339" spans="1:17" x14ac:dyDescent="0.25">
      <c r="A1339" t="s">
        <v>1456</v>
      </c>
      <c r="B1339" s="1">
        <v>46003</v>
      </c>
      <c r="C1339" t="s">
        <v>79</v>
      </c>
      <c r="D1339" t="s">
        <v>107</v>
      </c>
      <c r="E1339" t="s">
        <v>41</v>
      </c>
      <c r="F1339" t="s">
        <v>105</v>
      </c>
      <c r="G1339" t="s">
        <v>37</v>
      </c>
      <c r="H1339" t="s">
        <v>23</v>
      </c>
      <c r="I1339" t="s">
        <v>24</v>
      </c>
      <c r="J1339">
        <v>31</v>
      </c>
      <c r="K1339">
        <v>16203.12</v>
      </c>
      <c r="L1339">
        <v>502296.72</v>
      </c>
      <c r="M1339">
        <v>0</v>
      </c>
      <c r="N1339">
        <v>0</v>
      </c>
      <c r="O1339">
        <v>502296.72</v>
      </c>
      <c r="P1339" t="s">
        <v>25</v>
      </c>
      <c r="Q1339" t="s">
        <v>32</v>
      </c>
    </row>
    <row r="1340" spans="1:17" x14ac:dyDescent="0.25">
      <c r="A1340" t="s">
        <v>1457</v>
      </c>
      <c r="B1340" s="1">
        <v>46026</v>
      </c>
      <c r="C1340" t="s">
        <v>79</v>
      </c>
      <c r="D1340" t="s">
        <v>91</v>
      </c>
      <c r="E1340" t="s">
        <v>20</v>
      </c>
      <c r="F1340" t="s">
        <v>50</v>
      </c>
      <c r="G1340" t="s">
        <v>138</v>
      </c>
      <c r="H1340" t="s">
        <v>94</v>
      </c>
      <c r="I1340" t="s">
        <v>163</v>
      </c>
      <c r="J1340">
        <v>12</v>
      </c>
      <c r="K1340">
        <v>21371.23</v>
      </c>
      <c r="L1340">
        <v>256454.76</v>
      </c>
      <c r="M1340">
        <v>0</v>
      </c>
      <c r="N1340">
        <v>0</v>
      </c>
      <c r="O1340">
        <v>256454.76</v>
      </c>
      <c r="P1340" t="s">
        <v>25</v>
      </c>
      <c r="Q1340" t="s">
        <v>26</v>
      </c>
    </row>
    <row r="1341" spans="1:17" x14ac:dyDescent="0.25">
      <c r="A1341" t="s">
        <v>1458</v>
      </c>
      <c r="B1341" s="1">
        <v>45993</v>
      </c>
      <c r="C1341" t="s">
        <v>79</v>
      </c>
      <c r="D1341" t="s">
        <v>101</v>
      </c>
      <c r="E1341" t="s">
        <v>49</v>
      </c>
      <c r="F1341" t="s">
        <v>36</v>
      </c>
      <c r="G1341" t="s">
        <v>56</v>
      </c>
      <c r="H1341" t="s">
        <v>94</v>
      </c>
      <c r="I1341" t="s">
        <v>193</v>
      </c>
      <c r="J1341">
        <v>9</v>
      </c>
      <c r="K1341">
        <v>26030.6</v>
      </c>
      <c r="L1341">
        <v>234275.4</v>
      </c>
      <c r="M1341">
        <v>0</v>
      </c>
      <c r="N1341">
        <v>0</v>
      </c>
      <c r="O1341">
        <v>234275.4</v>
      </c>
      <c r="P1341" t="s">
        <v>25</v>
      </c>
      <c r="Q1341" t="s">
        <v>26</v>
      </c>
    </row>
    <row r="1342" spans="1:17" x14ac:dyDescent="0.25">
      <c r="A1342" t="s">
        <v>1459</v>
      </c>
      <c r="B1342" s="1">
        <v>46001</v>
      </c>
      <c r="C1342" t="s">
        <v>47</v>
      </c>
      <c r="D1342" t="s">
        <v>127</v>
      </c>
      <c r="E1342" t="s">
        <v>35</v>
      </c>
      <c r="F1342" t="s">
        <v>21</v>
      </c>
      <c r="G1342" t="s">
        <v>56</v>
      </c>
      <c r="H1342" t="s">
        <v>94</v>
      </c>
      <c r="I1342" t="s">
        <v>144</v>
      </c>
      <c r="J1342">
        <v>38</v>
      </c>
      <c r="K1342">
        <v>7205.28</v>
      </c>
      <c r="L1342">
        <v>273800.64</v>
      </c>
      <c r="M1342">
        <v>44968.32</v>
      </c>
      <c r="N1342">
        <v>0</v>
      </c>
      <c r="O1342">
        <v>228832.32</v>
      </c>
      <c r="P1342" t="s">
        <v>32</v>
      </c>
      <c r="Q1342" t="s">
        <v>26</v>
      </c>
    </row>
    <row r="1343" spans="1:17" x14ac:dyDescent="0.25">
      <c r="A1343" t="s">
        <v>1460</v>
      </c>
      <c r="B1343" s="1">
        <v>45989</v>
      </c>
      <c r="C1343" t="s">
        <v>79</v>
      </c>
      <c r="D1343" t="s">
        <v>101</v>
      </c>
      <c r="E1343" t="s">
        <v>35</v>
      </c>
      <c r="F1343" t="s">
        <v>21</v>
      </c>
      <c r="G1343" t="s">
        <v>22</v>
      </c>
      <c r="H1343" t="s">
        <v>57</v>
      </c>
      <c r="I1343" t="s">
        <v>118</v>
      </c>
      <c r="J1343">
        <v>18</v>
      </c>
      <c r="K1343">
        <v>32450.48</v>
      </c>
      <c r="L1343">
        <v>584108.64</v>
      </c>
      <c r="M1343">
        <v>27632.36</v>
      </c>
      <c r="N1343">
        <v>0</v>
      </c>
      <c r="O1343">
        <v>556476.28</v>
      </c>
      <c r="P1343" t="s">
        <v>32</v>
      </c>
      <c r="Q1343" t="s">
        <v>32</v>
      </c>
    </row>
    <row r="1344" spans="1:17" x14ac:dyDescent="0.25">
      <c r="A1344" t="s">
        <v>1461</v>
      </c>
      <c r="B1344" s="1">
        <v>46039</v>
      </c>
      <c r="C1344" t="s">
        <v>79</v>
      </c>
      <c r="D1344" t="s">
        <v>80</v>
      </c>
      <c r="E1344" t="s">
        <v>35</v>
      </c>
      <c r="F1344" t="s">
        <v>105</v>
      </c>
      <c r="G1344" t="s">
        <v>37</v>
      </c>
      <c r="H1344" t="s">
        <v>23</v>
      </c>
      <c r="I1344" t="s">
        <v>24</v>
      </c>
      <c r="J1344">
        <v>18</v>
      </c>
      <c r="K1344">
        <v>44067.58</v>
      </c>
      <c r="L1344">
        <v>793216.44</v>
      </c>
      <c r="M1344">
        <v>1781.04</v>
      </c>
      <c r="N1344">
        <v>0</v>
      </c>
      <c r="O1344">
        <v>791435.4</v>
      </c>
      <c r="P1344" t="s">
        <v>25</v>
      </c>
      <c r="Q1344" t="s">
        <v>26</v>
      </c>
    </row>
    <row r="1345" spans="1:17" x14ac:dyDescent="0.25">
      <c r="A1345" t="s">
        <v>1462</v>
      </c>
      <c r="B1345" s="1">
        <v>45954</v>
      </c>
      <c r="C1345" t="s">
        <v>79</v>
      </c>
      <c r="D1345" t="s">
        <v>107</v>
      </c>
      <c r="E1345" t="s">
        <v>35</v>
      </c>
      <c r="F1345" t="s">
        <v>112</v>
      </c>
      <c r="G1345" t="s">
        <v>85</v>
      </c>
      <c r="H1345" t="s">
        <v>44</v>
      </c>
      <c r="I1345" t="s">
        <v>141</v>
      </c>
      <c r="J1345">
        <v>1</v>
      </c>
      <c r="K1345">
        <v>22172.06</v>
      </c>
      <c r="L1345">
        <v>22172.06</v>
      </c>
      <c r="M1345">
        <v>690.79</v>
      </c>
      <c r="N1345">
        <v>5633.36</v>
      </c>
      <c r="O1345">
        <v>15847.91</v>
      </c>
      <c r="P1345" t="s">
        <v>25</v>
      </c>
      <c r="Q1345" t="s">
        <v>32</v>
      </c>
    </row>
    <row r="1346" spans="1:17" x14ac:dyDescent="0.25">
      <c r="A1346" t="s">
        <v>1463</v>
      </c>
      <c r="B1346" s="1">
        <v>46004</v>
      </c>
      <c r="C1346" t="s">
        <v>47</v>
      </c>
      <c r="D1346" t="s">
        <v>127</v>
      </c>
      <c r="E1346" t="s">
        <v>20</v>
      </c>
      <c r="F1346" t="s">
        <v>137</v>
      </c>
      <c r="G1346" t="s">
        <v>89</v>
      </c>
      <c r="H1346" t="s">
        <v>57</v>
      </c>
      <c r="I1346" t="s">
        <v>72</v>
      </c>
      <c r="J1346">
        <v>1</v>
      </c>
      <c r="K1346">
        <v>6833.87</v>
      </c>
      <c r="L1346">
        <v>6833.87</v>
      </c>
      <c r="M1346">
        <v>342.81</v>
      </c>
      <c r="N1346">
        <v>0</v>
      </c>
      <c r="O1346">
        <v>6491.06</v>
      </c>
      <c r="P1346" t="s">
        <v>31</v>
      </c>
      <c r="Q1346" t="s">
        <v>32</v>
      </c>
    </row>
    <row r="1347" spans="1:17" x14ac:dyDescent="0.25">
      <c r="A1347" t="s">
        <v>1464</v>
      </c>
      <c r="B1347" s="1">
        <v>46012</v>
      </c>
      <c r="C1347" t="s">
        <v>47</v>
      </c>
      <c r="D1347" t="s">
        <v>88</v>
      </c>
      <c r="E1347" t="s">
        <v>49</v>
      </c>
      <c r="F1347" t="s">
        <v>137</v>
      </c>
      <c r="G1347" t="s">
        <v>81</v>
      </c>
      <c r="H1347" t="s">
        <v>23</v>
      </c>
      <c r="I1347" t="s">
        <v>30</v>
      </c>
      <c r="J1347">
        <v>32</v>
      </c>
      <c r="K1347">
        <v>778.35</v>
      </c>
      <c r="L1347">
        <v>24907.200000000001</v>
      </c>
      <c r="M1347">
        <v>951.65</v>
      </c>
      <c r="N1347">
        <v>0</v>
      </c>
      <c r="O1347">
        <v>23955.55</v>
      </c>
      <c r="P1347" t="s">
        <v>25</v>
      </c>
      <c r="Q1347" t="s">
        <v>26</v>
      </c>
    </row>
    <row r="1348" spans="1:17" x14ac:dyDescent="0.25">
      <c r="A1348" t="s">
        <v>1465</v>
      </c>
      <c r="B1348" s="1">
        <v>46021</v>
      </c>
      <c r="C1348" t="s">
        <v>18</v>
      </c>
      <c r="D1348" t="s">
        <v>75</v>
      </c>
      <c r="E1348" t="s">
        <v>49</v>
      </c>
      <c r="F1348" t="s">
        <v>71</v>
      </c>
      <c r="G1348" t="s">
        <v>22</v>
      </c>
      <c r="H1348" t="s">
        <v>44</v>
      </c>
      <c r="I1348" t="s">
        <v>135</v>
      </c>
      <c r="J1348">
        <v>14</v>
      </c>
      <c r="K1348">
        <v>48103.4</v>
      </c>
      <c r="L1348">
        <v>673447.6</v>
      </c>
      <c r="M1348">
        <v>63412.83</v>
      </c>
      <c r="N1348">
        <v>174296.21</v>
      </c>
      <c r="O1348">
        <v>435738.56</v>
      </c>
      <c r="P1348" t="s">
        <v>31</v>
      </c>
      <c r="Q1348" t="s">
        <v>32</v>
      </c>
    </row>
    <row r="1349" spans="1:17" x14ac:dyDescent="0.25">
      <c r="A1349" t="s">
        <v>1466</v>
      </c>
      <c r="B1349" s="1">
        <v>45992</v>
      </c>
      <c r="C1349" t="s">
        <v>47</v>
      </c>
      <c r="D1349" t="s">
        <v>88</v>
      </c>
      <c r="E1349" t="s">
        <v>49</v>
      </c>
      <c r="F1349" t="s">
        <v>50</v>
      </c>
      <c r="G1349" t="s">
        <v>140</v>
      </c>
      <c r="H1349" t="s">
        <v>67</v>
      </c>
      <c r="I1349" t="s">
        <v>68</v>
      </c>
      <c r="J1349">
        <v>43</v>
      </c>
      <c r="K1349">
        <v>3443.17</v>
      </c>
      <c r="L1349">
        <v>148056.31</v>
      </c>
      <c r="M1349">
        <v>0</v>
      </c>
      <c r="N1349">
        <v>0</v>
      </c>
      <c r="O1349">
        <v>148056.31</v>
      </c>
      <c r="P1349" t="s">
        <v>25</v>
      </c>
      <c r="Q1349" t="s">
        <v>26</v>
      </c>
    </row>
    <row r="1350" spans="1:17" x14ac:dyDescent="0.25">
      <c r="A1350" t="s">
        <v>1467</v>
      </c>
      <c r="B1350" s="1">
        <v>46011</v>
      </c>
      <c r="C1350" t="s">
        <v>47</v>
      </c>
      <c r="D1350" t="s">
        <v>114</v>
      </c>
      <c r="E1350" t="s">
        <v>49</v>
      </c>
      <c r="F1350" t="s">
        <v>71</v>
      </c>
      <c r="G1350" t="s">
        <v>85</v>
      </c>
      <c r="H1350" t="s">
        <v>44</v>
      </c>
      <c r="I1350" t="s">
        <v>45</v>
      </c>
      <c r="J1350">
        <v>19</v>
      </c>
      <c r="K1350">
        <v>14922.33</v>
      </c>
      <c r="L1350">
        <v>283524.27</v>
      </c>
      <c r="M1350">
        <v>0</v>
      </c>
      <c r="N1350">
        <v>0</v>
      </c>
      <c r="O1350">
        <v>283524.27</v>
      </c>
      <c r="P1350" t="s">
        <v>73</v>
      </c>
      <c r="Q1350" t="s">
        <v>32</v>
      </c>
    </row>
    <row r="1351" spans="1:17" x14ac:dyDescent="0.25">
      <c r="A1351" t="s">
        <v>1468</v>
      </c>
      <c r="B1351" s="1">
        <v>46013</v>
      </c>
      <c r="C1351" t="s">
        <v>54</v>
      </c>
      <c r="D1351" t="s">
        <v>133</v>
      </c>
      <c r="E1351" t="s">
        <v>49</v>
      </c>
      <c r="F1351" t="s">
        <v>71</v>
      </c>
      <c r="G1351" t="s">
        <v>66</v>
      </c>
      <c r="H1351" t="s">
        <v>23</v>
      </c>
      <c r="I1351" t="s">
        <v>52</v>
      </c>
      <c r="J1351">
        <v>2</v>
      </c>
      <c r="K1351">
        <v>24421.82</v>
      </c>
      <c r="L1351">
        <v>48843.64</v>
      </c>
      <c r="M1351">
        <v>4327.2</v>
      </c>
      <c r="N1351">
        <v>0</v>
      </c>
      <c r="O1351">
        <v>44516.44</v>
      </c>
      <c r="P1351" t="s">
        <v>31</v>
      </c>
      <c r="Q1351" t="s">
        <v>32</v>
      </c>
    </row>
    <row r="1352" spans="1:17" x14ac:dyDescent="0.25">
      <c r="A1352" t="s">
        <v>1469</v>
      </c>
      <c r="B1352" s="1">
        <v>45978</v>
      </c>
      <c r="C1352" t="s">
        <v>54</v>
      </c>
      <c r="D1352" t="s">
        <v>97</v>
      </c>
      <c r="E1352" t="s">
        <v>41</v>
      </c>
      <c r="F1352" t="s">
        <v>84</v>
      </c>
      <c r="G1352" t="s">
        <v>43</v>
      </c>
      <c r="H1352" t="s">
        <v>38</v>
      </c>
      <c r="I1352" t="s">
        <v>108</v>
      </c>
      <c r="J1352">
        <v>37</v>
      </c>
      <c r="K1352">
        <v>3093.05</v>
      </c>
      <c r="L1352">
        <v>114442.85</v>
      </c>
      <c r="M1352">
        <v>2804.6</v>
      </c>
      <c r="N1352">
        <v>0</v>
      </c>
      <c r="O1352">
        <v>111638.25</v>
      </c>
      <c r="P1352" t="s">
        <v>31</v>
      </c>
      <c r="Q1352" t="s">
        <v>32</v>
      </c>
    </row>
    <row r="1353" spans="1:17" x14ac:dyDescent="0.25">
      <c r="A1353" t="s">
        <v>1470</v>
      </c>
      <c r="B1353" s="1">
        <v>45975</v>
      </c>
      <c r="C1353" t="s">
        <v>47</v>
      </c>
      <c r="D1353" t="s">
        <v>127</v>
      </c>
      <c r="E1353" t="s">
        <v>49</v>
      </c>
      <c r="F1353" t="s">
        <v>84</v>
      </c>
      <c r="G1353" t="s">
        <v>81</v>
      </c>
      <c r="H1353" t="s">
        <v>67</v>
      </c>
      <c r="I1353" t="s">
        <v>154</v>
      </c>
      <c r="J1353">
        <v>28</v>
      </c>
      <c r="K1353">
        <v>18041.150000000001</v>
      </c>
      <c r="L1353">
        <v>505152.2</v>
      </c>
      <c r="M1353">
        <v>69993.22</v>
      </c>
      <c r="N1353">
        <v>0</v>
      </c>
      <c r="O1353">
        <v>435158.98</v>
      </c>
      <c r="P1353" t="s">
        <v>31</v>
      </c>
      <c r="Q1353" t="s">
        <v>32</v>
      </c>
    </row>
    <row r="1354" spans="1:17" x14ac:dyDescent="0.25">
      <c r="A1354" t="s">
        <v>1471</v>
      </c>
      <c r="B1354" s="1">
        <v>45965</v>
      </c>
      <c r="C1354" t="s">
        <v>60</v>
      </c>
      <c r="D1354" t="s">
        <v>123</v>
      </c>
      <c r="E1354" t="s">
        <v>49</v>
      </c>
      <c r="F1354" t="s">
        <v>50</v>
      </c>
      <c r="G1354" t="s">
        <v>22</v>
      </c>
      <c r="H1354" t="s">
        <v>23</v>
      </c>
      <c r="I1354" t="s">
        <v>110</v>
      </c>
      <c r="J1354">
        <v>10</v>
      </c>
      <c r="K1354">
        <v>10223.1</v>
      </c>
      <c r="L1354">
        <v>102231</v>
      </c>
      <c r="M1354">
        <v>0</v>
      </c>
      <c r="N1354">
        <v>0</v>
      </c>
      <c r="O1354">
        <v>102231</v>
      </c>
      <c r="P1354" t="s">
        <v>31</v>
      </c>
      <c r="Q1354" t="s">
        <v>32</v>
      </c>
    </row>
    <row r="1355" spans="1:17" x14ac:dyDescent="0.25">
      <c r="A1355" t="s">
        <v>1472</v>
      </c>
      <c r="B1355" s="1">
        <v>45992</v>
      </c>
      <c r="C1355" t="s">
        <v>60</v>
      </c>
      <c r="D1355" t="s">
        <v>123</v>
      </c>
      <c r="E1355" t="s">
        <v>49</v>
      </c>
      <c r="F1355" t="s">
        <v>71</v>
      </c>
      <c r="G1355" t="s">
        <v>22</v>
      </c>
      <c r="H1355" t="s">
        <v>67</v>
      </c>
      <c r="I1355" t="s">
        <v>68</v>
      </c>
      <c r="J1355">
        <v>6</v>
      </c>
      <c r="K1355">
        <v>24251.45</v>
      </c>
      <c r="L1355">
        <v>145508.70000000001</v>
      </c>
      <c r="M1355">
        <v>0</v>
      </c>
      <c r="N1355">
        <v>0</v>
      </c>
      <c r="O1355">
        <v>145508.70000000001</v>
      </c>
      <c r="P1355" t="s">
        <v>73</v>
      </c>
      <c r="Q1355" t="s">
        <v>32</v>
      </c>
    </row>
    <row r="1356" spans="1:17" x14ac:dyDescent="0.25">
      <c r="A1356" t="s">
        <v>1473</v>
      </c>
      <c r="B1356" s="1">
        <v>46032</v>
      </c>
      <c r="C1356" t="s">
        <v>79</v>
      </c>
      <c r="D1356" t="s">
        <v>91</v>
      </c>
      <c r="E1356" t="s">
        <v>20</v>
      </c>
      <c r="F1356" t="s">
        <v>105</v>
      </c>
      <c r="G1356" t="s">
        <v>63</v>
      </c>
      <c r="H1356" t="s">
        <v>67</v>
      </c>
      <c r="I1356" t="s">
        <v>154</v>
      </c>
      <c r="J1356">
        <v>5</v>
      </c>
      <c r="K1356">
        <v>5461.77</v>
      </c>
      <c r="L1356">
        <v>27308.85</v>
      </c>
      <c r="M1356">
        <v>2600.19</v>
      </c>
      <c r="N1356">
        <v>0</v>
      </c>
      <c r="O1356">
        <v>24708.66</v>
      </c>
      <c r="P1356" t="s">
        <v>32</v>
      </c>
      <c r="Q1356" t="s">
        <v>32</v>
      </c>
    </row>
    <row r="1357" spans="1:17" x14ac:dyDescent="0.25">
      <c r="A1357" t="s">
        <v>1474</v>
      </c>
      <c r="B1357" s="1">
        <v>45992</v>
      </c>
      <c r="C1357" t="s">
        <v>54</v>
      </c>
      <c r="D1357" t="s">
        <v>55</v>
      </c>
      <c r="E1357" t="s">
        <v>41</v>
      </c>
      <c r="F1357" t="s">
        <v>42</v>
      </c>
      <c r="G1357" t="s">
        <v>81</v>
      </c>
      <c r="H1357" t="s">
        <v>23</v>
      </c>
      <c r="I1357" t="s">
        <v>131</v>
      </c>
      <c r="J1357">
        <v>6</v>
      </c>
      <c r="K1357">
        <v>30351.61</v>
      </c>
      <c r="L1357">
        <v>182109.66</v>
      </c>
      <c r="M1357">
        <v>6348.27</v>
      </c>
      <c r="N1357">
        <v>0</v>
      </c>
      <c r="O1357">
        <v>175761.39</v>
      </c>
      <c r="P1357" t="s">
        <v>73</v>
      </c>
      <c r="Q1357" t="s">
        <v>32</v>
      </c>
    </row>
    <row r="1358" spans="1:17" x14ac:dyDescent="0.25">
      <c r="A1358" t="s">
        <v>1475</v>
      </c>
      <c r="B1358" s="1">
        <v>46042</v>
      </c>
      <c r="C1358" t="s">
        <v>18</v>
      </c>
      <c r="D1358" t="s">
        <v>28</v>
      </c>
      <c r="E1358" t="s">
        <v>41</v>
      </c>
      <c r="F1358" t="s">
        <v>42</v>
      </c>
      <c r="G1358" t="s">
        <v>37</v>
      </c>
      <c r="H1358" t="s">
        <v>44</v>
      </c>
      <c r="I1358" t="s">
        <v>45</v>
      </c>
      <c r="J1358">
        <v>23</v>
      </c>
      <c r="K1358">
        <v>21562.31</v>
      </c>
      <c r="L1358">
        <v>495933.13</v>
      </c>
      <c r="M1358">
        <v>91092.92</v>
      </c>
      <c r="N1358">
        <v>0</v>
      </c>
      <c r="O1358">
        <v>404840.21</v>
      </c>
      <c r="P1358" t="s">
        <v>31</v>
      </c>
      <c r="Q1358" t="s">
        <v>32</v>
      </c>
    </row>
    <row r="1359" spans="1:17" x14ac:dyDescent="0.25">
      <c r="A1359" t="s">
        <v>1476</v>
      </c>
      <c r="B1359" s="1">
        <v>46003</v>
      </c>
      <c r="C1359" t="s">
        <v>60</v>
      </c>
      <c r="D1359" t="s">
        <v>151</v>
      </c>
      <c r="E1359" t="s">
        <v>20</v>
      </c>
      <c r="F1359" t="s">
        <v>137</v>
      </c>
      <c r="G1359" t="s">
        <v>29</v>
      </c>
      <c r="H1359" t="s">
        <v>38</v>
      </c>
      <c r="I1359" t="s">
        <v>108</v>
      </c>
      <c r="J1359">
        <v>36</v>
      </c>
      <c r="K1359">
        <v>16952.62</v>
      </c>
      <c r="L1359">
        <v>610294.31999999995</v>
      </c>
      <c r="M1359">
        <v>0</v>
      </c>
      <c r="N1359">
        <v>26086.54</v>
      </c>
      <c r="O1359">
        <v>584207.78</v>
      </c>
      <c r="P1359" t="s">
        <v>32</v>
      </c>
      <c r="Q1359" t="s">
        <v>32</v>
      </c>
    </row>
    <row r="1360" spans="1:17" x14ac:dyDescent="0.25">
      <c r="A1360" t="s">
        <v>1477</v>
      </c>
      <c r="B1360" s="1">
        <v>45991</v>
      </c>
      <c r="C1360" t="s">
        <v>47</v>
      </c>
      <c r="D1360" t="s">
        <v>48</v>
      </c>
      <c r="E1360" t="s">
        <v>49</v>
      </c>
      <c r="F1360" t="s">
        <v>21</v>
      </c>
      <c r="G1360" t="s">
        <v>43</v>
      </c>
      <c r="H1360" t="s">
        <v>44</v>
      </c>
      <c r="I1360" t="s">
        <v>135</v>
      </c>
      <c r="J1360">
        <v>26</v>
      </c>
      <c r="K1360">
        <v>16945.84</v>
      </c>
      <c r="L1360">
        <v>440591.84</v>
      </c>
      <c r="M1360">
        <v>0</v>
      </c>
      <c r="N1360">
        <v>0</v>
      </c>
      <c r="O1360">
        <v>440591.84</v>
      </c>
      <c r="P1360" t="s">
        <v>32</v>
      </c>
      <c r="Q1360" t="s">
        <v>26</v>
      </c>
    </row>
    <row r="1361" spans="1:17" x14ac:dyDescent="0.25">
      <c r="A1361" t="s">
        <v>1478</v>
      </c>
      <c r="B1361" s="1">
        <v>46030</v>
      </c>
      <c r="C1361" t="s">
        <v>47</v>
      </c>
      <c r="D1361" t="s">
        <v>127</v>
      </c>
      <c r="E1361" t="s">
        <v>49</v>
      </c>
      <c r="F1361" t="s">
        <v>21</v>
      </c>
      <c r="G1361" t="s">
        <v>81</v>
      </c>
      <c r="H1361" t="s">
        <v>57</v>
      </c>
      <c r="I1361" t="s">
        <v>148</v>
      </c>
      <c r="J1361">
        <v>45</v>
      </c>
      <c r="K1361">
        <v>49264.77</v>
      </c>
      <c r="L1361">
        <v>2216914.65</v>
      </c>
      <c r="M1361">
        <v>0</v>
      </c>
      <c r="N1361">
        <v>0</v>
      </c>
      <c r="O1361">
        <v>2216914.65</v>
      </c>
      <c r="P1361" t="s">
        <v>31</v>
      </c>
      <c r="Q1361" t="s">
        <v>32</v>
      </c>
    </row>
    <row r="1362" spans="1:17" x14ac:dyDescent="0.25">
      <c r="A1362" t="s">
        <v>1479</v>
      </c>
      <c r="B1362" s="1">
        <v>46044</v>
      </c>
      <c r="C1362" t="s">
        <v>79</v>
      </c>
      <c r="D1362" t="s">
        <v>101</v>
      </c>
      <c r="E1362" t="s">
        <v>20</v>
      </c>
      <c r="F1362" t="s">
        <v>84</v>
      </c>
      <c r="G1362" t="s">
        <v>102</v>
      </c>
      <c r="H1362" t="s">
        <v>23</v>
      </c>
      <c r="I1362" t="s">
        <v>30</v>
      </c>
      <c r="J1362">
        <v>31</v>
      </c>
      <c r="K1362">
        <v>48725.08</v>
      </c>
      <c r="L1362">
        <v>1510477.48</v>
      </c>
      <c r="M1362">
        <v>169248.09</v>
      </c>
      <c r="N1362">
        <v>0</v>
      </c>
      <c r="O1362">
        <v>1341229.3899999999</v>
      </c>
      <c r="P1362" t="s">
        <v>32</v>
      </c>
      <c r="Q1362" t="s">
        <v>26</v>
      </c>
    </row>
    <row r="1363" spans="1:17" x14ac:dyDescent="0.25">
      <c r="A1363" t="s">
        <v>1480</v>
      </c>
      <c r="B1363" s="1">
        <v>46011</v>
      </c>
      <c r="C1363" t="s">
        <v>79</v>
      </c>
      <c r="D1363" t="s">
        <v>101</v>
      </c>
      <c r="E1363" t="s">
        <v>41</v>
      </c>
      <c r="F1363" t="s">
        <v>84</v>
      </c>
      <c r="G1363" t="s">
        <v>140</v>
      </c>
      <c r="H1363" t="s">
        <v>23</v>
      </c>
      <c r="I1363" t="s">
        <v>24</v>
      </c>
      <c r="J1363">
        <v>39</v>
      </c>
      <c r="K1363">
        <v>9332.36</v>
      </c>
      <c r="L1363">
        <v>363962.04</v>
      </c>
      <c r="M1363">
        <v>3828.43</v>
      </c>
      <c r="N1363">
        <v>0</v>
      </c>
      <c r="O1363">
        <v>360133.61</v>
      </c>
      <c r="P1363" t="s">
        <v>25</v>
      </c>
      <c r="Q1363" t="s">
        <v>26</v>
      </c>
    </row>
    <row r="1364" spans="1:17" x14ac:dyDescent="0.25">
      <c r="A1364" t="s">
        <v>1481</v>
      </c>
      <c r="B1364" s="1">
        <v>46010</v>
      </c>
      <c r="C1364" t="s">
        <v>79</v>
      </c>
      <c r="D1364" t="s">
        <v>101</v>
      </c>
      <c r="E1364" t="s">
        <v>41</v>
      </c>
      <c r="F1364" t="s">
        <v>105</v>
      </c>
      <c r="G1364" t="s">
        <v>102</v>
      </c>
      <c r="H1364" t="s">
        <v>44</v>
      </c>
      <c r="I1364" t="s">
        <v>152</v>
      </c>
      <c r="J1364">
        <v>37</v>
      </c>
      <c r="K1364">
        <v>19363.810000000001</v>
      </c>
      <c r="L1364">
        <v>716460.97</v>
      </c>
      <c r="M1364">
        <v>0</v>
      </c>
      <c r="N1364">
        <v>0</v>
      </c>
      <c r="O1364">
        <v>716460.97</v>
      </c>
      <c r="P1364" t="s">
        <v>31</v>
      </c>
      <c r="Q1364" t="s">
        <v>32</v>
      </c>
    </row>
    <row r="1365" spans="1:17" x14ac:dyDescent="0.25">
      <c r="A1365" t="s">
        <v>1482</v>
      </c>
      <c r="B1365" s="1">
        <v>46020</v>
      </c>
      <c r="C1365" t="s">
        <v>47</v>
      </c>
      <c r="D1365" t="s">
        <v>127</v>
      </c>
      <c r="E1365" t="s">
        <v>41</v>
      </c>
      <c r="F1365" t="s">
        <v>62</v>
      </c>
      <c r="G1365" t="s">
        <v>81</v>
      </c>
      <c r="H1365" t="s">
        <v>57</v>
      </c>
      <c r="I1365" t="s">
        <v>58</v>
      </c>
      <c r="J1365">
        <v>23</v>
      </c>
      <c r="K1365">
        <v>20172.91</v>
      </c>
      <c r="L1365">
        <v>463976.93</v>
      </c>
      <c r="M1365">
        <v>0</v>
      </c>
      <c r="N1365">
        <v>0</v>
      </c>
      <c r="O1365">
        <v>463976.93</v>
      </c>
      <c r="P1365" t="s">
        <v>25</v>
      </c>
      <c r="Q1365" t="s">
        <v>26</v>
      </c>
    </row>
    <row r="1366" spans="1:17" x14ac:dyDescent="0.25">
      <c r="A1366" t="s">
        <v>1483</v>
      </c>
      <c r="B1366" s="1">
        <v>45982</v>
      </c>
      <c r="C1366" t="s">
        <v>79</v>
      </c>
      <c r="D1366" t="s">
        <v>91</v>
      </c>
      <c r="E1366" t="s">
        <v>20</v>
      </c>
      <c r="F1366" t="s">
        <v>50</v>
      </c>
      <c r="G1366" t="s">
        <v>43</v>
      </c>
      <c r="H1366" t="s">
        <v>94</v>
      </c>
      <c r="I1366" t="s">
        <v>95</v>
      </c>
      <c r="J1366">
        <v>44</v>
      </c>
      <c r="K1366">
        <v>43745.03</v>
      </c>
      <c r="L1366">
        <v>1924781.32</v>
      </c>
      <c r="M1366">
        <v>0</v>
      </c>
      <c r="N1366">
        <v>0</v>
      </c>
      <c r="O1366">
        <v>1924781.32</v>
      </c>
      <c r="P1366" t="s">
        <v>32</v>
      </c>
      <c r="Q1366" t="s">
        <v>32</v>
      </c>
    </row>
    <row r="1367" spans="1:17" x14ac:dyDescent="0.25">
      <c r="A1367" t="s">
        <v>1484</v>
      </c>
      <c r="B1367" s="1">
        <v>46040</v>
      </c>
      <c r="C1367" t="s">
        <v>18</v>
      </c>
      <c r="D1367" t="s">
        <v>75</v>
      </c>
      <c r="E1367" t="s">
        <v>41</v>
      </c>
      <c r="F1367" t="s">
        <v>50</v>
      </c>
      <c r="G1367" t="s">
        <v>56</v>
      </c>
      <c r="H1367" t="s">
        <v>94</v>
      </c>
      <c r="I1367" t="s">
        <v>193</v>
      </c>
      <c r="J1367">
        <v>4</v>
      </c>
      <c r="K1367">
        <v>12050.16</v>
      </c>
      <c r="L1367">
        <v>48200.639999999999</v>
      </c>
      <c r="M1367">
        <v>0</v>
      </c>
      <c r="N1367">
        <v>0</v>
      </c>
      <c r="O1367">
        <v>48200.639999999999</v>
      </c>
      <c r="P1367" t="s">
        <v>73</v>
      </c>
      <c r="Q1367" t="s">
        <v>32</v>
      </c>
    </row>
    <row r="1368" spans="1:17" x14ac:dyDescent="0.25">
      <c r="A1368" t="s">
        <v>1485</v>
      </c>
      <c r="B1368" s="1">
        <v>46019</v>
      </c>
      <c r="C1368" t="s">
        <v>60</v>
      </c>
      <c r="D1368" t="s">
        <v>151</v>
      </c>
      <c r="E1368" t="s">
        <v>49</v>
      </c>
      <c r="F1368" t="s">
        <v>84</v>
      </c>
      <c r="G1368" t="s">
        <v>85</v>
      </c>
      <c r="H1368" t="s">
        <v>94</v>
      </c>
      <c r="I1368" t="s">
        <v>144</v>
      </c>
      <c r="J1368">
        <v>20</v>
      </c>
      <c r="K1368">
        <v>8090.31</v>
      </c>
      <c r="L1368">
        <v>161806.20000000001</v>
      </c>
      <c r="M1368">
        <v>19323.5</v>
      </c>
      <c r="N1368">
        <v>0</v>
      </c>
      <c r="O1368">
        <v>142482.70000000001</v>
      </c>
      <c r="P1368" t="s">
        <v>31</v>
      </c>
      <c r="Q1368" t="s">
        <v>32</v>
      </c>
    </row>
    <row r="1369" spans="1:17" x14ac:dyDescent="0.25">
      <c r="A1369" t="s">
        <v>1486</v>
      </c>
      <c r="B1369" s="1">
        <v>45984</v>
      </c>
      <c r="C1369" t="s">
        <v>79</v>
      </c>
      <c r="D1369" t="s">
        <v>80</v>
      </c>
      <c r="E1369" t="s">
        <v>41</v>
      </c>
      <c r="F1369" t="s">
        <v>71</v>
      </c>
      <c r="G1369" t="s">
        <v>56</v>
      </c>
      <c r="H1369" t="s">
        <v>38</v>
      </c>
      <c r="I1369" t="s">
        <v>120</v>
      </c>
      <c r="J1369">
        <v>50</v>
      </c>
      <c r="K1369">
        <v>8397.8799999999992</v>
      </c>
      <c r="L1369">
        <v>419894</v>
      </c>
      <c r="M1369">
        <v>30256.639999999999</v>
      </c>
      <c r="N1369">
        <v>0</v>
      </c>
      <c r="O1369">
        <v>389637.36</v>
      </c>
      <c r="P1369" t="s">
        <v>73</v>
      </c>
      <c r="Q1369" t="s">
        <v>32</v>
      </c>
    </row>
    <row r="1370" spans="1:17" x14ac:dyDescent="0.25">
      <c r="A1370" t="s">
        <v>1487</v>
      </c>
      <c r="B1370" s="1">
        <v>46035</v>
      </c>
      <c r="C1370" t="s">
        <v>47</v>
      </c>
      <c r="D1370" t="s">
        <v>114</v>
      </c>
      <c r="E1370" t="s">
        <v>49</v>
      </c>
      <c r="F1370" t="s">
        <v>21</v>
      </c>
      <c r="G1370" t="s">
        <v>140</v>
      </c>
      <c r="H1370" t="s">
        <v>67</v>
      </c>
      <c r="I1370" t="s">
        <v>68</v>
      </c>
      <c r="J1370">
        <v>15</v>
      </c>
      <c r="K1370">
        <v>17074.669999999998</v>
      </c>
      <c r="L1370">
        <v>256120.05</v>
      </c>
      <c r="M1370">
        <v>34855.19</v>
      </c>
      <c r="N1370">
        <v>0</v>
      </c>
      <c r="O1370">
        <v>221264.86</v>
      </c>
      <c r="P1370" t="s">
        <v>73</v>
      </c>
      <c r="Q1370" t="s">
        <v>32</v>
      </c>
    </row>
    <row r="1371" spans="1:17" x14ac:dyDescent="0.25">
      <c r="A1371" t="s">
        <v>1488</v>
      </c>
      <c r="B1371" s="1">
        <v>45982</v>
      </c>
      <c r="C1371" t="s">
        <v>79</v>
      </c>
      <c r="D1371" t="s">
        <v>107</v>
      </c>
      <c r="E1371" t="s">
        <v>35</v>
      </c>
      <c r="F1371" t="s">
        <v>105</v>
      </c>
      <c r="G1371" t="s">
        <v>29</v>
      </c>
      <c r="H1371" t="s">
        <v>57</v>
      </c>
      <c r="I1371" t="s">
        <v>148</v>
      </c>
      <c r="J1371">
        <v>31</v>
      </c>
      <c r="K1371">
        <v>25055.99</v>
      </c>
      <c r="L1371">
        <v>776735.69</v>
      </c>
      <c r="M1371">
        <v>26383.200000000001</v>
      </c>
      <c r="N1371">
        <v>0</v>
      </c>
      <c r="O1371">
        <v>750352.49</v>
      </c>
      <c r="P1371" t="s">
        <v>73</v>
      </c>
      <c r="Q1371" t="s">
        <v>26</v>
      </c>
    </row>
    <row r="1372" spans="1:17" x14ac:dyDescent="0.25">
      <c r="A1372" t="s">
        <v>1489</v>
      </c>
      <c r="B1372" s="1">
        <v>46045</v>
      </c>
      <c r="C1372" t="s">
        <v>60</v>
      </c>
      <c r="D1372" t="s">
        <v>123</v>
      </c>
      <c r="E1372" t="s">
        <v>20</v>
      </c>
      <c r="F1372" t="s">
        <v>21</v>
      </c>
      <c r="G1372" t="s">
        <v>85</v>
      </c>
      <c r="H1372" t="s">
        <v>38</v>
      </c>
      <c r="I1372" t="s">
        <v>108</v>
      </c>
      <c r="J1372">
        <v>4</v>
      </c>
      <c r="K1372">
        <v>17033.72</v>
      </c>
      <c r="L1372">
        <v>68134.880000000005</v>
      </c>
      <c r="M1372">
        <v>12510.75</v>
      </c>
      <c r="N1372">
        <v>0</v>
      </c>
      <c r="O1372">
        <v>55624.13</v>
      </c>
      <c r="P1372" t="s">
        <v>73</v>
      </c>
      <c r="Q1372" t="s">
        <v>32</v>
      </c>
    </row>
    <row r="1373" spans="1:17" x14ac:dyDescent="0.25">
      <c r="A1373" t="s">
        <v>1490</v>
      </c>
      <c r="B1373" s="1">
        <v>46006</v>
      </c>
      <c r="C1373" t="s">
        <v>18</v>
      </c>
      <c r="D1373" t="s">
        <v>19</v>
      </c>
      <c r="E1373" t="s">
        <v>20</v>
      </c>
      <c r="F1373" t="s">
        <v>105</v>
      </c>
      <c r="G1373" t="s">
        <v>43</v>
      </c>
      <c r="H1373" t="s">
        <v>57</v>
      </c>
      <c r="I1373" t="s">
        <v>72</v>
      </c>
      <c r="J1373">
        <v>31</v>
      </c>
      <c r="K1373">
        <v>12363.27</v>
      </c>
      <c r="L1373">
        <v>383261.37</v>
      </c>
      <c r="M1373">
        <v>12207.4</v>
      </c>
      <c r="N1373">
        <v>63568.77</v>
      </c>
      <c r="O1373">
        <v>307485.2</v>
      </c>
      <c r="P1373" t="s">
        <v>73</v>
      </c>
      <c r="Q1373" t="s">
        <v>26</v>
      </c>
    </row>
    <row r="1374" spans="1:17" x14ac:dyDescent="0.25">
      <c r="A1374" t="s">
        <v>1491</v>
      </c>
      <c r="B1374" s="1">
        <v>45985</v>
      </c>
      <c r="C1374" t="s">
        <v>47</v>
      </c>
      <c r="D1374" t="s">
        <v>48</v>
      </c>
      <c r="E1374" t="s">
        <v>41</v>
      </c>
      <c r="F1374" t="s">
        <v>50</v>
      </c>
      <c r="G1374" t="s">
        <v>140</v>
      </c>
      <c r="H1374" t="s">
        <v>94</v>
      </c>
      <c r="I1374" t="s">
        <v>193</v>
      </c>
      <c r="J1374">
        <v>26</v>
      </c>
      <c r="K1374">
        <v>5913.65</v>
      </c>
      <c r="L1374">
        <v>153754.9</v>
      </c>
      <c r="M1374">
        <v>7422.74</v>
      </c>
      <c r="N1374">
        <v>22604.22</v>
      </c>
      <c r="O1374">
        <v>123727.94</v>
      </c>
      <c r="P1374" t="s">
        <v>31</v>
      </c>
      <c r="Q1374" t="s">
        <v>32</v>
      </c>
    </row>
    <row r="1375" spans="1:17" x14ac:dyDescent="0.25">
      <c r="A1375" t="s">
        <v>1492</v>
      </c>
      <c r="B1375" s="1">
        <v>46029</v>
      </c>
      <c r="C1375" t="s">
        <v>54</v>
      </c>
      <c r="D1375" t="s">
        <v>97</v>
      </c>
      <c r="E1375" t="s">
        <v>20</v>
      </c>
      <c r="F1375" t="s">
        <v>84</v>
      </c>
      <c r="G1375" t="s">
        <v>102</v>
      </c>
      <c r="H1375" t="s">
        <v>23</v>
      </c>
      <c r="I1375" t="s">
        <v>131</v>
      </c>
      <c r="J1375">
        <v>9</v>
      </c>
      <c r="K1375">
        <v>2203</v>
      </c>
      <c r="L1375">
        <v>19827</v>
      </c>
      <c r="M1375">
        <v>0</v>
      </c>
      <c r="N1375">
        <v>0</v>
      </c>
      <c r="O1375">
        <v>19827</v>
      </c>
      <c r="P1375" t="s">
        <v>25</v>
      </c>
      <c r="Q1375" t="s">
        <v>26</v>
      </c>
    </row>
    <row r="1376" spans="1:17" x14ac:dyDescent="0.25">
      <c r="A1376" t="s">
        <v>1493</v>
      </c>
      <c r="B1376" s="1">
        <v>46028</v>
      </c>
      <c r="C1376" t="s">
        <v>47</v>
      </c>
      <c r="D1376" t="s">
        <v>127</v>
      </c>
      <c r="E1376" t="s">
        <v>49</v>
      </c>
      <c r="F1376" t="s">
        <v>71</v>
      </c>
      <c r="G1376" t="s">
        <v>37</v>
      </c>
      <c r="H1376" t="s">
        <v>23</v>
      </c>
      <c r="I1376" t="s">
        <v>52</v>
      </c>
      <c r="J1376">
        <v>40</v>
      </c>
      <c r="K1376">
        <v>3569.05</v>
      </c>
      <c r="L1376">
        <v>142762</v>
      </c>
      <c r="M1376">
        <v>15519.59</v>
      </c>
      <c r="N1376">
        <v>34119.83</v>
      </c>
      <c r="O1376">
        <v>93122.58</v>
      </c>
      <c r="P1376" t="s">
        <v>25</v>
      </c>
      <c r="Q1376" t="s">
        <v>26</v>
      </c>
    </row>
    <row r="1377" spans="1:17" x14ac:dyDescent="0.25">
      <c r="A1377" t="s">
        <v>1494</v>
      </c>
      <c r="B1377" s="1">
        <v>46032</v>
      </c>
      <c r="C1377" t="s">
        <v>79</v>
      </c>
      <c r="D1377" t="s">
        <v>101</v>
      </c>
      <c r="E1377" t="s">
        <v>35</v>
      </c>
      <c r="F1377" t="s">
        <v>36</v>
      </c>
      <c r="G1377" t="s">
        <v>63</v>
      </c>
      <c r="H1377" t="s">
        <v>67</v>
      </c>
      <c r="I1377" t="s">
        <v>68</v>
      </c>
      <c r="J1377">
        <v>24</v>
      </c>
      <c r="K1377">
        <v>829.66</v>
      </c>
      <c r="L1377">
        <v>19911.84</v>
      </c>
      <c r="M1377">
        <v>556.74</v>
      </c>
      <c r="N1377">
        <v>0</v>
      </c>
      <c r="O1377">
        <v>19355.099999999999</v>
      </c>
      <c r="P1377" t="s">
        <v>31</v>
      </c>
      <c r="Q1377" t="s">
        <v>32</v>
      </c>
    </row>
    <row r="1378" spans="1:17" x14ac:dyDescent="0.25">
      <c r="A1378" t="s">
        <v>1495</v>
      </c>
      <c r="B1378" s="1">
        <v>45993</v>
      </c>
      <c r="C1378" t="s">
        <v>54</v>
      </c>
      <c r="D1378" t="s">
        <v>70</v>
      </c>
      <c r="E1378" t="s">
        <v>20</v>
      </c>
      <c r="F1378" t="s">
        <v>62</v>
      </c>
      <c r="G1378" t="s">
        <v>102</v>
      </c>
      <c r="H1378" t="s">
        <v>94</v>
      </c>
      <c r="I1378" t="s">
        <v>193</v>
      </c>
      <c r="J1378">
        <v>8</v>
      </c>
      <c r="K1378">
        <v>36273.69</v>
      </c>
      <c r="L1378">
        <v>290189.52</v>
      </c>
      <c r="M1378">
        <v>163.15</v>
      </c>
      <c r="N1378">
        <v>64169.16</v>
      </c>
      <c r="O1378">
        <v>225857.21</v>
      </c>
      <c r="P1378" t="s">
        <v>25</v>
      </c>
      <c r="Q1378" t="s">
        <v>32</v>
      </c>
    </row>
    <row r="1379" spans="1:17" x14ac:dyDescent="0.25">
      <c r="A1379" t="s">
        <v>1496</v>
      </c>
      <c r="B1379" s="1">
        <v>46035</v>
      </c>
      <c r="C1379" t="s">
        <v>47</v>
      </c>
      <c r="D1379" t="s">
        <v>114</v>
      </c>
      <c r="E1379" t="s">
        <v>20</v>
      </c>
      <c r="F1379" t="s">
        <v>84</v>
      </c>
      <c r="G1379" t="s">
        <v>37</v>
      </c>
      <c r="H1379" t="s">
        <v>57</v>
      </c>
      <c r="I1379" t="s">
        <v>118</v>
      </c>
      <c r="J1379">
        <v>37</v>
      </c>
      <c r="K1379">
        <v>49528.73</v>
      </c>
      <c r="L1379">
        <v>1832563.01</v>
      </c>
      <c r="M1379">
        <v>194947.87</v>
      </c>
      <c r="N1379">
        <v>0</v>
      </c>
      <c r="O1379">
        <v>1637615.14</v>
      </c>
      <c r="P1379" t="s">
        <v>31</v>
      </c>
      <c r="Q1379" t="s">
        <v>32</v>
      </c>
    </row>
    <row r="1380" spans="1:17" x14ac:dyDescent="0.25">
      <c r="A1380" t="s">
        <v>1497</v>
      </c>
      <c r="B1380" s="1">
        <v>46035</v>
      </c>
      <c r="C1380" t="s">
        <v>47</v>
      </c>
      <c r="D1380" t="s">
        <v>88</v>
      </c>
      <c r="E1380" t="s">
        <v>41</v>
      </c>
      <c r="F1380" t="s">
        <v>71</v>
      </c>
      <c r="G1380" t="s">
        <v>37</v>
      </c>
      <c r="H1380" t="s">
        <v>94</v>
      </c>
      <c r="I1380" t="s">
        <v>144</v>
      </c>
      <c r="J1380">
        <v>39</v>
      </c>
      <c r="K1380">
        <v>37712.120000000003</v>
      </c>
      <c r="L1380">
        <v>1470772.68</v>
      </c>
      <c r="M1380">
        <v>167989.9</v>
      </c>
      <c r="N1380">
        <v>0</v>
      </c>
      <c r="O1380">
        <v>1302782.78</v>
      </c>
      <c r="P1380" t="s">
        <v>25</v>
      </c>
      <c r="Q1380" t="s">
        <v>26</v>
      </c>
    </row>
    <row r="1381" spans="1:17" x14ac:dyDescent="0.25">
      <c r="A1381" t="s">
        <v>1498</v>
      </c>
      <c r="B1381" s="1">
        <v>46018</v>
      </c>
      <c r="C1381" t="s">
        <v>54</v>
      </c>
      <c r="D1381" t="s">
        <v>97</v>
      </c>
      <c r="E1381" t="s">
        <v>20</v>
      </c>
      <c r="F1381" t="s">
        <v>112</v>
      </c>
      <c r="G1381" t="s">
        <v>85</v>
      </c>
      <c r="H1381" t="s">
        <v>44</v>
      </c>
      <c r="I1381" t="s">
        <v>45</v>
      </c>
      <c r="J1381">
        <v>3</v>
      </c>
      <c r="K1381">
        <v>33895.879999999997</v>
      </c>
      <c r="L1381">
        <v>101687.64</v>
      </c>
      <c r="M1381">
        <v>0</v>
      </c>
      <c r="N1381">
        <v>0</v>
      </c>
      <c r="O1381">
        <v>101687.64</v>
      </c>
      <c r="P1381" t="s">
        <v>32</v>
      </c>
      <c r="Q1381" t="s">
        <v>32</v>
      </c>
    </row>
    <row r="1382" spans="1:17" x14ac:dyDescent="0.25">
      <c r="A1382" t="s">
        <v>1499</v>
      </c>
      <c r="B1382" s="1">
        <v>45967</v>
      </c>
      <c r="C1382" t="s">
        <v>54</v>
      </c>
      <c r="D1382" t="s">
        <v>70</v>
      </c>
      <c r="E1382" t="s">
        <v>49</v>
      </c>
      <c r="F1382" t="s">
        <v>50</v>
      </c>
      <c r="G1382" t="s">
        <v>37</v>
      </c>
      <c r="H1382" t="s">
        <v>57</v>
      </c>
      <c r="I1382" t="s">
        <v>160</v>
      </c>
      <c r="J1382">
        <v>41</v>
      </c>
      <c r="K1382">
        <v>37754.58</v>
      </c>
      <c r="L1382">
        <v>1547937.78</v>
      </c>
      <c r="M1382">
        <v>268310.3</v>
      </c>
      <c r="N1382">
        <v>0</v>
      </c>
      <c r="O1382">
        <v>1279627.48</v>
      </c>
      <c r="P1382" t="s">
        <v>31</v>
      </c>
      <c r="Q1382" t="s">
        <v>32</v>
      </c>
    </row>
    <row r="1383" spans="1:17" x14ac:dyDescent="0.25">
      <c r="A1383" t="s">
        <v>1500</v>
      </c>
      <c r="B1383" s="1">
        <v>46024</v>
      </c>
      <c r="C1383" t="s">
        <v>54</v>
      </c>
      <c r="D1383" t="s">
        <v>55</v>
      </c>
      <c r="E1383" t="s">
        <v>35</v>
      </c>
      <c r="F1383" t="s">
        <v>21</v>
      </c>
      <c r="G1383" t="s">
        <v>140</v>
      </c>
      <c r="H1383" t="s">
        <v>57</v>
      </c>
      <c r="I1383" t="s">
        <v>118</v>
      </c>
      <c r="J1383">
        <v>40</v>
      </c>
      <c r="K1383">
        <v>49834.77</v>
      </c>
      <c r="L1383">
        <v>1993390.8</v>
      </c>
      <c r="M1383">
        <v>376252.02</v>
      </c>
      <c r="N1383">
        <v>0</v>
      </c>
      <c r="O1383">
        <v>1617138.78</v>
      </c>
      <c r="P1383" t="s">
        <v>73</v>
      </c>
      <c r="Q1383" t="s">
        <v>32</v>
      </c>
    </row>
    <row r="1384" spans="1:17" x14ac:dyDescent="0.25">
      <c r="A1384" t="s">
        <v>1501</v>
      </c>
      <c r="B1384" s="1">
        <v>45966</v>
      </c>
      <c r="C1384" t="s">
        <v>79</v>
      </c>
      <c r="D1384" t="s">
        <v>91</v>
      </c>
      <c r="E1384" t="s">
        <v>49</v>
      </c>
      <c r="F1384" t="s">
        <v>84</v>
      </c>
      <c r="G1384" t="s">
        <v>56</v>
      </c>
      <c r="H1384" t="s">
        <v>57</v>
      </c>
      <c r="I1384" t="s">
        <v>58</v>
      </c>
      <c r="J1384">
        <v>16</v>
      </c>
      <c r="K1384">
        <v>15269.36</v>
      </c>
      <c r="L1384">
        <v>244309.76000000001</v>
      </c>
      <c r="M1384">
        <v>17032.29</v>
      </c>
      <c r="N1384">
        <v>0</v>
      </c>
      <c r="O1384">
        <v>227277.47</v>
      </c>
      <c r="P1384" t="s">
        <v>32</v>
      </c>
      <c r="Q1384" t="s">
        <v>26</v>
      </c>
    </row>
    <row r="1385" spans="1:17" x14ac:dyDescent="0.25">
      <c r="A1385" t="s">
        <v>1502</v>
      </c>
      <c r="B1385" s="1">
        <v>46022</v>
      </c>
      <c r="C1385" t="s">
        <v>79</v>
      </c>
      <c r="D1385" t="s">
        <v>107</v>
      </c>
      <c r="E1385" t="s">
        <v>49</v>
      </c>
      <c r="F1385" t="s">
        <v>42</v>
      </c>
      <c r="G1385" t="s">
        <v>43</v>
      </c>
      <c r="H1385" t="s">
        <v>44</v>
      </c>
      <c r="I1385" t="s">
        <v>281</v>
      </c>
      <c r="J1385">
        <v>32</v>
      </c>
      <c r="K1385">
        <v>9502.1</v>
      </c>
      <c r="L1385">
        <v>304067.20000000001</v>
      </c>
      <c r="M1385">
        <v>0</v>
      </c>
      <c r="N1385">
        <v>0</v>
      </c>
      <c r="O1385">
        <v>304067.20000000001</v>
      </c>
      <c r="P1385" t="s">
        <v>73</v>
      </c>
      <c r="Q1385" t="s">
        <v>26</v>
      </c>
    </row>
    <row r="1386" spans="1:17" x14ac:dyDescent="0.25">
      <c r="A1386" t="s">
        <v>1503</v>
      </c>
      <c r="B1386" s="1">
        <v>46002</v>
      </c>
      <c r="C1386" t="s">
        <v>79</v>
      </c>
      <c r="D1386" t="s">
        <v>91</v>
      </c>
      <c r="E1386" t="s">
        <v>41</v>
      </c>
      <c r="F1386" t="s">
        <v>105</v>
      </c>
      <c r="G1386" t="s">
        <v>89</v>
      </c>
      <c r="H1386" t="s">
        <v>94</v>
      </c>
      <c r="I1386" t="s">
        <v>115</v>
      </c>
      <c r="J1386">
        <v>32</v>
      </c>
      <c r="K1386">
        <v>26003.77</v>
      </c>
      <c r="L1386">
        <v>832120.64</v>
      </c>
      <c r="M1386">
        <v>98234.13</v>
      </c>
      <c r="N1386">
        <v>0</v>
      </c>
      <c r="O1386">
        <v>733886.51</v>
      </c>
      <c r="P1386" t="s">
        <v>31</v>
      </c>
      <c r="Q1386" t="s">
        <v>32</v>
      </c>
    </row>
    <row r="1387" spans="1:17" x14ac:dyDescent="0.25">
      <c r="A1387" t="s">
        <v>1504</v>
      </c>
      <c r="B1387" s="1">
        <v>46012</v>
      </c>
      <c r="C1387" t="s">
        <v>79</v>
      </c>
      <c r="D1387" t="s">
        <v>91</v>
      </c>
      <c r="E1387" t="s">
        <v>20</v>
      </c>
      <c r="F1387" t="s">
        <v>36</v>
      </c>
      <c r="G1387" t="s">
        <v>81</v>
      </c>
      <c r="H1387" t="s">
        <v>38</v>
      </c>
      <c r="I1387" t="s">
        <v>120</v>
      </c>
      <c r="J1387">
        <v>36</v>
      </c>
      <c r="K1387">
        <v>44843.3</v>
      </c>
      <c r="L1387">
        <v>1614358.8</v>
      </c>
      <c r="M1387">
        <v>19549.97</v>
      </c>
      <c r="N1387">
        <v>0</v>
      </c>
      <c r="O1387">
        <v>1594808.83</v>
      </c>
      <c r="P1387" t="s">
        <v>32</v>
      </c>
      <c r="Q1387" t="s">
        <v>32</v>
      </c>
    </row>
    <row r="1388" spans="1:17" x14ac:dyDescent="0.25">
      <c r="A1388" t="s">
        <v>1505</v>
      </c>
      <c r="B1388" s="1">
        <v>45979</v>
      </c>
      <c r="C1388" t="s">
        <v>54</v>
      </c>
      <c r="D1388" t="s">
        <v>97</v>
      </c>
      <c r="E1388" t="s">
        <v>35</v>
      </c>
      <c r="F1388" t="s">
        <v>71</v>
      </c>
      <c r="G1388" t="s">
        <v>63</v>
      </c>
      <c r="H1388" t="s">
        <v>94</v>
      </c>
      <c r="I1388" t="s">
        <v>193</v>
      </c>
      <c r="J1388">
        <v>29</v>
      </c>
      <c r="K1388">
        <v>40041.96</v>
      </c>
      <c r="L1388">
        <v>1161216.8400000001</v>
      </c>
      <c r="M1388">
        <v>211676.19</v>
      </c>
      <c r="N1388">
        <v>0</v>
      </c>
      <c r="O1388">
        <v>949540.65</v>
      </c>
      <c r="P1388" t="s">
        <v>73</v>
      </c>
      <c r="Q1388" t="s">
        <v>26</v>
      </c>
    </row>
    <row r="1389" spans="1:17" x14ac:dyDescent="0.25">
      <c r="A1389" t="s">
        <v>1506</v>
      </c>
      <c r="B1389" s="1">
        <v>45991</v>
      </c>
      <c r="C1389" t="s">
        <v>60</v>
      </c>
      <c r="D1389" t="s">
        <v>151</v>
      </c>
      <c r="E1389" t="s">
        <v>20</v>
      </c>
      <c r="F1389" t="s">
        <v>112</v>
      </c>
      <c r="G1389" t="s">
        <v>138</v>
      </c>
      <c r="H1389" t="s">
        <v>94</v>
      </c>
      <c r="I1389" t="s">
        <v>163</v>
      </c>
      <c r="J1389">
        <v>12</v>
      </c>
      <c r="K1389">
        <v>37112.449999999997</v>
      </c>
      <c r="L1389">
        <v>445349.4</v>
      </c>
      <c r="M1389">
        <v>0</v>
      </c>
      <c r="N1389">
        <v>0</v>
      </c>
      <c r="O1389">
        <v>445349.4</v>
      </c>
      <c r="P1389" t="s">
        <v>25</v>
      </c>
      <c r="Q1389" t="s">
        <v>26</v>
      </c>
    </row>
    <row r="1390" spans="1:17" x14ac:dyDescent="0.25">
      <c r="A1390" t="s">
        <v>1507</v>
      </c>
      <c r="B1390" s="1">
        <v>46014</v>
      </c>
      <c r="C1390" t="s">
        <v>60</v>
      </c>
      <c r="D1390" t="s">
        <v>151</v>
      </c>
      <c r="E1390" t="s">
        <v>49</v>
      </c>
      <c r="F1390" t="s">
        <v>36</v>
      </c>
      <c r="G1390" t="s">
        <v>29</v>
      </c>
      <c r="H1390" t="s">
        <v>57</v>
      </c>
      <c r="I1390" t="s">
        <v>92</v>
      </c>
      <c r="J1390">
        <v>36</v>
      </c>
      <c r="K1390">
        <v>39507.379999999997</v>
      </c>
      <c r="L1390">
        <v>1422265.68</v>
      </c>
      <c r="M1390">
        <v>0</v>
      </c>
      <c r="N1390">
        <v>0</v>
      </c>
      <c r="O1390">
        <v>1422265.68</v>
      </c>
      <c r="P1390" t="s">
        <v>32</v>
      </c>
      <c r="Q1390" t="s">
        <v>32</v>
      </c>
    </row>
    <row r="1391" spans="1:17" x14ac:dyDescent="0.25">
      <c r="A1391" t="s">
        <v>1508</v>
      </c>
      <c r="B1391" s="1">
        <v>45985</v>
      </c>
      <c r="C1391" t="s">
        <v>54</v>
      </c>
      <c r="D1391" t="s">
        <v>133</v>
      </c>
      <c r="E1391" t="s">
        <v>41</v>
      </c>
      <c r="F1391" t="s">
        <v>50</v>
      </c>
      <c r="G1391" t="s">
        <v>37</v>
      </c>
      <c r="H1391" t="s">
        <v>94</v>
      </c>
      <c r="I1391" t="s">
        <v>95</v>
      </c>
      <c r="J1391">
        <v>37</v>
      </c>
      <c r="K1391">
        <v>1409.78</v>
      </c>
      <c r="L1391">
        <v>52161.86</v>
      </c>
      <c r="M1391">
        <v>0</v>
      </c>
      <c r="N1391">
        <v>0</v>
      </c>
      <c r="O1391">
        <v>52161.86</v>
      </c>
      <c r="P1391" t="s">
        <v>73</v>
      </c>
      <c r="Q1391" t="s">
        <v>32</v>
      </c>
    </row>
    <row r="1392" spans="1:17" x14ac:dyDescent="0.25">
      <c r="A1392" t="s">
        <v>1509</v>
      </c>
      <c r="B1392" s="1">
        <v>46016</v>
      </c>
      <c r="C1392" t="s">
        <v>60</v>
      </c>
      <c r="D1392" t="s">
        <v>65</v>
      </c>
      <c r="E1392" t="s">
        <v>35</v>
      </c>
      <c r="F1392" t="s">
        <v>21</v>
      </c>
      <c r="G1392" t="s">
        <v>89</v>
      </c>
      <c r="H1392" t="s">
        <v>57</v>
      </c>
      <c r="I1392" t="s">
        <v>58</v>
      </c>
      <c r="J1392">
        <v>1</v>
      </c>
      <c r="K1392">
        <v>31755.03</v>
      </c>
      <c r="L1392">
        <v>31755.03</v>
      </c>
      <c r="M1392">
        <v>5172.91</v>
      </c>
      <c r="N1392">
        <v>3299.88</v>
      </c>
      <c r="O1392">
        <v>23282.240000000002</v>
      </c>
      <c r="P1392" t="s">
        <v>73</v>
      </c>
      <c r="Q1392" t="s">
        <v>32</v>
      </c>
    </row>
    <row r="1393" spans="1:17" x14ac:dyDescent="0.25">
      <c r="A1393" t="s">
        <v>1510</v>
      </c>
      <c r="B1393" s="1">
        <v>45960</v>
      </c>
      <c r="C1393" t="s">
        <v>54</v>
      </c>
      <c r="D1393" t="s">
        <v>55</v>
      </c>
      <c r="E1393" t="s">
        <v>49</v>
      </c>
      <c r="F1393" t="s">
        <v>105</v>
      </c>
      <c r="G1393" t="s">
        <v>102</v>
      </c>
      <c r="H1393" t="s">
        <v>44</v>
      </c>
      <c r="I1393" t="s">
        <v>281</v>
      </c>
      <c r="J1393">
        <v>29</v>
      </c>
      <c r="K1393">
        <v>12454.59</v>
      </c>
      <c r="L1393">
        <v>361183.11</v>
      </c>
      <c r="M1393">
        <v>0</v>
      </c>
      <c r="N1393">
        <v>0</v>
      </c>
      <c r="O1393">
        <v>361183.11</v>
      </c>
      <c r="P1393" t="s">
        <v>25</v>
      </c>
      <c r="Q1393" t="s">
        <v>26</v>
      </c>
    </row>
    <row r="1394" spans="1:17" x14ac:dyDescent="0.25">
      <c r="A1394" t="s">
        <v>1511</v>
      </c>
      <c r="B1394" s="1">
        <v>46042</v>
      </c>
      <c r="C1394" t="s">
        <v>54</v>
      </c>
      <c r="D1394" t="s">
        <v>70</v>
      </c>
      <c r="E1394" t="s">
        <v>41</v>
      </c>
      <c r="F1394" t="s">
        <v>36</v>
      </c>
      <c r="G1394" t="s">
        <v>89</v>
      </c>
      <c r="H1394" t="s">
        <v>38</v>
      </c>
      <c r="I1394" t="s">
        <v>120</v>
      </c>
      <c r="J1394">
        <v>39</v>
      </c>
      <c r="K1394">
        <v>3936.05</v>
      </c>
      <c r="L1394">
        <v>153505.95000000001</v>
      </c>
      <c r="M1394">
        <v>0</v>
      </c>
      <c r="N1394">
        <v>0</v>
      </c>
      <c r="O1394">
        <v>153505.95000000001</v>
      </c>
      <c r="P1394" t="s">
        <v>25</v>
      </c>
      <c r="Q1394" t="s">
        <v>26</v>
      </c>
    </row>
    <row r="1395" spans="1:17" x14ac:dyDescent="0.25">
      <c r="A1395" t="s">
        <v>1512</v>
      </c>
      <c r="B1395" s="1">
        <v>45994</v>
      </c>
      <c r="C1395" t="s">
        <v>47</v>
      </c>
      <c r="D1395" t="s">
        <v>127</v>
      </c>
      <c r="E1395" t="s">
        <v>41</v>
      </c>
      <c r="F1395" t="s">
        <v>84</v>
      </c>
      <c r="G1395" t="s">
        <v>98</v>
      </c>
      <c r="H1395" t="s">
        <v>38</v>
      </c>
      <c r="I1395" t="s">
        <v>86</v>
      </c>
      <c r="J1395">
        <v>45</v>
      </c>
      <c r="K1395">
        <v>27009.14</v>
      </c>
      <c r="L1395">
        <v>1215411.3</v>
      </c>
      <c r="M1395">
        <v>3072.91</v>
      </c>
      <c r="N1395">
        <v>0</v>
      </c>
      <c r="O1395">
        <v>1212338.3899999999</v>
      </c>
      <c r="P1395" t="s">
        <v>73</v>
      </c>
      <c r="Q1395" t="s">
        <v>26</v>
      </c>
    </row>
    <row r="1396" spans="1:17" x14ac:dyDescent="0.25">
      <c r="A1396" t="s">
        <v>1513</v>
      </c>
      <c r="B1396" s="1">
        <v>46034</v>
      </c>
      <c r="C1396" t="s">
        <v>47</v>
      </c>
      <c r="D1396" t="s">
        <v>114</v>
      </c>
      <c r="E1396" t="s">
        <v>35</v>
      </c>
      <c r="F1396" t="s">
        <v>112</v>
      </c>
      <c r="G1396" t="s">
        <v>63</v>
      </c>
      <c r="H1396" t="s">
        <v>94</v>
      </c>
      <c r="I1396" t="s">
        <v>95</v>
      </c>
      <c r="J1396">
        <v>38</v>
      </c>
      <c r="K1396">
        <v>42874.62</v>
      </c>
      <c r="L1396">
        <v>1629235.56</v>
      </c>
      <c r="M1396">
        <v>0</v>
      </c>
      <c r="N1396">
        <v>0</v>
      </c>
      <c r="O1396">
        <v>1629235.56</v>
      </c>
      <c r="P1396" t="s">
        <v>25</v>
      </c>
      <c r="Q1396" t="s">
        <v>26</v>
      </c>
    </row>
    <row r="1397" spans="1:17" x14ac:dyDescent="0.25">
      <c r="A1397" t="s">
        <v>1514</v>
      </c>
      <c r="B1397" s="1">
        <v>46025</v>
      </c>
      <c r="C1397" t="s">
        <v>79</v>
      </c>
      <c r="D1397" t="s">
        <v>101</v>
      </c>
      <c r="E1397" t="s">
        <v>35</v>
      </c>
      <c r="F1397" t="s">
        <v>50</v>
      </c>
      <c r="G1397" t="s">
        <v>85</v>
      </c>
      <c r="H1397" t="s">
        <v>23</v>
      </c>
      <c r="I1397" t="s">
        <v>52</v>
      </c>
      <c r="J1397">
        <v>2</v>
      </c>
      <c r="K1397">
        <v>41612.71</v>
      </c>
      <c r="L1397">
        <v>83225.42</v>
      </c>
      <c r="M1397">
        <v>8916.01</v>
      </c>
      <c r="N1397">
        <v>0</v>
      </c>
      <c r="O1397">
        <v>74309.41</v>
      </c>
      <c r="P1397" t="s">
        <v>31</v>
      </c>
      <c r="Q1397" t="s">
        <v>32</v>
      </c>
    </row>
    <row r="1398" spans="1:17" x14ac:dyDescent="0.25">
      <c r="A1398" t="s">
        <v>1515</v>
      </c>
      <c r="B1398" s="1">
        <v>45994</v>
      </c>
      <c r="C1398" t="s">
        <v>60</v>
      </c>
      <c r="D1398" t="s">
        <v>61</v>
      </c>
      <c r="E1398" t="s">
        <v>41</v>
      </c>
      <c r="F1398" t="s">
        <v>36</v>
      </c>
      <c r="G1398" t="s">
        <v>22</v>
      </c>
      <c r="H1398" t="s">
        <v>57</v>
      </c>
      <c r="I1398" t="s">
        <v>92</v>
      </c>
      <c r="J1398">
        <v>18</v>
      </c>
      <c r="K1398">
        <v>6660.87</v>
      </c>
      <c r="L1398">
        <v>119895.66</v>
      </c>
      <c r="M1398">
        <v>7866.9</v>
      </c>
      <c r="N1398">
        <v>0</v>
      </c>
      <c r="O1398">
        <v>112028.76</v>
      </c>
      <c r="P1398" t="s">
        <v>25</v>
      </c>
      <c r="Q1398" t="s">
        <v>32</v>
      </c>
    </row>
    <row r="1399" spans="1:17" x14ac:dyDescent="0.25">
      <c r="A1399" t="s">
        <v>1516</v>
      </c>
      <c r="B1399" s="1">
        <v>45986</v>
      </c>
      <c r="C1399" t="s">
        <v>60</v>
      </c>
      <c r="D1399" t="s">
        <v>151</v>
      </c>
      <c r="E1399" t="s">
        <v>35</v>
      </c>
      <c r="F1399" t="s">
        <v>42</v>
      </c>
      <c r="G1399" t="s">
        <v>140</v>
      </c>
      <c r="H1399" t="s">
        <v>67</v>
      </c>
      <c r="I1399" t="s">
        <v>201</v>
      </c>
      <c r="J1399">
        <v>6</v>
      </c>
      <c r="K1399">
        <v>17394.830000000002</v>
      </c>
      <c r="L1399">
        <v>104368.98</v>
      </c>
      <c r="M1399">
        <v>14120.98</v>
      </c>
      <c r="N1399">
        <v>0</v>
      </c>
      <c r="O1399">
        <v>90248</v>
      </c>
      <c r="P1399" t="s">
        <v>31</v>
      </c>
      <c r="Q1399" t="s">
        <v>32</v>
      </c>
    </row>
    <row r="1400" spans="1:17" x14ac:dyDescent="0.25">
      <c r="A1400" t="s">
        <v>1517</v>
      </c>
      <c r="B1400" s="1">
        <v>45958</v>
      </c>
      <c r="C1400" t="s">
        <v>79</v>
      </c>
      <c r="D1400" t="s">
        <v>80</v>
      </c>
      <c r="E1400" t="s">
        <v>41</v>
      </c>
      <c r="F1400" t="s">
        <v>105</v>
      </c>
      <c r="G1400" t="s">
        <v>138</v>
      </c>
      <c r="H1400" t="s">
        <v>44</v>
      </c>
      <c r="I1400" t="s">
        <v>281</v>
      </c>
      <c r="J1400">
        <v>41</v>
      </c>
      <c r="K1400">
        <v>28903.39</v>
      </c>
      <c r="L1400">
        <v>1185038.99</v>
      </c>
      <c r="M1400">
        <v>78072.91</v>
      </c>
      <c r="N1400">
        <v>0</v>
      </c>
      <c r="O1400">
        <v>1106966.08</v>
      </c>
      <c r="P1400" t="s">
        <v>31</v>
      </c>
      <c r="Q1400" t="s">
        <v>32</v>
      </c>
    </row>
    <row r="1401" spans="1:17" x14ac:dyDescent="0.25">
      <c r="A1401" t="s">
        <v>1518</v>
      </c>
      <c r="B1401" s="1">
        <v>45967</v>
      </c>
      <c r="C1401" t="s">
        <v>18</v>
      </c>
      <c r="D1401" t="s">
        <v>34</v>
      </c>
      <c r="E1401" t="s">
        <v>41</v>
      </c>
      <c r="F1401" t="s">
        <v>42</v>
      </c>
      <c r="G1401" t="s">
        <v>102</v>
      </c>
      <c r="H1401" t="s">
        <v>94</v>
      </c>
      <c r="I1401" t="s">
        <v>95</v>
      </c>
      <c r="J1401">
        <v>24</v>
      </c>
      <c r="K1401">
        <v>32940.9</v>
      </c>
      <c r="L1401">
        <v>790581.6</v>
      </c>
      <c r="M1401">
        <v>0</v>
      </c>
      <c r="N1401">
        <v>0</v>
      </c>
      <c r="O1401">
        <v>790581.6</v>
      </c>
      <c r="P1401" t="s">
        <v>25</v>
      </c>
      <c r="Q1401" t="s">
        <v>26</v>
      </c>
    </row>
    <row r="1402" spans="1:17" x14ac:dyDescent="0.25">
      <c r="A1402" t="s">
        <v>1519</v>
      </c>
      <c r="B1402" s="1">
        <v>45967</v>
      </c>
      <c r="C1402" t="s">
        <v>60</v>
      </c>
      <c r="D1402" t="s">
        <v>151</v>
      </c>
      <c r="E1402" t="s">
        <v>41</v>
      </c>
      <c r="F1402" t="s">
        <v>62</v>
      </c>
      <c r="G1402" t="s">
        <v>37</v>
      </c>
      <c r="H1402" t="s">
        <v>44</v>
      </c>
      <c r="I1402" t="s">
        <v>124</v>
      </c>
      <c r="J1402">
        <v>21</v>
      </c>
      <c r="K1402">
        <v>36906.269999999997</v>
      </c>
      <c r="L1402">
        <v>775031.67</v>
      </c>
      <c r="M1402">
        <v>89897.8</v>
      </c>
      <c r="N1402">
        <v>0</v>
      </c>
      <c r="O1402">
        <v>685133.87</v>
      </c>
      <c r="P1402" t="s">
        <v>32</v>
      </c>
      <c r="Q1402" t="s">
        <v>32</v>
      </c>
    </row>
    <row r="1403" spans="1:17" x14ac:dyDescent="0.25">
      <c r="A1403" t="s">
        <v>1520</v>
      </c>
      <c r="B1403" s="1">
        <v>46029</v>
      </c>
      <c r="C1403" t="s">
        <v>79</v>
      </c>
      <c r="D1403" t="s">
        <v>91</v>
      </c>
      <c r="E1403" t="s">
        <v>41</v>
      </c>
      <c r="F1403" t="s">
        <v>36</v>
      </c>
      <c r="G1403" t="s">
        <v>66</v>
      </c>
      <c r="H1403" t="s">
        <v>57</v>
      </c>
      <c r="I1403" t="s">
        <v>92</v>
      </c>
      <c r="J1403">
        <v>29</v>
      </c>
      <c r="K1403">
        <v>48125.36</v>
      </c>
      <c r="L1403">
        <v>1395635.44</v>
      </c>
      <c r="M1403">
        <v>0</v>
      </c>
      <c r="N1403">
        <v>0</v>
      </c>
      <c r="O1403">
        <v>1395635.44</v>
      </c>
      <c r="P1403" t="s">
        <v>31</v>
      </c>
      <c r="Q1403" t="s">
        <v>32</v>
      </c>
    </row>
    <row r="1404" spans="1:17" x14ac:dyDescent="0.25">
      <c r="A1404" t="s">
        <v>1521</v>
      </c>
      <c r="B1404" s="1">
        <v>46030</v>
      </c>
      <c r="C1404" t="s">
        <v>79</v>
      </c>
      <c r="D1404" t="s">
        <v>80</v>
      </c>
      <c r="E1404" t="s">
        <v>20</v>
      </c>
      <c r="F1404" t="s">
        <v>105</v>
      </c>
      <c r="G1404" t="s">
        <v>138</v>
      </c>
      <c r="H1404" t="s">
        <v>44</v>
      </c>
      <c r="I1404" t="s">
        <v>124</v>
      </c>
      <c r="J1404">
        <v>19</v>
      </c>
      <c r="K1404">
        <v>3831.91</v>
      </c>
      <c r="L1404">
        <v>72806.289999999994</v>
      </c>
      <c r="M1404">
        <v>11840.11</v>
      </c>
      <c r="N1404">
        <v>0</v>
      </c>
      <c r="O1404">
        <v>60966.18</v>
      </c>
      <c r="P1404" t="s">
        <v>25</v>
      </c>
      <c r="Q1404" t="s">
        <v>26</v>
      </c>
    </row>
    <row r="1405" spans="1:17" x14ac:dyDescent="0.25">
      <c r="A1405" t="s">
        <v>1522</v>
      </c>
      <c r="B1405" s="1">
        <v>46028</v>
      </c>
      <c r="C1405" t="s">
        <v>60</v>
      </c>
      <c r="D1405" t="s">
        <v>61</v>
      </c>
      <c r="E1405" t="s">
        <v>49</v>
      </c>
      <c r="F1405" t="s">
        <v>71</v>
      </c>
      <c r="G1405" t="s">
        <v>63</v>
      </c>
      <c r="H1405" t="s">
        <v>38</v>
      </c>
      <c r="I1405" t="s">
        <v>39</v>
      </c>
      <c r="J1405">
        <v>23</v>
      </c>
      <c r="K1405">
        <v>14568.56</v>
      </c>
      <c r="L1405">
        <v>335076.88</v>
      </c>
      <c r="M1405">
        <v>0</v>
      </c>
      <c r="N1405">
        <v>0</v>
      </c>
      <c r="O1405">
        <v>335076.88</v>
      </c>
      <c r="P1405" t="s">
        <v>32</v>
      </c>
      <c r="Q1405" t="s">
        <v>32</v>
      </c>
    </row>
    <row r="1406" spans="1:17" x14ac:dyDescent="0.25">
      <c r="A1406" t="s">
        <v>1523</v>
      </c>
      <c r="B1406" s="1">
        <v>45979</v>
      </c>
      <c r="C1406" t="s">
        <v>60</v>
      </c>
      <c r="D1406" t="s">
        <v>61</v>
      </c>
      <c r="E1406" t="s">
        <v>35</v>
      </c>
      <c r="F1406" t="s">
        <v>50</v>
      </c>
      <c r="G1406" t="s">
        <v>22</v>
      </c>
      <c r="H1406" t="s">
        <v>67</v>
      </c>
      <c r="I1406" t="s">
        <v>77</v>
      </c>
      <c r="J1406">
        <v>4</v>
      </c>
      <c r="K1406">
        <v>19587.439999999999</v>
      </c>
      <c r="L1406">
        <v>78349.759999999995</v>
      </c>
      <c r="M1406">
        <v>11618.58</v>
      </c>
      <c r="N1406">
        <v>0</v>
      </c>
      <c r="O1406">
        <v>66731.179999999993</v>
      </c>
      <c r="P1406" t="s">
        <v>32</v>
      </c>
      <c r="Q1406" t="s">
        <v>32</v>
      </c>
    </row>
    <row r="1407" spans="1:17" x14ac:dyDescent="0.25">
      <c r="A1407" t="s">
        <v>1524</v>
      </c>
      <c r="B1407" s="1">
        <v>46011</v>
      </c>
      <c r="C1407" t="s">
        <v>18</v>
      </c>
      <c r="D1407" t="s">
        <v>34</v>
      </c>
      <c r="E1407" t="s">
        <v>41</v>
      </c>
      <c r="F1407" t="s">
        <v>71</v>
      </c>
      <c r="G1407" t="s">
        <v>89</v>
      </c>
      <c r="H1407" t="s">
        <v>44</v>
      </c>
      <c r="I1407" t="s">
        <v>124</v>
      </c>
      <c r="J1407">
        <v>47</v>
      </c>
      <c r="K1407">
        <v>45553.32</v>
      </c>
      <c r="L1407">
        <v>2141006.04</v>
      </c>
      <c r="M1407">
        <v>209658.82</v>
      </c>
      <c r="N1407">
        <v>0</v>
      </c>
      <c r="O1407">
        <v>1931347.22</v>
      </c>
      <c r="P1407" t="s">
        <v>31</v>
      </c>
      <c r="Q1407" t="s">
        <v>32</v>
      </c>
    </row>
    <row r="1408" spans="1:17" x14ac:dyDescent="0.25">
      <c r="A1408" t="s">
        <v>1525</v>
      </c>
      <c r="B1408" s="1">
        <v>46031</v>
      </c>
      <c r="C1408" t="s">
        <v>18</v>
      </c>
      <c r="D1408" t="s">
        <v>75</v>
      </c>
      <c r="E1408" t="s">
        <v>49</v>
      </c>
      <c r="F1408" t="s">
        <v>21</v>
      </c>
      <c r="G1408" t="s">
        <v>56</v>
      </c>
      <c r="H1408" t="s">
        <v>38</v>
      </c>
      <c r="I1408" t="s">
        <v>39</v>
      </c>
      <c r="J1408">
        <v>19</v>
      </c>
      <c r="K1408">
        <v>31742.54</v>
      </c>
      <c r="L1408">
        <v>603108.26</v>
      </c>
      <c r="M1408">
        <v>88988.74</v>
      </c>
      <c r="N1408">
        <v>31787.19</v>
      </c>
      <c r="O1408">
        <v>482332.33</v>
      </c>
      <c r="P1408" t="s">
        <v>31</v>
      </c>
      <c r="Q1408" t="s">
        <v>32</v>
      </c>
    </row>
    <row r="1409" spans="1:17" x14ac:dyDescent="0.25">
      <c r="A1409" t="s">
        <v>1526</v>
      </c>
      <c r="B1409" s="1">
        <v>46018</v>
      </c>
      <c r="C1409" t="s">
        <v>18</v>
      </c>
      <c r="D1409" t="s">
        <v>19</v>
      </c>
      <c r="E1409" t="s">
        <v>35</v>
      </c>
      <c r="F1409" t="s">
        <v>21</v>
      </c>
      <c r="G1409" t="s">
        <v>22</v>
      </c>
      <c r="H1409" t="s">
        <v>44</v>
      </c>
      <c r="I1409" t="s">
        <v>135</v>
      </c>
      <c r="J1409">
        <v>1</v>
      </c>
      <c r="K1409">
        <v>23904.71</v>
      </c>
      <c r="L1409">
        <v>23904.71</v>
      </c>
      <c r="M1409">
        <v>239.58</v>
      </c>
      <c r="N1409">
        <v>0</v>
      </c>
      <c r="O1409">
        <v>23665.13</v>
      </c>
      <c r="P1409" t="s">
        <v>25</v>
      </c>
      <c r="Q1409" t="s">
        <v>26</v>
      </c>
    </row>
    <row r="1410" spans="1:17" x14ac:dyDescent="0.25">
      <c r="A1410" t="s">
        <v>1527</v>
      </c>
      <c r="B1410" s="1">
        <v>46043</v>
      </c>
      <c r="C1410" t="s">
        <v>47</v>
      </c>
      <c r="D1410" t="s">
        <v>48</v>
      </c>
      <c r="E1410" t="s">
        <v>49</v>
      </c>
      <c r="F1410" t="s">
        <v>50</v>
      </c>
      <c r="G1410" t="s">
        <v>66</v>
      </c>
      <c r="H1410" t="s">
        <v>67</v>
      </c>
      <c r="I1410" t="s">
        <v>103</v>
      </c>
      <c r="J1410">
        <v>30</v>
      </c>
      <c r="K1410">
        <v>29577.75</v>
      </c>
      <c r="L1410">
        <v>887332.5</v>
      </c>
      <c r="M1410">
        <v>113520.12</v>
      </c>
      <c r="N1410">
        <v>0</v>
      </c>
      <c r="O1410">
        <v>773812.38</v>
      </c>
      <c r="P1410" t="s">
        <v>25</v>
      </c>
      <c r="Q1410" t="s">
        <v>26</v>
      </c>
    </row>
    <row r="1411" spans="1:17" x14ac:dyDescent="0.25">
      <c r="A1411" t="s">
        <v>1528</v>
      </c>
      <c r="B1411" s="1">
        <v>46040</v>
      </c>
      <c r="C1411" t="s">
        <v>79</v>
      </c>
      <c r="D1411" t="s">
        <v>107</v>
      </c>
      <c r="E1411" t="s">
        <v>41</v>
      </c>
      <c r="F1411" t="s">
        <v>42</v>
      </c>
      <c r="G1411" t="s">
        <v>22</v>
      </c>
      <c r="H1411" t="s">
        <v>44</v>
      </c>
      <c r="I1411" t="s">
        <v>141</v>
      </c>
      <c r="J1411">
        <v>31</v>
      </c>
      <c r="K1411">
        <v>41735.18</v>
      </c>
      <c r="L1411">
        <v>1293790.58</v>
      </c>
      <c r="M1411">
        <v>203531.59</v>
      </c>
      <c r="N1411">
        <v>0</v>
      </c>
      <c r="O1411">
        <v>1090258.99</v>
      </c>
      <c r="P1411" t="s">
        <v>25</v>
      </c>
      <c r="Q1411" t="s">
        <v>128</v>
      </c>
    </row>
    <row r="1412" spans="1:17" x14ac:dyDescent="0.25">
      <c r="A1412" t="s">
        <v>1529</v>
      </c>
      <c r="B1412" s="1">
        <v>46017</v>
      </c>
      <c r="C1412" t="s">
        <v>47</v>
      </c>
      <c r="D1412" t="s">
        <v>127</v>
      </c>
      <c r="E1412" t="s">
        <v>41</v>
      </c>
      <c r="F1412" t="s">
        <v>36</v>
      </c>
      <c r="G1412" t="s">
        <v>140</v>
      </c>
      <c r="H1412" t="s">
        <v>23</v>
      </c>
      <c r="I1412" t="s">
        <v>110</v>
      </c>
      <c r="J1412">
        <v>42</v>
      </c>
      <c r="K1412">
        <v>34081.39</v>
      </c>
      <c r="L1412">
        <v>1431418.38</v>
      </c>
      <c r="M1412">
        <v>234492.65</v>
      </c>
      <c r="N1412">
        <v>67950.789999999994</v>
      </c>
      <c r="O1412">
        <v>1128974.94</v>
      </c>
      <c r="P1412" t="s">
        <v>25</v>
      </c>
      <c r="Q1412" t="s">
        <v>26</v>
      </c>
    </row>
    <row r="1413" spans="1:17" x14ac:dyDescent="0.25">
      <c r="A1413" t="s">
        <v>1530</v>
      </c>
      <c r="B1413" s="1">
        <v>46008</v>
      </c>
      <c r="C1413" t="s">
        <v>54</v>
      </c>
      <c r="D1413" t="s">
        <v>70</v>
      </c>
      <c r="E1413" t="s">
        <v>49</v>
      </c>
      <c r="F1413" t="s">
        <v>71</v>
      </c>
      <c r="G1413" t="s">
        <v>63</v>
      </c>
      <c r="H1413" t="s">
        <v>67</v>
      </c>
      <c r="I1413" t="s">
        <v>170</v>
      </c>
      <c r="J1413">
        <v>12</v>
      </c>
      <c r="K1413">
        <v>41350.21</v>
      </c>
      <c r="L1413">
        <v>496202.52</v>
      </c>
      <c r="M1413">
        <v>86913.16</v>
      </c>
      <c r="N1413">
        <v>0</v>
      </c>
      <c r="O1413">
        <v>409289.36</v>
      </c>
      <c r="P1413" t="s">
        <v>31</v>
      </c>
      <c r="Q1413" t="s">
        <v>32</v>
      </c>
    </row>
    <row r="1414" spans="1:17" x14ac:dyDescent="0.25">
      <c r="A1414" t="s">
        <v>1531</v>
      </c>
      <c r="B1414" s="1">
        <v>45982</v>
      </c>
      <c r="C1414" t="s">
        <v>79</v>
      </c>
      <c r="D1414" t="s">
        <v>101</v>
      </c>
      <c r="E1414" t="s">
        <v>35</v>
      </c>
      <c r="F1414" t="s">
        <v>84</v>
      </c>
      <c r="G1414" t="s">
        <v>102</v>
      </c>
      <c r="H1414" t="s">
        <v>94</v>
      </c>
      <c r="I1414" t="s">
        <v>193</v>
      </c>
      <c r="J1414">
        <v>38</v>
      </c>
      <c r="K1414">
        <v>4425.87</v>
      </c>
      <c r="L1414">
        <v>168183.06</v>
      </c>
      <c r="M1414">
        <v>2539.86</v>
      </c>
      <c r="N1414">
        <v>26762</v>
      </c>
      <c r="O1414">
        <v>138881.20000000001</v>
      </c>
      <c r="P1414" t="s">
        <v>31</v>
      </c>
      <c r="Q1414" t="s">
        <v>32</v>
      </c>
    </row>
    <row r="1415" spans="1:17" x14ac:dyDescent="0.25">
      <c r="A1415" t="s">
        <v>1532</v>
      </c>
      <c r="B1415" s="1">
        <v>46034</v>
      </c>
      <c r="C1415" t="s">
        <v>60</v>
      </c>
      <c r="D1415" t="s">
        <v>151</v>
      </c>
      <c r="E1415" t="s">
        <v>49</v>
      </c>
      <c r="F1415" t="s">
        <v>62</v>
      </c>
      <c r="G1415" t="s">
        <v>63</v>
      </c>
      <c r="H1415" t="s">
        <v>23</v>
      </c>
      <c r="I1415" t="s">
        <v>131</v>
      </c>
      <c r="J1415">
        <v>35</v>
      </c>
      <c r="K1415">
        <v>47305.5</v>
      </c>
      <c r="L1415">
        <v>1655692.5</v>
      </c>
      <c r="M1415">
        <v>0</v>
      </c>
      <c r="N1415">
        <v>137316</v>
      </c>
      <c r="O1415">
        <v>1518376.5</v>
      </c>
      <c r="P1415" t="s">
        <v>31</v>
      </c>
      <c r="Q1415" t="s">
        <v>32</v>
      </c>
    </row>
    <row r="1416" spans="1:17" x14ac:dyDescent="0.25">
      <c r="A1416" t="s">
        <v>1533</v>
      </c>
      <c r="B1416" s="1">
        <v>45959</v>
      </c>
      <c r="C1416" t="s">
        <v>54</v>
      </c>
      <c r="D1416" t="s">
        <v>133</v>
      </c>
      <c r="E1416" t="s">
        <v>49</v>
      </c>
      <c r="F1416" t="s">
        <v>105</v>
      </c>
      <c r="G1416" t="s">
        <v>22</v>
      </c>
      <c r="H1416" t="s">
        <v>44</v>
      </c>
      <c r="I1416" t="s">
        <v>45</v>
      </c>
      <c r="J1416">
        <v>36</v>
      </c>
      <c r="K1416">
        <v>37007.199999999997</v>
      </c>
      <c r="L1416">
        <v>1332259.2</v>
      </c>
      <c r="M1416">
        <v>18552.14</v>
      </c>
      <c r="N1416">
        <v>0</v>
      </c>
      <c r="O1416">
        <v>1313707.06</v>
      </c>
      <c r="P1416" t="s">
        <v>73</v>
      </c>
      <c r="Q1416" t="s">
        <v>32</v>
      </c>
    </row>
    <row r="1417" spans="1:17" x14ac:dyDescent="0.25">
      <c r="A1417" t="s">
        <v>1534</v>
      </c>
      <c r="B1417" s="1">
        <v>46006</v>
      </c>
      <c r="C1417" t="s">
        <v>18</v>
      </c>
      <c r="D1417" t="s">
        <v>28</v>
      </c>
      <c r="E1417" t="s">
        <v>41</v>
      </c>
      <c r="F1417" t="s">
        <v>50</v>
      </c>
      <c r="G1417" t="s">
        <v>22</v>
      </c>
      <c r="H1417" t="s">
        <v>23</v>
      </c>
      <c r="I1417" t="s">
        <v>110</v>
      </c>
      <c r="J1417">
        <v>40</v>
      </c>
      <c r="K1417">
        <v>47661.95</v>
      </c>
      <c r="L1417">
        <v>1906478</v>
      </c>
      <c r="M1417">
        <v>0</v>
      </c>
      <c r="N1417">
        <v>0</v>
      </c>
      <c r="O1417">
        <v>1906478</v>
      </c>
      <c r="P1417" t="s">
        <v>73</v>
      </c>
      <c r="Q1417" t="s">
        <v>32</v>
      </c>
    </row>
    <row r="1418" spans="1:17" x14ac:dyDescent="0.25">
      <c r="A1418" t="s">
        <v>1535</v>
      </c>
      <c r="B1418" s="1">
        <v>45976</v>
      </c>
      <c r="C1418" t="s">
        <v>60</v>
      </c>
      <c r="D1418" t="s">
        <v>61</v>
      </c>
      <c r="E1418" t="s">
        <v>41</v>
      </c>
      <c r="F1418" t="s">
        <v>71</v>
      </c>
      <c r="G1418" t="s">
        <v>140</v>
      </c>
      <c r="H1418" t="s">
        <v>44</v>
      </c>
      <c r="I1418" t="s">
        <v>135</v>
      </c>
      <c r="J1418">
        <v>16</v>
      </c>
      <c r="K1418">
        <v>43256.66</v>
      </c>
      <c r="L1418">
        <v>692106.56</v>
      </c>
      <c r="M1418">
        <v>0</v>
      </c>
      <c r="N1418">
        <v>0</v>
      </c>
      <c r="O1418">
        <v>692106.56</v>
      </c>
      <c r="P1418" t="s">
        <v>32</v>
      </c>
      <c r="Q1418" t="s">
        <v>32</v>
      </c>
    </row>
    <row r="1419" spans="1:17" x14ac:dyDescent="0.25">
      <c r="A1419" t="s">
        <v>1536</v>
      </c>
      <c r="B1419" s="1">
        <v>46039</v>
      </c>
      <c r="C1419" t="s">
        <v>79</v>
      </c>
      <c r="D1419" t="s">
        <v>107</v>
      </c>
      <c r="E1419" t="s">
        <v>35</v>
      </c>
      <c r="F1419" t="s">
        <v>50</v>
      </c>
      <c r="G1419" t="s">
        <v>29</v>
      </c>
      <c r="H1419" t="s">
        <v>44</v>
      </c>
      <c r="I1419" t="s">
        <v>45</v>
      </c>
      <c r="J1419">
        <v>9</v>
      </c>
      <c r="K1419">
        <v>49252.82</v>
      </c>
      <c r="L1419">
        <v>443275.38</v>
      </c>
      <c r="M1419">
        <v>1706.11</v>
      </c>
      <c r="N1419">
        <v>0</v>
      </c>
      <c r="O1419">
        <v>441569.27</v>
      </c>
      <c r="P1419" t="s">
        <v>25</v>
      </c>
      <c r="Q1419" t="s">
        <v>26</v>
      </c>
    </row>
    <row r="1420" spans="1:17" x14ac:dyDescent="0.25">
      <c r="A1420" t="s">
        <v>1537</v>
      </c>
      <c r="B1420" s="1">
        <v>45983</v>
      </c>
      <c r="C1420" t="s">
        <v>79</v>
      </c>
      <c r="D1420" t="s">
        <v>101</v>
      </c>
      <c r="E1420" t="s">
        <v>35</v>
      </c>
      <c r="F1420" t="s">
        <v>112</v>
      </c>
      <c r="G1420" t="s">
        <v>81</v>
      </c>
      <c r="H1420" t="s">
        <v>23</v>
      </c>
      <c r="I1420" t="s">
        <v>24</v>
      </c>
      <c r="J1420">
        <v>7</v>
      </c>
      <c r="K1420">
        <v>5026.13</v>
      </c>
      <c r="L1420">
        <v>35182.910000000003</v>
      </c>
      <c r="M1420">
        <v>4097.34</v>
      </c>
      <c r="N1420">
        <v>2065.9699999999998</v>
      </c>
      <c r="O1420">
        <v>29019.599999999999</v>
      </c>
      <c r="P1420" t="s">
        <v>25</v>
      </c>
      <c r="Q1420" t="s">
        <v>26</v>
      </c>
    </row>
    <row r="1421" spans="1:17" x14ac:dyDescent="0.25">
      <c r="A1421" t="s">
        <v>1538</v>
      </c>
      <c r="B1421" s="1">
        <v>46016</v>
      </c>
      <c r="C1421" t="s">
        <v>54</v>
      </c>
      <c r="D1421" t="s">
        <v>55</v>
      </c>
      <c r="E1421" t="s">
        <v>20</v>
      </c>
      <c r="F1421" t="s">
        <v>42</v>
      </c>
      <c r="G1421" t="s">
        <v>29</v>
      </c>
      <c r="H1421" t="s">
        <v>38</v>
      </c>
      <c r="I1421" t="s">
        <v>82</v>
      </c>
      <c r="J1421">
        <v>35</v>
      </c>
      <c r="K1421">
        <v>2628.33</v>
      </c>
      <c r="L1421">
        <v>91991.55</v>
      </c>
      <c r="M1421">
        <v>0</v>
      </c>
      <c r="N1421">
        <v>19937.830000000002</v>
      </c>
      <c r="O1421">
        <v>72053.72</v>
      </c>
      <c r="P1421" t="s">
        <v>73</v>
      </c>
      <c r="Q1421" t="s">
        <v>32</v>
      </c>
    </row>
    <row r="1422" spans="1:17" x14ac:dyDescent="0.25">
      <c r="A1422" t="s">
        <v>1539</v>
      </c>
      <c r="B1422" s="1">
        <v>46014</v>
      </c>
      <c r="C1422" t="s">
        <v>79</v>
      </c>
      <c r="D1422" t="s">
        <v>107</v>
      </c>
      <c r="E1422" t="s">
        <v>41</v>
      </c>
      <c r="F1422" t="s">
        <v>21</v>
      </c>
      <c r="G1422" t="s">
        <v>102</v>
      </c>
      <c r="H1422" t="s">
        <v>23</v>
      </c>
      <c r="I1422" t="s">
        <v>30</v>
      </c>
      <c r="J1422">
        <v>14</v>
      </c>
      <c r="K1422">
        <v>28232.74</v>
      </c>
      <c r="L1422">
        <v>395258.36</v>
      </c>
      <c r="M1422">
        <v>0</v>
      </c>
      <c r="N1422">
        <v>0</v>
      </c>
      <c r="O1422">
        <v>395258.36</v>
      </c>
      <c r="P1422" t="s">
        <v>32</v>
      </c>
      <c r="Q1422" t="s">
        <v>26</v>
      </c>
    </row>
    <row r="1423" spans="1:17" x14ac:dyDescent="0.25">
      <c r="A1423" t="s">
        <v>1540</v>
      </c>
      <c r="B1423" s="1">
        <v>46005</v>
      </c>
      <c r="C1423" t="s">
        <v>54</v>
      </c>
      <c r="D1423" t="s">
        <v>55</v>
      </c>
      <c r="E1423" t="s">
        <v>20</v>
      </c>
      <c r="F1423" t="s">
        <v>62</v>
      </c>
      <c r="G1423" t="s">
        <v>138</v>
      </c>
      <c r="H1423" t="s">
        <v>94</v>
      </c>
      <c r="I1423" t="s">
        <v>144</v>
      </c>
      <c r="J1423">
        <v>36</v>
      </c>
      <c r="K1423">
        <v>40884.42</v>
      </c>
      <c r="L1423">
        <v>1471839.12</v>
      </c>
      <c r="M1423">
        <v>231674.23</v>
      </c>
      <c r="N1423">
        <v>0</v>
      </c>
      <c r="O1423">
        <v>1240164.8899999999</v>
      </c>
      <c r="P1423" t="s">
        <v>25</v>
      </c>
      <c r="Q1423" t="s">
        <v>26</v>
      </c>
    </row>
    <row r="1424" spans="1:17" x14ac:dyDescent="0.25">
      <c r="A1424" t="s">
        <v>1541</v>
      </c>
      <c r="B1424" s="1">
        <v>46025</v>
      </c>
      <c r="C1424" t="s">
        <v>18</v>
      </c>
      <c r="D1424" t="s">
        <v>19</v>
      </c>
      <c r="E1424" t="s">
        <v>41</v>
      </c>
      <c r="F1424" t="s">
        <v>137</v>
      </c>
      <c r="G1424" t="s">
        <v>85</v>
      </c>
      <c r="H1424" t="s">
        <v>38</v>
      </c>
      <c r="I1424" t="s">
        <v>39</v>
      </c>
      <c r="J1424">
        <v>32</v>
      </c>
      <c r="K1424">
        <v>18361.55</v>
      </c>
      <c r="L1424">
        <v>587569.6</v>
      </c>
      <c r="M1424">
        <v>47212.68</v>
      </c>
      <c r="N1424">
        <v>125985.86</v>
      </c>
      <c r="O1424">
        <v>414371.06</v>
      </c>
      <c r="P1424" t="s">
        <v>73</v>
      </c>
      <c r="Q1424" t="s">
        <v>32</v>
      </c>
    </row>
    <row r="1425" spans="1:17" x14ac:dyDescent="0.25">
      <c r="A1425" t="s">
        <v>1542</v>
      </c>
      <c r="B1425" s="1">
        <v>46018</v>
      </c>
      <c r="C1425" t="s">
        <v>54</v>
      </c>
      <c r="D1425" t="s">
        <v>133</v>
      </c>
      <c r="E1425" t="s">
        <v>41</v>
      </c>
      <c r="F1425" t="s">
        <v>21</v>
      </c>
      <c r="G1425" t="s">
        <v>51</v>
      </c>
      <c r="H1425" t="s">
        <v>23</v>
      </c>
      <c r="I1425" t="s">
        <v>30</v>
      </c>
      <c r="J1425">
        <v>25</v>
      </c>
      <c r="K1425">
        <v>44229.53</v>
      </c>
      <c r="L1425">
        <v>1105738.25</v>
      </c>
      <c r="M1425">
        <v>208366.57</v>
      </c>
      <c r="N1425">
        <v>0</v>
      </c>
      <c r="O1425">
        <v>897371.68</v>
      </c>
      <c r="P1425" t="s">
        <v>25</v>
      </c>
      <c r="Q1425" t="s">
        <v>26</v>
      </c>
    </row>
    <row r="1426" spans="1:17" x14ac:dyDescent="0.25">
      <c r="A1426" t="s">
        <v>1543</v>
      </c>
      <c r="B1426" s="1">
        <v>45957</v>
      </c>
      <c r="C1426" t="s">
        <v>54</v>
      </c>
      <c r="D1426" t="s">
        <v>70</v>
      </c>
      <c r="E1426" t="s">
        <v>20</v>
      </c>
      <c r="F1426" t="s">
        <v>137</v>
      </c>
      <c r="G1426" t="s">
        <v>98</v>
      </c>
      <c r="H1426" t="s">
        <v>57</v>
      </c>
      <c r="I1426" t="s">
        <v>148</v>
      </c>
      <c r="J1426">
        <v>20</v>
      </c>
      <c r="K1426">
        <v>44605.82</v>
      </c>
      <c r="L1426">
        <v>892116.4</v>
      </c>
      <c r="M1426">
        <v>0</v>
      </c>
      <c r="N1426">
        <v>0</v>
      </c>
      <c r="O1426">
        <v>892116.4</v>
      </c>
      <c r="P1426" t="s">
        <v>25</v>
      </c>
      <c r="Q1426" t="s">
        <v>26</v>
      </c>
    </row>
    <row r="1427" spans="1:17" x14ac:dyDescent="0.25">
      <c r="A1427" t="s">
        <v>1544</v>
      </c>
      <c r="B1427" s="1">
        <v>46009</v>
      </c>
      <c r="C1427" t="s">
        <v>54</v>
      </c>
      <c r="D1427" t="s">
        <v>55</v>
      </c>
      <c r="E1427" t="s">
        <v>35</v>
      </c>
      <c r="F1427" t="s">
        <v>62</v>
      </c>
      <c r="G1427" t="s">
        <v>29</v>
      </c>
      <c r="H1427" t="s">
        <v>94</v>
      </c>
      <c r="I1427" t="s">
        <v>95</v>
      </c>
      <c r="J1427">
        <v>13</v>
      </c>
      <c r="K1427">
        <v>5185.5</v>
      </c>
      <c r="L1427">
        <v>67411.5</v>
      </c>
      <c r="M1427">
        <v>0</v>
      </c>
      <c r="N1427">
        <v>0</v>
      </c>
      <c r="O1427">
        <v>67411.5</v>
      </c>
      <c r="P1427" t="s">
        <v>73</v>
      </c>
      <c r="Q1427" t="s">
        <v>26</v>
      </c>
    </row>
    <row r="1428" spans="1:17" x14ac:dyDescent="0.25">
      <c r="A1428" t="s">
        <v>1545</v>
      </c>
      <c r="B1428" s="1">
        <v>45990</v>
      </c>
      <c r="C1428" t="s">
        <v>79</v>
      </c>
      <c r="D1428" t="s">
        <v>101</v>
      </c>
      <c r="E1428" t="s">
        <v>35</v>
      </c>
      <c r="F1428" t="s">
        <v>105</v>
      </c>
      <c r="G1428" t="s">
        <v>81</v>
      </c>
      <c r="H1428" t="s">
        <v>44</v>
      </c>
      <c r="I1428" t="s">
        <v>141</v>
      </c>
      <c r="J1428">
        <v>26</v>
      </c>
      <c r="K1428">
        <v>2442.9899999999998</v>
      </c>
      <c r="L1428">
        <v>63517.74</v>
      </c>
      <c r="M1428">
        <v>10382.52</v>
      </c>
      <c r="N1428">
        <v>0</v>
      </c>
      <c r="O1428">
        <v>53135.22</v>
      </c>
      <c r="P1428" t="s">
        <v>32</v>
      </c>
      <c r="Q1428" t="s">
        <v>26</v>
      </c>
    </row>
    <row r="1429" spans="1:17" x14ac:dyDescent="0.25">
      <c r="A1429" t="s">
        <v>1546</v>
      </c>
      <c r="B1429" s="1">
        <v>46002</v>
      </c>
      <c r="C1429" t="s">
        <v>18</v>
      </c>
      <c r="D1429" t="s">
        <v>34</v>
      </c>
      <c r="E1429" t="s">
        <v>20</v>
      </c>
      <c r="F1429" t="s">
        <v>112</v>
      </c>
      <c r="G1429" t="s">
        <v>43</v>
      </c>
      <c r="H1429" t="s">
        <v>44</v>
      </c>
      <c r="I1429" t="s">
        <v>45</v>
      </c>
      <c r="J1429">
        <v>14</v>
      </c>
      <c r="K1429">
        <v>12351.14</v>
      </c>
      <c r="L1429">
        <v>172915.96</v>
      </c>
      <c r="M1429">
        <v>5887.15</v>
      </c>
      <c r="N1429">
        <v>0</v>
      </c>
      <c r="O1429">
        <v>167028.81</v>
      </c>
      <c r="P1429" t="s">
        <v>25</v>
      </c>
      <c r="Q1429" t="s">
        <v>26</v>
      </c>
    </row>
    <row r="1430" spans="1:17" x14ac:dyDescent="0.25">
      <c r="A1430" t="s">
        <v>1547</v>
      </c>
      <c r="B1430" s="1">
        <v>46010</v>
      </c>
      <c r="C1430" t="s">
        <v>18</v>
      </c>
      <c r="D1430" t="s">
        <v>75</v>
      </c>
      <c r="E1430" t="s">
        <v>35</v>
      </c>
      <c r="F1430" t="s">
        <v>36</v>
      </c>
      <c r="G1430" t="s">
        <v>85</v>
      </c>
      <c r="H1430" t="s">
        <v>23</v>
      </c>
      <c r="I1430" t="s">
        <v>24</v>
      </c>
      <c r="J1430">
        <v>50</v>
      </c>
      <c r="K1430">
        <v>16094.97</v>
      </c>
      <c r="L1430">
        <v>804748.5</v>
      </c>
      <c r="M1430">
        <v>0</v>
      </c>
      <c r="N1430">
        <v>0</v>
      </c>
      <c r="O1430">
        <v>804748.5</v>
      </c>
      <c r="P1430" t="s">
        <v>73</v>
      </c>
      <c r="Q1430" t="s">
        <v>32</v>
      </c>
    </row>
    <row r="1431" spans="1:17" x14ac:dyDescent="0.25">
      <c r="A1431" t="s">
        <v>1548</v>
      </c>
      <c r="B1431" s="1">
        <v>45983</v>
      </c>
      <c r="C1431" t="s">
        <v>54</v>
      </c>
      <c r="D1431" t="s">
        <v>55</v>
      </c>
      <c r="E1431" t="s">
        <v>41</v>
      </c>
      <c r="F1431" t="s">
        <v>84</v>
      </c>
      <c r="G1431" t="s">
        <v>140</v>
      </c>
      <c r="H1431" t="s">
        <v>44</v>
      </c>
      <c r="I1431" t="s">
        <v>45</v>
      </c>
      <c r="J1431">
        <v>5</v>
      </c>
      <c r="K1431">
        <v>35690.33</v>
      </c>
      <c r="L1431">
        <v>178451.65</v>
      </c>
      <c r="M1431">
        <v>1736.77</v>
      </c>
      <c r="N1431">
        <v>0</v>
      </c>
      <c r="O1431">
        <v>176714.88</v>
      </c>
      <c r="P1431" t="s">
        <v>31</v>
      </c>
      <c r="Q1431" t="s">
        <v>32</v>
      </c>
    </row>
    <row r="1432" spans="1:17" x14ac:dyDescent="0.25">
      <c r="A1432" t="s">
        <v>1549</v>
      </c>
      <c r="B1432" s="1">
        <v>45988</v>
      </c>
      <c r="C1432" t="s">
        <v>18</v>
      </c>
      <c r="D1432" t="s">
        <v>19</v>
      </c>
      <c r="E1432" t="s">
        <v>35</v>
      </c>
      <c r="F1432" t="s">
        <v>50</v>
      </c>
      <c r="G1432" t="s">
        <v>85</v>
      </c>
      <c r="H1432" t="s">
        <v>44</v>
      </c>
      <c r="I1432" t="s">
        <v>152</v>
      </c>
      <c r="J1432">
        <v>49</v>
      </c>
      <c r="K1432">
        <v>28430.31</v>
      </c>
      <c r="L1432">
        <v>1393085.19</v>
      </c>
      <c r="M1432">
        <v>0</v>
      </c>
      <c r="N1432">
        <v>0</v>
      </c>
      <c r="O1432">
        <v>1393085.19</v>
      </c>
      <c r="P1432" t="s">
        <v>73</v>
      </c>
      <c r="Q1432" t="s">
        <v>32</v>
      </c>
    </row>
    <row r="1433" spans="1:17" x14ac:dyDescent="0.25">
      <c r="A1433" t="s">
        <v>1550</v>
      </c>
      <c r="B1433" s="1">
        <v>45982</v>
      </c>
      <c r="C1433" t="s">
        <v>60</v>
      </c>
      <c r="D1433" t="s">
        <v>123</v>
      </c>
      <c r="E1433" t="s">
        <v>41</v>
      </c>
      <c r="F1433" t="s">
        <v>71</v>
      </c>
      <c r="G1433" t="s">
        <v>29</v>
      </c>
      <c r="H1433" t="s">
        <v>57</v>
      </c>
      <c r="I1433" t="s">
        <v>72</v>
      </c>
      <c r="J1433">
        <v>36</v>
      </c>
      <c r="K1433">
        <v>43114.6</v>
      </c>
      <c r="L1433">
        <v>1552125.6</v>
      </c>
      <c r="M1433">
        <v>0</v>
      </c>
      <c r="N1433">
        <v>0</v>
      </c>
      <c r="O1433">
        <v>1552125.6</v>
      </c>
      <c r="P1433" t="s">
        <v>32</v>
      </c>
      <c r="Q1433" t="s">
        <v>26</v>
      </c>
    </row>
    <row r="1434" spans="1:17" x14ac:dyDescent="0.25">
      <c r="A1434" t="s">
        <v>1551</v>
      </c>
      <c r="B1434" s="1">
        <v>46043</v>
      </c>
      <c r="C1434" t="s">
        <v>54</v>
      </c>
      <c r="D1434" t="s">
        <v>97</v>
      </c>
      <c r="E1434" t="s">
        <v>49</v>
      </c>
      <c r="F1434" t="s">
        <v>137</v>
      </c>
      <c r="G1434" t="s">
        <v>102</v>
      </c>
      <c r="H1434" t="s">
        <v>44</v>
      </c>
      <c r="I1434" t="s">
        <v>141</v>
      </c>
      <c r="J1434">
        <v>16</v>
      </c>
      <c r="K1434">
        <v>25393.43</v>
      </c>
      <c r="L1434">
        <v>406294.88</v>
      </c>
      <c r="M1434">
        <v>0</v>
      </c>
      <c r="N1434">
        <v>110623.03</v>
      </c>
      <c r="O1434">
        <v>295671.84999999998</v>
      </c>
      <c r="P1434" t="s">
        <v>32</v>
      </c>
      <c r="Q1434" t="s">
        <v>32</v>
      </c>
    </row>
    <row r="1435" spans="1:17" x14ac:dyDescent="0.25">
      <c r="A1435" t="s">
        <v>1552</v>
      </c>
      <c r="B1435" s="1">
        <v>46014</v>
      </c>
      <c r="C1435" t="s">
        <v>54</v>
      </c>
      <c r="D1435" t="s">
        <v>133</v>
      </c>
      <c r="E1435" t="s">
        <v>35</v>
      </c>
      <c r="F1435" t="s">
        <v>62</v>
      </c>
      <c r="G1435" t="s">
        <v>85</v>
      </c>
      <c r="H1435" t="s">
        <v>23</v>
      </c>
      <c r="I1435" t="s">
        <v>52</v>
      </c>
      <c r="J1435">
        <v>20</v>
      </c>
      <c r="K1435">
        <v>32343.89</v>
      </c>
      <c r="L1435">
        <v>646877.80000000005</v>
      </c>
      <c r="M1435">
        <v>107638.17</v>
      </c>
      <c r="N1435">
        <v>0</v>
      </c>
      <c r="O1435">
        <v>539239.63</v>
      </c>
      <c r="P1435" t="s">
        <v>25</v>
      </c>
      <c r="Q1435" t="s">
        <v>26</v>
      </c>
    </row>
    <row r="1436" spans="1:17" x14ac:dyDescent="0.25">
      <c r="A1436" t="s">
        <v>1553</v>
      </c>
      <c r="B1436" s="1">
        <v>46010</v>
      </c>
      <c r="C1436" t="s">
        <v>60</v>
      </c>
      <c r="D1436" t="s">
        <v>61</v>
      </c>
      <c r="E1436" t="s">
        <v>35</v>
      </c>
      <c r="F1436" t="s">
        <v>42</v>
      </c>
      <c r="G1436" t="s">
        <v>102</v>
      </c>
      <c r="H1436" t="s">
        <v>57</v>
      </c>
      <c r="I1436" t="s">
        <v>58</v>
      </c>
      <c r="J1436">
        <v>1</v>
      </c>
      <c r="K1436">
        <v>46000.93</v>
      </c>
      <c r="L1436">
        <v>46000.93</v>
      </c>
      <c r="M1436">
        <v>3061.54</v>
      </c>
      <c r="N1436">
        <v>0</v>
      </c>
      <c r="O1436">
        <v>42939.39</v>
      </c>
      <c r="P1436" t="s">
        <v>32</v>
      </c>
      <c r="Q1436" t="s">
        <v>26</v>
      </c>
    </row>
    <row r="1437" spans="1:17" x14ac:dyDescent="0.25">
      <c r="A1437" t="s">
        <v>1554</v>
      </c>
      <c r="B1437" s="1">
        <v>45972</v>
      </c>
      <c r="C1437" t="s">
        <v>79</v>
      </c>
      <c r="D1437" t="s">
        <v>80</v>
      </c>
      <c r="E1437" t="s">
        <v>41</v>
      </c>
      <c r="F1437" t="s">
        <v>137</v>
      </c>
      <c r="G1437" t="s">
        <v>22</v>
      </c>
      <c r="H1437" t="s">
        <v>38</v>
      </c>
      <c r="I1437" t="s">
        <v>39</v>
      </c>
      <c r="J1437">
        <v>41</v>
      </c>
      <c r="K1437">
        <v>19967.02</v>
      </c>
      <c r="L1437">
        <v>818647.82</v>
      </c>
      <c r="M1437">
        <v>53112.21</v>
      </c>
      <c r="N1437">
        <v>0</v>
      </c>
      <c r="O1437">
        <v>765535.61</v>
      </c>
      <c r="P1437" t="s">
        <v>32</v>
      </c>
      <c r="Q1437" t="s">
        <v>26</v>
      </c>
    </row>
    <row r="1438" spans="1:17" x14ac:dyDescent="0.25">
      <c r="A1438" t="s">
        <v>1555</v>
      </c>
      <c r="B1438" s="1">
        <v>46029</v>
      </c>
      <c r="C1438" t="s">
        <v>54</v>
      </c>
      <c r="D1438" t="s">
        <v>55</v>
      </c>
      <c r="E1438" t="s">
        <v>49</v>
      </c>
      <c r="F1438" t="s">
        <v>112</v>
      </c>
      <c r="G1438" t="s">
        <v>51</v>
      </c>
      <c r="H1438" t="s">
        <v>57</v>
      </c>
      <c r="I1438" t="s">
        <v>72</v>
      </c>
      <c r="J1438">
        <v>1</v>
      </c>
      <c r="K1438">
        <v>4854.8999999999996</v>
      </c>
      <c r="L1438">
        <v>4854.8999999999996</v>
      </c>
      <c r="M1438">
        <v>181.26</v>
      </c>
      <c r="N1438">
        <v>0</v>
      </c>
      <c r="O1438">
        <v>4673.6400000000003</v>
      </c>
      <c r="P1438" t="s">
        <v>73</v>
      </c>
      <c r="Q1438" t="s">
        <v>32</v>
      </c>
    </row>
    <row r="1439" spans="1:17" x14ac:dyDescent="0.25">
      <c r="A1439" t="s">
        <v>1556</v>
      </c>
      <c r="B1439" s="1">
        <v>45985</v>
      </c>
      <c r="C1439" t="s">
        <v>60</v>
      </c>
      <c r="D1439" t="s">
        <v>123</v>
      </c>
      <c r="E1439" t="s">
        <v>35</v>
      </c>
      <c r="F1439" t="s">
        <v>42</v>
      </c>
      <c r="G1439" t="s">
        <v>98</v>
      </c>
      <c r="H1439" t="s">
        <v>23</v>
      </c>
      <c r="I1439" t="s">
        <v>131</v>
      </c>
      <c r="J1439">
        <v>50</v>
      </c>
      <c r="K1439">
        <v>1074.69</v>
      </c>
      <c r="L1439">
        <v>53734.5</v>
      </c>
      <c r="M1439">
        <v>2441.3200000000002</v>
      </c>
      <c r="N1439">
        <v>0</v>
      </c>
      <c r="O1439">
        <v>51293.18</v>
      </c>
      <c r="P1439" t="s">
        <v>25</v>
      </c>
      <c r="Q1439" t="s">
        <v>128</v>
      </c>
    </row>
    <row r="1440" spans="1:17" x14ac:dyDescent="0.25">
      <c r="A1440" t="s">
        <v>1557</v>
      </c>
      <c r="B1440" s="1">
        <v>46020</v>
      </c>
      <c r="C1440" t="s">
        <v>47</v>
      </c>
      <c r="D1440" t="s">
        <v>48</v>
      </c>
      <c r="E1440" t="s">
        <v>20</v>
      </c>
      <c r="F1440" t="s">
        <v>42</v>
      </c>
      <c r="G1440" t="s">
        <v>51</v>
      </c>
      <c r="H1440" t="s">
        <v>57</v>
      </c>
      <c r="I1440" t="s">
        <v>72</v>
      </c>
      <c r="J1440">
        <v>38</v>
      </c>
      <c r="K1440">
        <v>5911.3</v>
      </c>
      <c r="L1440">
        <v>224629.4</v>
      </c>
      <c r="M1440">
        <v>30806.91</v>
      </c>
      <c r="N1440">
        <v>0</v>
      </c>
      <c r="O1440">
        <v>193822.49</v>
      </c>
      <c r="P1440" t="s">
        <v>73</v>
      </c>
      <c r="Q1440" t="s">
        <v>26</v>
      </c>
    </row>
    <row r="1441" spans="1:17" x14ac:dyDescent="0.25">
      <c r="A1441" t="s">
        <v>1558</v>
      </c>
      <c r="B1441" s="1">
        <v>46037</v>
      </c>
      <c r="C1441" t="s">
        <v>60</v>
      </c>
      <c r="D1441" t="s">
        <v>65</v>
      </c>
      <c r="E1441" t="s">
        <v>41</v>
      </c>
      <c r="F1441" t="s">
        <v>42</v>
      </c>
      <c r="G1441" t="s">
        <v>37</v>
      </c>
      <c r="H1441" t="s">
        <v>94</v>
      </c>
      <c r="I1441" t="s">
        <v>193</v>
      </c>
      <c r="J1441">
        <v>43</v>
      </c>
      <c r="K1441">
        <v>5015.1899999999996</v>
      </c>
      <c r="L1441">
        <v>215653.17</v>
      </c>
      <c r="M1441">
        <v>40062.82</v>
      </c>
      <c r="N1441">
        <v>0</v>
      </c>
      <c r="O1441">
        <v>175590.35</v>
      </c>
      <c r="P1441" t="s">
        <v>32</v>
      </c>
      <c r="Q1441" t="s">
        <v>32</v>
      </c>
    </row>
    <row r="1442" spans="1:17" x14ac:dyDescent="0.25">
      <c r="A1442" t="s">
        <v>1559</v>
      </c>
      <c r="B1442" s="1">
        <v>46021</v>
      </c>
      <c r="C1442" t="s">
        <v>54</v>
      </c>
      <c r="D1442" t="s">
        <v>70</v>
      </c>
      <c r="E1442" t="s">
        <v>20</v>
      </c>
      <c r="F1442" t="s">
        <v>21</v>
      </c>
      <c r="G1442" t="s">
        <v>102</v>
      </c>
      <c r="H1442" t="s">
        <v>44</v>
      </c>
      <c r="I1442" t="s">
        <v>141</v>
      </c>
      <c r="J1442">
        <v>16</v>
      </c>
      <c r="K1442">
        <v>16852.990000000002</v>
      </c>
      <c r="L1442">
        <v>269647.84000000003</v>
      </c>
      <c r="M1442">
        <v>0</v>
      </c>
      <c r="N1442">
        <v>0</v>
      </c>
      <c r="O1442">
        <v>269647.84000000003</v>
      </c>
      <c r="P1442" t="s">
        <v>31</v>
      </c>
      <c r="Q1442" t="s">
        <v>32</v>
      </c>
    </row>
    <row r="1443" spans="1:17" x14ac:dyDescent="0.25">
      <c r="A1443" t="s">
        <v>1560</v>
      </c>
      <c r="B1443" s="1">
        <v>46017</v>
      </c>
      <c r="C1443" t="s">
        <v>79</v>
      </c>
      <c r="D1443" t="s">
        <v>91</v>
      </c>
      <c r="E1443" t="s">
        <v>35</v>
      </c>
      <c r="F1443" t="s">
        <v>42</v>
      </c>
      <c r="G1443" t="s">
        <v>22</v>
      </c>
      <c r="H1443" t="s">
        <v>23</v>
      </c>
      <c r="I1443" t="s">
        <v>110</v>
      </c>
      <c r="J1443">
        <v>26</v>
      </c>
      <c r="K1443">
        <v>22145.48</v>
      </c>
      <c r="L1443">
        <v>575782.48</v>
      </c>
      <c r="M1443">
        <v>0</v>
      </c>
      <c r="N1443">
        <v>0</v>
      </c>
      <c r="O1443">
        <v>575782.48</v>
      </c>
      <c r="P1443" t="s">
        <v>73</v>
      </c>
      <c r="Q1443" t="s">
        <v>26</v>
      </c>
    </row>
    <row r="1444" spans="1:17" x14ac:dyDescent="0.25">
      <c r="A1444" t="s">
        <v>1561</v>
      </c>
      <c r="B1444" s="1">
        <v>45968</v>
      </c>
      <c r="C1444" t="s">
        <v>47</v>
      </c>
      <c r="D1444" t="s">
        <v>114</v>
      </c>
      <c r="E1444" t="s">
        <v>49</v>
      </c>
      <c r="F1444" t="s">
        <v>21</v>
      </c>
      <c r="G1444" t="s">
        <v>43</v>
      </c>
      <c r="H1444" t="s">
        <v>44</v>
      </c>
      <c r="I1444" t="s">
        <v>45</v>
      </c>
      <c r="J1444">
        <v>42</v>
      </c>
      <c r="K1444">
        <v>48936.02</v>
      </c>
      <c r="L1444">
        <v>2055312.84</v>
      </c>
      <c r="M1444">
        <v>355564.49</v>
      </c>
      <c r="N1444">
        <v>0</v>
      </c>
      <c r="O1444">
        <v>1699748.35</v>
      </c>
      <c r="P1444" t="s">
        <v>73</v>
      </c>
      <c r="Q1444" t="s">
        <v>32</v>
      </c>
    </row>
    <row r="1445" spans="1:17" x14ac:dyDescent="0.25">
      <c r="A1445" t="s">
        <v>1562</v>
      </c>
      <c r="B1445" s="1">
        <v>46003</v>
      </c>
      <c r="C1445" t="s">
        <v>79</v>
      </c>
      <c r="D1445" t="s">
        <v>101</v>
      </c>
      <c r="E1445" t="s">
        <v>49</v>
      </c>
      <c r="F1445" t="s">
        <v>50</v>
      </c>
      <c r="G1445" t="s">
        <v>63</v>
      </c>
      <c r="H1445" t="s">
        <v>67</v>
      </c>
      <c r="I1445" t="s">
        <v>68</v>
      </c>
      <c r="J1445">
        <v>17</v>
      </c>
      <c r="K1445">
        <v>9512.59</v>
      </c>
      <c r="L1445">
        <v>161714.03</v>
      </c>
      <c r="M1445">
        <v>29630.59</v>
      </c>
      <c r="N1445">
        <v>28976.76</v>
      </c>
      <c r="O1445">
        <v>103106.68</v>
      </c>
      <c r="P1445" t="s">
        <v>25</v>
      </c>
      <c r="Q1445" t="s">
        <v>26</v>
      </c>
    </row>
    <row r="1446" spans="1:17" x14ac:dyDescent="0.25">
      <c r="A1446" t="s">
        <v>1563</v>
      </c>
      <c r="B1446" s="1">
        <v>45986</v>
      </c>
      <c r="C1446" t="s">
        <v>54</v>
      </c>
      <c r="D1446" t="s">
        <v>55</v>
      </c>
      <c r="E1446" t="s">
        <v>41</v>
      </c>
      <c r="F1446" t="s">
        <v>137</v>
      </c>
      <c r="G1446" t="s">
        <v>51</v>
      </c>
      <c r="H1446" t="s">
        <v>57</v>
      </c>
      <c r="I1446" t="s">
        <v>58</v>
      </c>
      <c r="J1446">
        <v>1</v>
      </c>
      <c r="K1446">
        <v>3604.17</v>
      </c>
      <c r="L1446">
        <v>3604.17</v>
      </c>
      <c r="M1446">
        <v>452.42</v>
      </c>
      <c r="N1446">
        <v>0</v>
      </c>
      <c r="O1446">
        <v>3151.75</v>
      </c>
      <c r="P1446" t="s">
        <v>25</v>
      </c>
      <c r="Q1446" t="s">
        <v>26</v>
      </c>
    </row>
    <row r="1447" spans="1:17" x14ac:dyDescent="0.25">
      <c r="A1447" t="s">
        <v>1564</v>
      </c>
      <c r="B1447" s="1">
        <v>46006</v>
      </c>
      <c r="C1447" t="s">
        <v>60</v>
      </c>
      <c r="D1447" t="s">
        <v>123</v>
      </c>
      <c r="E1447" t="s">
        <v>35</v>
      </c>
      <c r="F1447" t="s">
        <v>112</v>
      </c>
      <c r="G1447" t="s">
        <v>140</v>
      </c>
      <c r="H1447" t="s">
        <v>23</v>
      </c>
      <c r="I1447" t="s">
        <v>52</v>
      </c>
      <c r="J1447">
        <v>21</v>
      </c>
      <c r="K1447">
        <v>32846.26</v>
      </c>
      <c r="L1447">
        <v>689771.46</v>
      </c>
      <c r="M1447">
        <v>74487.039999999994</v>
      </c>
      <c r="N1447">
        <v>0</v>
      </c>
      <c r="O1447">
        <v>615284.42000000004</v>
      </c>
      <c r="P1447" t="s">
        <v>31</v>
      </c>
      <c r="Q1447" t="s">
        <v>32</v>
      </c>
    </row>
    <row r="1448" spans="1:17" x14ac:dyDescent="0.25">
      <c r="A1448" t="s">
        <v>1565</v>
      </c>
      <c r="B1448" s="1">
        <v>45995</v>
      </c>
      <c r="C1448" t="s">
        <v>47</v>
      </c>
      <c r="D1448" t="s">
        <v>114</v>
      </c>
      <c r="E1448" t="s">
        <v>20</v>
      </c>
      <c r="F1448" t="s">
        <v>137</v>
      </c>
      <c r="G1448" t="s">
        <v>56</v>
      </c>
      <c r="H1448" t="s">
        <v>94</v>
      </c>
      <c r="I1448" t="s">
        <v>115</v>
      </c>
      <c r="J1448">
        <v>13</v>
      </c>
      <c r="K1448">
        <v>24588.18</v>
      </c>
      <c r="L1448">
        <v>319646.34000000003</v>
      </c>
      <c r="M1448">
        <v>23965.1</v>
      </c>
      <c r="N1448">
        <v>0</v>
      </c>
      <c r="O1448">
        <v>295681.24</v>
      </c>
      <c r="P1448" t="s">
        <v>25</v>
      </c>
      <c r="Q1448" t="s">
        <v>26</v>
      </c>
    </row>
    <row r="1449" spans="1:17" x14ac:dyDescent="0.25">
      <c r="A1449" t="s">
        <v>1566</v>
      </c>
      <c r="B1449" s="1">
        <v>46043</v>
      </c>
      <c r="C1449" t="s">
        <v>54</v>
      </c>
      <c r="D1449" t="s">
        <v>97</v>
      </c>
      <c r="E1449" t="s">
        <v>20</v>
      </c>
      <c r="F1449" t="s">
        <v>112</v>
      </c>
      <c r="G1449" t="s">
        <v>98</v>
      </c>
      <c r="H1449" t="s">
        <v>44</v>
      </c>
      <c r="I1449" t="s">
        <v>135</v>
      </c>
      <c r="J1449">
        <v>12</v>
      </c>
      <c r="K1449">
        <v>16153.33</v>
      </c>
      <c r="L1449">
        <v>193839.96</v>
      </c>
      <c r="M1449">
        <v>0</v>
      </c>
      <c r="N1449">
        <v>0</v>
      </c>
      <c r="O1449">
        <v>193839.96</v>
      </c>
      <c r="P1449" t="s">
        <v>25</v>
      </c>
      <c r="Q1449" t="s">
        <v>26</v>
      </c>
    </row>
    <row r="1450" spans="1:17" x14ac:dyDescent="0.25">
      <c r="A1450" t="s">
        <v>1567</v>
      </c>
      <c r="B1450" s="1">
        <v>46033</v>
      </c>
      <c r="C1450" t="s">
        <v>79</v>
      </c>
      <c r="D1450" t="s">
        <v>80</v>
      </c>
      <c r="E1450" t="s">
        <v>35</v>
      </c>
      <c r="F1450" t="s">
        <v>112</v>
      </c>
      <c r="G1450" t="s">
        <v>22</v>
      </c>
      <c r="H1450" t="s">
        <v>38</v>
      </c>
      <c r="I1450" t="s">
        <v>120</v>
      </c>
      <c r="J1450">
        <v>4</v>
      </c>
      <c r="K1450">
        <v>33433.160000000003</v>
      </c>
      <c r="L1450">
        <v>133732.64000000001</v>
      </c>
      <c r="M1450">
        <v>23866.51</v>
      </c>
      <c r="N1450">
        <v>0</v>
      </c>
      <c r="O1450">
        <v>109866.13</v>
      </c>
      <c r="P1450" t="s">
        <v>25</v>
      </c>
      <c r="Q1450" t="s">
        <v>26</v>
      </c>
    </row>
    <row r="1451" spans="1:17" x14ac:dyDescent="0.25">
      <c r="A1451" t="s">
        <v>1568</v>
      </c>
      <c r="B1451" s="1">
        <v>45996</v>
      </c>
      <c r="C1451" t="s">
        <v>47</v>
      </c>
      <c r="D1451" t="s">
        <v>48</v>
      </c>
      <c r="E1451" t="s">
        <v>41</v>
      </c>
      <c r="F1451" t="s">
        <v>62</v>
      </c>
      <c r="G1451" t="s">
        <v>81</v>
      </c>
      <c r="H1451" t="s">
        <v>94</v>
      </c>
      <c r="I1451" t="s">
        <v>115</v>
      </c>
      <c r="J1451">
        <v>31</v>
      </c>
      <c r="K1451">
        <v>33432.089999999997</v>
      </c>
      <c r="L1451">
        <v>1036394.79</v>
      </c>
      <c r="M1451">
        <v>0</v>
      </c>
      <c r="N1451">
        <v>238812.94</v>
      </c>
      <c r="O1451">
        <v>797581.85</v>
      </c>
      <c r="P1451" t="s">
        <v>73</v>
      </c>
      <c r="Q1451" t="s">
        <v>26</v>
      </c>
    </row>
    <row r="1452" spans="1:17" x14ac:dyDescent="0.25">
      <c r="A1452" t="s">
        <v>1569</v>
      </c>
      <c r="B1452" s="1">
        <v>45998</v>
      </c>
      <c r="C1452" t="s">
        <v>60</v>
      </c>
      <c r="D1452" t="s">
        <v>61</v>
      </c>
      <c r="E1452" t="s">
        <v>41</v>
      </c>
      <c r="F1452" t="s">
        <v>84</v>
      </c>
      <c r="G1452" t="s">
        <v>43</v>
      </c>
      <c r="H1452" t="s">
        <v>67</v>
      </c>
      <c r="I1452" t="s">
        <v>201</v>
      </c>
      <c r="J1452">
        <v>1</v>
      </c>
      <c r="K1452">
        <v>43678.35</v>
      </c>
      <c r="L1452">
        <v>43678.35</v>
      </c>
      <c r="M1452">
        <v>1120.6300000000001</v>
      </c>
      <c r="N1452">
        <v>0</v>
      </c>
      <c r="O1452">
        <v>42557.72</v>
      </c>
      <c r="P1452" t="s">
        <v>73</v>
      </c>
      <c r="Q1452" t="s">
        <v>32</v>
      </c>
    </row>
    <row r="1453" spans="1:17" x14ac:dyDescent="0.25">
      <c r="A1453" t="s">
        <v>1570</v>
      </c>
      <c r="B1453" s="1">
        <v>46034</v>
      </c>
      <c r="C1453" t="s">
        <v>79</v>
      </c>
      <c r="D1453" t="s">
        <v>107</v>
      </c>
      <c r="E1453" t="s">
        <v>35</v>
      </c>
      <c r="F1453" t="s">
        <v>71</v>
      </c>
      <c r="G1453" t="s">
        <v>66</v>
      </c>
      <c r="H1453" t="s">
        <v>67</v>
      </c>
      <c r="I1453" t="s">
        <v>170</v>
      </c>
      <c r="J1453">
        <v>22</v>
      </c>
      <c r="K1453">
        <v>17930.07</v>
      </c>
      <c r="L1453">
        <v>394461.54</v>
      </c>
      <c r="M1453">
        <v>31387.41</v>
      </c>
      <c r="N1453">
        <v>107963.88</v>
      </c>
      <c r="O1453">
        <v>255110.25</v>
      </c>
      <c r="P1453" t="s">
        <v>32</v>
      </c>
      <c r="Q1453" t="s">
        <v>26</v>
      </c>
    </row>
    <row r="1454" spans="1:17" x14ac:dyDescent="0.25">
      <c r="A1454" t="s">
        <v>1571</v>
      </c>
      <c r="B1454" s="1">
        <v>45994</v>
      </c>
      <c r="C1454" t="s">
        <v>18</v>
      </c>
      <c r="D1454" t="s">
        <v>34</v>
      </c>
      <c r="E1454" t="s">
        <v>35</v>
      </c>
      <c r="F1454" t="s">
        <v>71</v>
      </c>
      <c r="G1454" t="s">
        <v>22</v>
      </c>
      <c r="H1454" t="s">
        <v>67</v>
      </c>
      <c r="I1454" t="s">
        <v>68</v>
      </c>
      <c r="J1454">
        <v>29</v>
      </c>
      <c r="K1454">
        <v>25787.35</v>
      </c>
      <c r="L1454">
        <v>747833.15</v>
      </c>
      <c r="M1454">
        <v>0</v>
      </c>
      <c r="N1454">
        <v>0</v>
      </c>
      <c r="O1454">
        <v>747833.15</v>
      </c>
      <c r="P1454" t="s">
        <v>31</v>
      </c>
      <c r="Q1454" t="s">
        <v>32</v>
      </c>
    </row>
    <row r="1455" spans="1:17" x14ac:dyDescent="0.25">
      <c r="A1455" t="s">
        <v>1572</v>
      </c>
      <c r="B1455" s="1">
        <v>45977</v>
      </c>
      <c r="C1455" t="s">
        <v>47</v>
      </c>
      <c r="D1455" t="s">
        <v>114</v>
      </c>
      <c r="E1455" t="s">
        <v>35</v>
      </c>
      <c r="F1455" t="s">
        <v>105</v>
      </c>
      <c r="G1455" t="s">
        <v>56</v>
      </c>
      <c r="H1455" t="s">
        <v>23</v>
      </c>
      <c r="I1455" t="s">
        <v>30</v>
      </c>
      <c r="J1455">
        <v>20</v>
      </c>
      <c r="K1455">
        <v>30477.33</v>
      </c>
      <c r="L1455">
        <v>609546.6</v>
      </c>
      <c r="M1455">
        <v>0</v>
      </c>
      <c r="N1455">
        <v>0</v>
      </c>
      <c r="O1455">
        <v>609546.6</v>
      </c>
      <c r="P1455" t="s">
        <v>32</v>
      </c>
      <c r="Q1455" t="s">
        <v>32</v>
      </c>
    </row>
    <row r="1456" spans="1:17" x14ac:dyDescent="0.25">
      <c r="A1456" t="s">
        <v>1573</v>
      </c>
      <c r="B1456" s="1">
        <v>46034</v>
      </c>
      <c r="C1456" t="s">
        <v>47</v>
      </c>
      <c r="D1456" t="s">
        <v>114</v>
      </c>
      <c r="E1456" t="s">
        <v>41</v>
      </c>
      <c r="F1456" t="s">
        <v>71</v>
      </c>
      <c r="G1456" t="s">
        <v>81</v>
      </c>
      <c r="H1456" t="s">
        <v>44</v>
      </c>
      <c r="I1456" t="s">
        <v>135</v>
      </c>
      <c r="J1456">
        <v>40</v>
      </c>
      <c r="K1456">
        <v>2581.48</v>
      </c>
      <c r="L1456">
        <v>103259.2</v>
      </c>
      <c r="M1456">
        <v>2419.94</v>
      </c>
      <c r="N1456">
        <v>0</v>
      </c>
      <c r="O1456">
        <v>100839.26</v>
      </c>
      <c r="P1456" t="s">
        <v>32</v>
      </c>
      <c r="Q1456" t="s">
        <v>32</v>
      </c>
    </row>
    <row r="1457" spans="1:17" x14ac:dyDescent="0.25">
      <c r="A1457" t="s">
        <v>1574</v>
      </c>
      <c r="B1457" s="1">
        <v>45999</v>
      </c>
      <c r="C1457" t="s">
        <v>79</v>
      </c>
      <c r="D1457" t="s">
        <v>80</v>
      </c>
      <c r="E1457" t="s">
        <v>41</v>
      </c>
      <c r="F1457" t="s">
        <v>84</v>
      </c>
      <c r="G1457" t="s">
        <v>56</v>
      </c>
      <c r="H1457" t="s">
        <v>94</v>
      </c>
      <c r="I1457" t="s">
        <v>163</v>
      </c>
      <c r="J1457">
        <v>18</v>
      </c>
      <c r="K1457">
        <v>5815.82</v>
      </c>
      <c r="L1457">
        <v>104684.76</v>
      </c>
      <c r="M1457">
        <v>19064.78</v>
      </c>
      <c r="N1457">
        <v>0</v>
      </c>
      <c r="O1457">
        <v>85619.98</v>
      </c>
      <c r="P1457" t="s">
        <v>31</v>
      </c>
      <c r="Q1457" t="s">
        <v>32</v>
      </c>
    </row>
    <row r="1458" spans="1:17" x14ac:dyDescent="0.25">
      <c r="A1458" t="s">
        <v>1575</v>
      </c>
      <c r="B1458" s="1">
        <v>46007</v>
      </c>
      <c r="C1458" t="s">
        <v>79</v>
      </c>
      <c r="D1458" t="s">
        <v>101</v>
      </c>
      <c r="E1458" t="s">
        <v>20</v>
      </c>
      <c r="F1458" t="s">
        <v>112</v>
      </c>
      <c r="G1458" t="s">
        <v>51</v>
      </c>
      <c r="H1458" t="s">
        <v>67</v>
      </c>
      <c r="I1458" t="s">
        <v>68</v>
      </c>
      <c r="J1458">
        <v>32</v>
      </c>
      <c r="K1458">
        <v>5235.6899999999996</v>
      </c>
      <c r="L1458">
        <v>167542.07999999999</v>
      </c>
      <c r="M1458">
        <v>0</v>
      </c>
      <c r="N1458">
        <v>0</v>
      </c>
      <c r="O1458">
        <v>167542.07999999999</v>
      </c>
      <c r="P1458" t="s">
        <v>73</v>
      </c>
      <c r="Q1458" t="s">
        <v>32</v>
      </c>
    </row>
    <row r="1459" spans="1:17" x14ac:dyDescent="0.25">
      <c r="A1459" t="s">
        <v>1576</v>
      </c>
      <c r="B1459" s="1">
        <v>46011</v>
      </c>
      <c r="C1459" t="s">
        <v>54</v>
      </c>
      <c r="D1459" t="s">
        <v>55</v>
      </c>
      <c r="E1459" t="s">
        <v>20</v>
      </c>
      <c r="F1459" t="s">
        <v>50</v>
      </c>
      <c r="G1459" t="s">
        <v>102</v>
      </c>
      <c r="H1459" t="s">
        <v>44</v>
      </c>
      <c r="I1459" t="s">
        <v>141</v>
      </c>
      <c r="J1459">
        <v>20</v>
      </c>
      <c r="K1459">
        <v>42668.6</v>
      </c>
      <c r="L1459">
        <v>853372</v>
      </c>
      <c r="M1459">
        <v>0</v>
      </c>
      <c r="N1459">
        <v>0</v>
      </c>
      <c r="O1459">
        <v>853372</v>
      </c>
      <c r="P1459" t="s">
        <v>25</v>
      </c>
      <c r="Q1459" t="s">
        <v>26</v>
      </c>
    </row>
    <row r="1460" spans="1:17" x14ac:dyDescent="0.25">
      <c r="A1460" t="s">
        <v>1577</v>
      </c>
      <c r="B1460" s="1">
        <v>46003</v>
      </c>
      <c r="C1460" t="s">
        <v>60</v>
      </c>
      <c r="D1460" t="s">
        <v>123</v>
      </c>
      <c r="E1460" t="s">
        <v>20</v>
      </c>
      <c r="F1460" t="s">
        <v>62</v>
      </c>
      <c r="G1460" t="s">
        <v>85</v>
      </c>
      <c r="H1460" t="s">
        <v>44</v>
      </c>
      <c r="I1460" t="s">
        <v>124</v>
      </c>
      <c r="J1460">
        <v>44</v>
      </c>
      <c r="K1460">
        <v>21621.040000000001</v>
      </c>
      <c r="L1460">
        <v>951325.76</v>
      </c>
      <c r="M1460">
        <v>0</v>
      </c>
      <c r="N1460">
        <v>0</v>
      </c>
      <c r="O1460">
        <v>951325.76</v>
      </c>
      <c r="P1460" t="s">
        <v>32</v>
      </c>
      <c r="Q1460" t="s">
        <v>32</v>
      </c>
    </row>
    <row r="1461" spans="1:17" x14ac:dyDescent="0.25">
      <c r="A1461" t="s">
        <v>1578</v>
      </c>
      <c r="B1461" s="1">
        <v>45969</v>
      </c>
      <c r="C1461" t="s">
        <v>79</v>
      </c>
      <c r="D1461" t="s">
        <v>91</v>
      </c>
      <c r="E1461" t="s">
        <v>49</v>
      </c>
      <c r="F1461" t="s">
        <v>21</v>
      </c>
      <c r="G1461" t="s">
        <v>81</v>
      </c>
      <c r="H1461" t="s">
        <v>57</v>
      </c>
      <c r="I1461" t="s">
        <v>72</v>
      </c>
      <c r="J1461">
        <v>15</v>
      </c>
      <c r="K1461">
        <v>20010.53</v>
      </c>
      <c r="L1461">
        <v>300157.95</v>
      </c>
      <c r="M1461">
        <v>0</v>
      </c>
      <c r="N1461">
        <v>0</v>
      </c>
      <c r="O1461">
        <v>300157.95</v>
      </c>
      <c r="P1461" t="s">
        <v>32</v>
      </c>
      <c r="Q1461" t="s">
        <v>26</v>
      </c>
    </row>
    <row r="1462" spans="1:17" x14ac:dyDescent="0.25">
      <c r="A1462" t="s">
        <v>1579</v>
      </c>
      <c r="B1462" s="1">
        <v>45986</v>
      </c>
      <c r="C1462" t="s">
        <v>47</v>
      </c>
      <c r="D1462" t="s">
        <v>48</v>
      </c>
      <c r="E1462" t="s">
        <v>20</v>
      </c>
      <c r="F1462" t="s">
        <v>84</v>
      </c>
      <c r="G1462" t="s">
        <v>43</v>
      </c>
      <c r="H1462" t="s">
        <v>57</v>
      </c>
      <c r="I1462" t="s">
        <v>72</v>
      </c>
      <c r="J1462">
        <v>32</v>
      </c>
      <c r="K1462">
        <v>34943.199999999997</v>
      </c>
      <c r="L1462">
        <v>1118182.3999999999</v>
      </c>
      <c r="M1462">
        <v>0</v>
      </c>
      <c r="N1462">
        <v>103074.95</v>
      </c>
      <c r="O1462">
        <v>1015107.45</v>
      </c>
      <c r="P1462" t="s">
        <v>25</v>
      </c>
      <c r="Q1462" t="s">
        <v>26</v>
      </c>
    </row>
    <row r="1463" spans="1:17" x14ac:dyDescent="0.25">
      <c r="A1463" t="s">
        <v>1580</v>
      </c>
      <c r="B1463" s="1">
        <v>46025</v>
      </c>
      <c r="C1463" t="s">
        <v>60</v>
      </c>
      <c r="D1463" t="s">
        <v>151</v>
      </c>
      <c r="E1463" t="s">
        <v>35</v>
      </c>
      <c r="F1463" t="s">
        <v>84</v>
      </c>
      <c r="G1463" t="s">
        <v>140</v>
      </c>
      <c r="H1463" t="s">
        <v>67</v>
      </c>
      <c r="I1463" t="s">
        <v>154</v>
      </c>
      <c r="J1463">
        <v>31</v>
      </c>
      <c r="K1463">
        <v>15125.52</v>
      </c>
      <c r="L1463">
        <v>468891.12</v>
      </c>
      <c r="M1463">
        <v>84236.57</v>
      </c>
      <c r="N1463">
        <v>0</v>
      </c>
      <c r="O1463">
        <v>384654.55</v>
      </c>
      <c r="P1463" t="s">
        <v>73</v>
      </c>
      <c r="Q1463" t="s">
        <v>26</v>
      </c>
    </row>
    <row r="1464" spans="1:17" x14ac:dyDescent="0.25">
      <c r="A1464" t="s">
        <v>1581</v>
      </c>
      <c r="B1464" s="1">
        <v>45963</v>
      </c>
      <c r="C1464" t="s">
        <v>60</v>
      </c>
      <c r="D1464" t="s">
        <v>151</v>
      </c>
      <c r="E1464" t="s">
        <v>20</v>
      </c>
      <c r="F1464" t="s">
        <v>21</v>
      </c>
      <c r="G1464" t="s">
        <v>102</v>
      </c>
      <c r="H1464" t="s">
        <v>44</v>
      </c>
      <c r="I1464" t="s">
        <v>124</v>
      </c>
      <c r="J1464">
        <v>32</v>
      </c>
      <c r="K1464">
        <v>44976.92</v>
      </c>
      <c r="L1464">
        <v>1439261.44</v>
      </c>
      <c r="M1464">
        <v>156295.94</v>
      </c>
      <c r="N1464">
        <v>395982.31</v>
      </c>
      <c r="O1464">
        <v>886983.19</v>
      </c>
      <c r="P1464" t="s">
        <v>73</v>
      </c>
      <c r="Q1464" t="s">
        <v>32</v>
      </c>
    </row>
    <row r="1465" spans="1:17" x14ac:dyDescent="0.25">
      <c r="A1465" t="s">
        <v>1582</v>
      </c>
      <c r="B1465" s="1">
        <v>45998</v>
      </c>
      <c r="C1465" t="s">
        <v>60</v>
      </c>
      <c r="D1465" t="s">
        <v>151</v>
      </c>
      <c r="E1465" t="s">
        <v>20</v>
      </c>
      <c r="F1465" t="s">
        <v>36</v>
      </c>
      <c r="G1465" t="s">
        <v>37</v>
      </c>
      <c r="H1465" t="s">
        <v>94</v>
      </c>
      <c r="I1465" t="s">
        <v>177</v>
      </c>
      <c r="J1465">
        <v>34</v>
      </c>
      <c r="K1465">
        <v>29218.69</v>
      </c>
      <c r="L1465">
        <v>993435.46</v>
      </c>
      <c r="M1465">
        <v>119409.85</v>
      </c>
      <c r="N1465">
        <v>0</v>
      </c>
      <c r="O1465">
        <v>874025.61</v>
      </c>
      <c r="P1465" t="s">
        <v>25</v>
      </c>
      <c r="Q1465" t="s">
        <v>26</v>
      </c>
    </row>
    <row r="1466" spans="1:17" x14ac:dyDescent="0.25">
      <c r="A1466" t="s">
        <v>1583</v>
      </c>
      <c r="B1466" s="1">
        <v>45955</v>
      </c>
      <c r="C1466" t="s">
        <v>54</v>
      </c>
      <c r="D1466" t="s">
        <v>55</v>
      </c>
      <c r="E1466" t="s">
        <v>35</v>
      </c>
      <c r="F1466" t="s">
        <v>42</v>
      </c>
      <c r="G1466" t="s">
        <v>102</v>
      </c>
      <c r="H1466" t="s">
        <v>23</v>
      </c>
      <c r="I1466" t="s">
        <v>30</v>
      </c>
      <c r="J1466">
        <v>1</v>
      </c>
      <c r="K1466">
        <v>40908.26</v>
      </c>
      <c r="L1466">
        <v>40908.26</v>
      </c>
      <c r="M1466">
        <v>6579.66</v>
      </c>
      <c r="N1466">
        <v>0</v>
      </c>
      <c r="O1466">
        <v>34328.6</v>
      </c>
      <c r="P1466" t="s">
        <v>31</v>
      </c>
      <c r="Q1466" t="s">
        <v>32</v>
      </c>
    </row>
    <row r="1467" spans="1:17" x14ac:dyDescent="0.25">
      <c r="A1467" t="s">
        <v>1584</v>
      </c>
      <c r="B1467" s="1">
        <v>45985</v>
      </c>
      <c r="C1467" t="s">
        <v>79</v>
      </c>
      <c r="D1467" t="s">
        <v>91</v>
      </c>
      <c r="E1467" t="s">
        <v>41</v>
      </c>
      <c r="F1467" t="s">
        <v>50</v>
      </c>
      <c r="G1467" t="s">
        <v>29</v>
      </c>
      <c r="H1467" t="s">
        <v>38</v>
      </c>
      <c r="I1467" t="s">
        <v>120</v>
      </c>
      <c r="J1467">
        <v>37</v>
      </c>
      <c r="K1467">
        <v>21421.86</v>
      </c>
      <c r="L1467">
        <v>792608.82</v>
      </c>
      <c r="M1467">
        <v>0</v>
      </c>
      <c r="N1467">
        <v>0</v>
      </c>
      <c r="O1467">
        <v>792608.82</v>
      </c>
      <c r="P1467" t="s">
        <v>32</v>
      </c>
      <c r="Q1467" t="s">
        <v>32</v>
      </c>
    </row>
    <row r="1468" spans="1:17" x14ac:dyDescent="0.25">
      <c r="A1468" t="s">
        <v>1585</v>
      </c>
      <c r="B1468" s="1">
        <v>46045</v>
      </c>
      <c r="C1468" t="s">
        <v>60</v>
      </c>
      <c r="D1468" t="s">
        <v>61</v>
      </c>
      <c r="E1468" t="s">
        <v>41</v>
      </c>
      <c r="F1468" t="s">
        <v>84</v>
      </c>
      <c r="G1468" t="s">
        <v>98</v>
      </c>
      <c r="H1468" t="s">
        <v>44</v>
      </c>
      <c r="I1468" t="s">
        <v>45</v>
      </c>
      <c r="J1468">
        <v>36</v>
      </c>
      <c r="K1468">
        <v>14960.47</v>
      </c>
      <c r="L1468">
        <v>538576.92000000004</v>
      </c>
      <c r="M1468">
        <v>51327.94</v>
      </c>
      <c r="N1468">
        <v>20706.52</v>
      </c>
      <c r="O1468">
        <v>466542.46</v>
      </c>
      <c r="P1468" t="s">
        <v>32</v>
      </c>
      <c r="Q1468" t="s">
        <v>26</v>
      </c>
    </row>
    <row r="1469" spans="1:17" x14ac:dyDescent="0.25">
      <c r="A1469" t="s">
        <v>1586</v>
      </c>
      <c r="B1469" s="1">
        <v>45993</v>
      </c>
      <c r="C1469" t="s">
        <v>18</v>
      </c>
      <c r="D1469" t="s">
        <v>34</v>
      </c>
      <c r="E1469" t="s">
        <v>35</v>
      </c>
      <c r="F1469" t="s">
        <v>42</v>
      </c>
      <c r="G1469" t="s">
        <v>63</v>
      </c>
      <c r="H1469" t="s">
        <v>57</v>
      </c>
      <c r="I1469" t="s">
        <v>72</v>
      </c>
      <c r="J1469">
        <v>42</v>
      </c>
      <c r="K1469">
        <v>38340.089999999997</v>
      </c>
      <c r="L1469">
        <v>1610283.78</v>
      </c>
      <c r="M1469">
        <v>0</v>
      </c>
      <c r="N1469">
        <v>427940.84</v>
      </c>
      <c r="O1469">
        <v>1182342.94</v>
      </c>
      <c r="P1469" t="s">
        <v>32</v>
      </c>
      <c r="Q1469" t="s">
        <v>32</v>
      </c>
    </row>
    <row r="1470" spans="1:17" x14ac:dyDescent="0.25">
      <c r="A1470" t="s">
        <v>1587</v>
      </c>
      <c r="B1470" s="1">
        <v>46010</v>
      </c>
      <c r="C1470" t="s">
        <v>79</v>
      </c>
      <c r="D1470" t="s">
        <v>91</v>
      </c>
      <c r="E1470" t="s">
        <v>41</v>
      </c>
      <c r="F1470" t="s">
        <v>36</v>
      </c>
      <c r="G1470" t="s">
        <v>102</v>
      </c>
      <c r="H1470" t="s">
        <v>67</v>
      </c>
      <c r="I1470" t="s">
        <v>103</v>
      </c>
      <c r="J1470">
        <v>6</v>
      </c>
      <c r="K1470">
        <v>23794.09</v>
      </c>
      <c r="L1470">
        <v>142764.54</v>
      </c>
      <c r="M1470">
        <v>0</v>
      </c>
      <c r="N1470">
        <v>0</v>
      </c>
      <c r="O1470">
        <v>142764.54</v>
      </c>
      <c r="P1470" t="s">
        <v>31</v>
      </c>
      <c r="Q1470" t="s">
        <v>32</v>
      </c>
    </row>
    <row r="1471" spans="1:17" x14ac:dyDescent="0.25">
      <c r="A1471" t="s">
        <v>1588</v>
      </c>
      <c r="B1471" s="1">
        <v>45963</v>
      </c>
      <c r="C1471" t="s">
        <v>54</v>
      </c>
      <c r="D1471" t="s">
        <v>70</v>
      </c>
      <c r="E1471" t="s">
        <v>49</v>
      </c>
      <c r="F1471" t="s">
        <v>21</v>
      </c>
      <c r="G1471" t="s">
        <v>89</v>
      </c>
      <c r="H1471" t="s">
        <v>67</v>
      </c>
      <c r="I1471" t="s">
        <v>154</v>
      </c>
      <c r="J1471">
        <v>26</v>
      </c>
      <c r="K1471">
        <v>47271.62</v>
      </c>
      <c r="L1471">
        <v>1229062.1200000001</v>
      </c>
      <c r="M1471">
        <v>81746.45</v>
      </c>
      <c r="N1471">
        <v>0</v>
      </c>
      <c r="O1471">
        <v>1147315.67</v>
      </c>
      <c r="P1471" t="s">
        <v>31</v>
      </c>
      <c r="Q1471" t="s">
        <v>32</v>
      </c>
    </row>
    <row r="1472" spans="1:17" x14ac:dyDescent="0.25">
      <c r="A1472" t="s">
        <v>1589</v>
      </c>
      <c r="B1472" s="1">
        <v>46038</v>
      </c>
      <c r="C1472" t="s">
        <v>18</v>
      </c>
      <c r="D1472" t="s">
        <v>28</v>
      </c>
      <c r="E1472" t="s">
        <v>41</v>
      </c>
      <c r="F1472" t="s">
        <v>62</v>
      </c>
      <c r="G1472" t="s">
        <v>43</v>
      </c>
      <c r="H1472" t="s">
        <v>23</v>
      </c>
      <c r="I1472" t="s">
        <v>30</v>
      </c>
      <c r="J1472">
        <v>42</v>
      </c>
      <c r="K1472">
        <v>14850.3</v>
      </c>
      <c r="L1472">
        <v>623712.6</v>
      </c>
      <c r="M1472">
        <v>28023.42</v>
      </c>
      <c r="N1472">
        <v>0</v>
      </c>
      <c r="O1472">
        <v>595689.18000000005</v>
      </c>
      <c r="P1472" t="s">
        <v>25</v>
      </c>
      <c r="Q1472" t="s">
        <v>26</v>
      </c>
    </row>
    <row r="1473" spans="1:17" x14ac:dyDescent="0.25">
      <c r="A1473" t="s">
        <v>1590</v>
      </c>
      <c r="B1473" s="1">
        <v>46005</v>
      </c>
      <c r="C1473" t="s">
        <v>79</v>
      </c>
      <c r="D1473" t="s">
        <v>91</v>
      </c>
      <c r="E1473" t="s">
        <v>20</v>
      </c>
      <c r="F1473" t="s">
        <v>36</v>
      </c>
      <c r="G1473" t="s">
        <v>98</v>
      </c>
      <c r="H1473" t="s">
        <v>38</v>
      </c>
      <c r="I1473" t="s">
        <v>82</v>
      </c>
      <c r="J1473">
        <v>14</v>
      </c>
      <c r="K1473">
        <v>41078.94</v>
      </c>
      <c r="L1473">
        <v>575105.16</v>
      </c>
      <c r="M1473">
        <v>103461.82</v>
      </c>
      <c r="N1473">
        <v>0</v>
      </c>
      <c r="O1473">
        <v>471643.34</v>
      </c>
      <c r="P1473" t="s">
        <v>73</v>
      </c>
      <c r="Q1473" t="s">
        <v>32</v>
      </c>
    </row>
    <row r="1474" spans="1:17" x14ac:dyDescent="0.25">
      <c r="A1474" t="s">
        <v>1591</v>
      </c>
      <c r="B1474" s="1">
        <v>45972</v>
      </c>
      <c r="C1474" t="s">
        <v>47</v>
      </c>
      <c r="D1474" t="s">
        <v>114</v>
      </c>
      <c r="E1474" t="s">
        <v>49</v>
      </c>
      <c r="F1474" t="s">
        <v>42</v>
      </c>
      <c r="G1474" t="s">
        <v>37</v>
      </c>
      <c r="H1474" t="s">
        <v>23</v>
      </c>
      <c r="I1474" t="s">
        <v>30</v>
      </c>
      <c r="J1474">
        <v>30</v>
      </c>
      <c r="K1474">
        <v>45687.16</v>
      </c>
      <c r="L1474">
        <v>1370614.8</v>
      </c>
      <c r="M1474">
        <v>0</v>
      </c>
      <c r="N1474">
        <v>0</v>
      </c>
      <c r="O1474">
        <v>1370614.8</v>
      </c>
      <c r="P1474" t="s">
        <v>31</v>
      </c>
      <c r="Q1474" t="s">
        <v>32</v>
      </c>
    </row>
    <row r="1475" spans="1:17" x14ac:dyDescent="0.25">
      <c r="A1475" t="s">
        <v>1592</v>
      </c>
      <c r="B1475" s="1">
        <v>46022</v>
      </c>
      <c r="C1475" t="s">
        <v>79</v>
      </c>
      <c r="D1475" t="s">
        <v>80</v>
      </c>
      <c r="E1475" t="s">
        <v>20</v>
      </c>
      <c r="F1475" t="s">
        <v>71</v>
      </c>
      <c r="G1475" t="s">
        <v>138</v>
      </c>
      <c r="H1475" t="s">
        <v>38</v>
      </c>
      <c r="I1475" t="s">
        <v>39</v>
      </c>
      <c r="J1475">
        <v>23</v>
      </c>
      <c r="K1475">
        <v>45118.62</v>
      </c>
      <c r="L1475">
        <v>1037728.26</v>
      </c>
      <c r="M1475">
        <v>103200.26</v>
      </c>
      <c r="N1475">
        <v>0</v>
      </c>
      <c r="O1475">
        <v>934528</v>
      </c>
      <c r="P1475" t="s">
        <v>31</v>
      </c>
      <c r="Q1475" t="s">
        <v>32</v>
      </c>
    </row>
    <row r="1476" spans="1:17" x14ac:dyDescent="0.25">
      <c r="A1476" t="s">
        <v>1593</v>
      </c>
      <c r="B1476" s="1">
        <v>46021</v>
      </c>
      <c r="C1476" t="s">
        <v>18</v>
      </c>
      <c r="D1476" t="s">
        <v>19</v>
      </c>
      <c r="E1476" t="s">
        <v>20</v>
      </c>
      <c r="F1476" t="s">
        <v>36</v>
      </c>
      <c r="G1476" t="s">
        <v>85</v>
      </c>
      <c r="H1476" t="s">
        <v>67</v>
      </c>
      <c r="I1476" t="s">
        <v>201</v>
      </c>
      <c r="J1476">
        <v>26</v>
      </c>
      <c r="K1476">
        <v>4729.51</v>
      </c>
      <c r="L1476">
        <v>122967.26</v>
      </c>
      <c r="M1476">
        <v>0</v>
      </c>
      <c r="N1476">
        <v>0</v>
      </c>
      <c r="O1476">
        <v>122967.26</v>
      </c>
      <c r="P1476" t="s">
        <v>73</v>
      </c>
      <c r="Q1476" t="s">
        <v>32</v>
      </c>
    </row>
    <row r="1477" spans="1:17" x14ac:dyDescent="0.25">
      <c r="A1477" t="s">
        <v>1594</v>
      </c>
      <c r="B1477" s="1">
        <v>46021</v>
      </c>
      <c r="C1477" t="s">
        <v>79</v>
      </c>
      <c r="D1477" t="s">
        <v>91</v>
      </c>
      <c r="E1477" t="s">
        <v>41</v>
      </c>
      <c r="F1477" t="s">
        <v>42</v>
      </c>
      <c r="G1477" t="s">
        <v>102</v>
      </c>
      <c r="H1477" t="s">
        <v>44</v>
      </c>
      <c r="I1477" t="s">
        <v>141</v>
      </c>
      <c r="J1477">
        <v>22</v>
      </c>
      <c r="K1477">
        <v>26901.88</v>
      </c>
      <c r="L1477">
        <v>591841.36</v>
      </c>
      <c r="M1477">
        <v>0</v>
      </c>
      <c r="N1477">
        <v>138356.20000000001</v>
      </c>
      <c r="O1477">
        <v>453485.16</v>
      </c>
      <c r="P1477" t="s">
        <v>25</v>
      </c>
      <c r="Q1477" t="s">
        <v>26</v>
      </c>
    </row>
    <row r="1478" spans="1:17" x14ac:dyDescent="0.25">
      <c r="A1478" t="s">
        <v>1595</v>
      </c>
      <c r="B1478" s="1">
        <v>46001</v>
      </c>
      <c r="C1478" t="s">
        <v>79</v>
      </c>
      <c r="D1478" t="s">
        <v>91</v>
      </c>
      <c r="E1478" t="s">
        <v>41</v>
      </c>
      <c r="F1478" t="s">
        <v>36</v>
      </c>
      <c r="G1478" t="s">
        <v>102</v>
      </c>
      <c r="H1478" t="s">
        <v>38</v>
      </c>
      <c r="I1478" t="s">
        <v>120</v>
      </c>
      <c r="J1478">
        <v>4</v>
      </c>
      <c r="K1478">
        <v>40631.519999999997</v>
      </c>
      <c r="L1478">
        <v>162526.07999999999</v>
      </c>
      <c r="M1478">
        <v>30738.78</v>
      </c>
      <c r="N1478">
        <v>0</v>
      </c>
      <c r="O1478">
        <v>131787.29999999999</v>
      </c>
      <c r="P1478" t="s">
        <v>31</v>
      </c>
      <c r="Q1478" t="s">
        <v>32</v>
      </c>
    </row>
    <row r="1479" spans="1:17" x14ac:dyDescent="0.25">
      <c r="A1479" t="s">
        <v>1596</v>
      </c>
      <c r="B1479" s="1">
        <v>46022</v>
      </c>
      <c r="C1479" t="s">
        <v>54</v>
      </c>
      <c r="D1479" t="s">
        <v>97</v>
      </c>
      <c r="E1479" t="s">
        <v>20</v>
      </c>
      <c r="F1479" t="s">
        <v>21</v>
      </c>
      <c r="G1479" t="s">
        <v>138</v>
      </c>
      <c r="H1479" t="s">
        <v>23</v>
      </c>
      <c r="I1479" t="s">
        <v>30</v>
      </c>
      <c r="J1479">
        <v>1</v>
      </c>
      <c r="K1479">
        <v>47618.79</v>
      </c>
      <c r="L1479">
        <v>47618.79</v>
      </c>
      <c r="M1479">
        <v>7375.62</v>
      </c>
      <c r="N1479">
        <v>0</v>
      </c>
      <c r="O1479">
        <v>40243.17</v>
      </c>
      <c r="P1479" t="s">
        <v>32</v>
      </c>
      <c r="Q1479" t="s">
        <v>32</v>
      </c>
    </row>
    <row r="1480" spans="1:17" x14ac:dyDescent="0.25">
      <c r="A1480" t="s">
        <v>1597</v>
      </c>
      <c r="B1480" s="1">
        <v>45973</v>
      </c>
      <c r="C1480" t="s">
        <v>79</v>
      </c>
      <c r="D1480" t="s">
        <v>80</v>
      </c>
      <c r="E1480" t="s">
        <v>49</v>
      </c>
      <c r="F1480" t="s">
        <v>84</v>
      </c>
      <c r="G1480" t="s">
        <v>29</v>
      </c>
      <c r="H1480" t="s">
        <v>38</v>
      </c>
      <c r="I1480" t="s">
        <v>108</v>
      </c>
      <c r="J1480">
        <v>8</v>
      </c>
      <c r="K1480">
        <v>38964.67</v>
      </c>
      <c r="L1480">
        <v>311717.36</v>
      </c>
      <c r="M1480">
        <v>41789.53</v>
      </c>
      <c r="N1480">
        <v>0</v>
      </c>
      <c r="O1480">
        <v>269927.83</v>
      </c>
      <c r="P1480" t="s">
        <v>32</v>
      </c>
      <c r="Q1480" t="s">
        <v>26</v>
      </c>
    </row>
    <row r="1481" spans="1:17" x14ac:dyDescent="0.25">
      <c r="A1481" t="s">
        <v>1598</v>
      </c>
      <c r="B1481" s="1">
        <v>45998</v>
      </c>
      <c r="C1481" t="s">
        <v>54</v>
      </c>
      <c r="D1481" t="s">
        <v>97</v>
      </c>
      <c r="E1481" t="s">
        <v>49</v>
      </c>
      <c r="F1481" t="s">
        <v>71</v>
      </c>
      <c r="G1481" t="s">
        <v>66</v>
      </c>
      <c r="H1481" t="s">
        <v>44</v>
      </c>
      <c r="I1481" t="s">
        <v>124</v>
      </c>
      <c r="J1481">
        <v>10</v>
      </c>
      <c r="K1481">
        <v>17015.66</v>
      </c>
      <c r="L1481">
        <v>170156.6</v>
      </c>
      <c r="M1481">
        <v>0</v>
      </c>
      <c r="N1481">
        <v>0</v>
      </c>
      <c r="O1481">
        <v>170156.6</v>
      </c>
      <c r="P1481" t="s">
        <v>32</v>
      </c>
      <c r="Q1481" t="s">
        <v>32</v>
      </c>
    </row>
    <row r="1482" spans="1:17" x14ac:dyDescent="0.25">
      <c r="A1482" t="s">
        <v>1599</v>
      </c>
      <c r="B1482" s="1">
        <v>46006</v>
      </c>
      <c r="C1482" t="s">
        <v>18</v>
      </c>
      <c r="D1482" t="s">
        <v>19</v>
      </c>
      <c r="E1482" t="s">
        <v>41</v>
      </c>
      <c r="F1482" t="s">
        <v>71</v>
      </c>
      <c r="G1482" t="s">
        <v>63</v>
      </c>
      <c r="H1482" t="s">
        <v>38</v>
      </c>
      <c r="I1482" t="s">
        <v>86</v>
      </c>
      <c r="J1482">
        <v>27</v>
      </c>
      <c r="K1482">
        <v>15213.76</v>
      </c>
      <c r="L1482">
        <v>410771.52</v>
      </c>
      <c r="M1482">
        <v>0</v>
      </c>
      <c r="N1482">
        <v>0</v>
      </c>
      <c r="O1482">
        <v>410771.52</v>
      </c>
      <c r="P1482" t="s">
        <v>32</v>
      </c>
      <c r="Q1482" t="s">
        <v>32</v>
      </c>
    </row>
    <row r="1483" spans="1:17" x14ac:dyDescent="0.25">
      <c r="A1483" t="s">
        <v>1600</v>
      </c>
      <c r="B1483" s="1">
        <v>46003</v>
      </c>
      <c r="C1483" t="s">
        <v>47</v>
      </c>
      <c r="D1483" t="s">
        <v>114</v>
      </c>
      <c r="E1483" t="s">
        <v>35</v>
      </c>
      <c r="F1483" t="s">
        <v>137</v>
      </c>
      <c r="G1483" t="s">
        <v>102</v>
      </c>
      <c r="H1483" t="s">
        <v>44</v>
      </c>
      <c r="I1483" t="s">
        <v>141</v>
      </c>
      <c r="J1483">
        <v>38</v>
      </c>
      <c r="K1483">
        <v>42216.11</v>
      </c>
      <c r="L1483">
        <v>1604212.18</v>
      </c>
      <c r="M1483">
        <v>6093.8</v>
      </c>
      <c r="N1483">
        <v>0</v>
      </c>
      <c r="O1483">
        <v>1598118.38</v>
      </c>
      <c r="P1483" t="s">
        <v>73</v>
      </c>
      <c r="Q1483" t="s">
        <v>26</v>
      </c>
    </row>
    <row r="1484" spans="1:17" x14ac:dyDescent="0.25">
      <c r="A1484" t="s">
        <v>1601</v>
      </c>
      <c r="B1484" s="1">
        <v>45999</v>
      </c>
      <c r="C1484" t="s">
        <v>60</v>
      </c>
      <c r="D1484" t="s">
        <v>61</v>
      </c>
      <c r="E1484" t="s">
        <v>35</v>
      </c>
      <c r="F1484" t="s">
        <v>112</v>
      </c>
      <c r="G1484" t="s">
        <v>37</v>
      </c>
      <c r="H1484" t="s">
        <v>57</v>
      </c>
      <c r="I1484" t="s">
        <v>118</v>
      </c>
      <c r="J1484">
        <v>4</v>
      </c>
      <c r="K1484">
        <v>46220.63</v>
      </c>
      <c r="L1484">
        <v>184882.52</v>
      </c>
      <c r="M1484">
        <v>0</v>
      </c>
      <c r="N1484">
        <v>0</v>
      </c>
      <c r="O1484">
        <v>184882.52</v>
      </c>
      <c r="P1484" t="s">
        <v>32</v>
      </c>
      <c r="Q1484" t="s">
        <v>32</v>
      </c>
    </row>
    <row r="1485" spans="1:17" x14ac:dyDescent="0.25">
      <c r="A1485" t="s">
        <v>1602</v>
      </c>
      <c r="B1485" s="1">
        <v>46024</v>
      </c>
      <c r="C1485" t="s">
        <v>18</v>
      </c>
      <c r="D1485" t="s">
        <v>28</v>
      </c>
      <c r="E1485" t="s">
        <v>20</v>
      </c>
      <c r="F1485" t="s">
        <v>71</v>
      </c>
      <c r="G1485" t="s">
        <v>66</v>
      </c>
      <c r="H1485" t="s">
        <v>38</v>
      </c>
      <c r="I1485" t="s">
        <v>175</v>
      </c>
      <c r="J1485">
        <v>27</v>
      </c>
      <c r="K1485">
        <v>14809.13</v>
      </c>
      <c r="L1485">
        <v>399846.51</v>
      </c>
      <c r="M1485">
        <v>0</v>
      </c>
      <c r="N1485">
        <v>0</v>
      </c>
      <c r="O1485">
        <v>399846.51</v>
      </c>
      <c r="P1485" t="s">
        <v>25</v>
      </c>
      <c r="Q1485" t="s">
        <v>32</v>
      </c>
    </row>
    <row r="1486" spans="1:17" x14ac:dyDescent="0.25">
      <c r="A1486" t="s">
        <v>1603</v>
      </c>
      <c r="B1486" s="1">
        <v>45988</v>
      </c>
      <c r="C1486" t="s">
        <v>47</v>
      </c>
      <c r="D1486" t="s">
        <v>127</v>
      </c>
      <c r="E1486" t="s">
        <v>41</v>
      </c>
      <c r="F1486" t="s">
        <v>21</v>
      </c>
      <c r="G1486" t="s">
        <v>29</v>
      </c>
      <c r="H1486" t="s">
        <v>38</v>
      </c>
      <c r="I1486" t="s">
        <v>120</v>
      </c>
      <c r="J1486">
        <v>2</v>
      </c>
      <c r="K1486">
        <v>43178.01</v>
      </c>
      <c r="L1486">
        <v>86356.02</v>
      </c>
      <c r="M1486">
        <v>10476.719999999999</v>
      </c>
      <c r="N1486">
        <v>0</v>
      </c>
      <c r="O1486">
        <v>75879.3</v>
      </c>
      <c r="P1486" t="s">
        <v>25</v>
      </c>
      <c r="Q1486" t="s">
        <v>26</v>
      </c>
    </row>
    <row r="1487" spans="1:17" x14ac:dyDescent="0.25">
      <c r="A1487" t="s">
        <v>1604</v>
      </c>
      <c r="B1487" s="1">
        <v>46033</v>
      </c>
      <c r="C1487" t="s">
        <v>18</v>
      </c>
      <c r="D1487" t="s">
        <v>34</v>
      </c>
      <c r="E1487" t="s">
        <v>35</v>
      </c>
      <c r="F1487" t="s">
        <v>42</v>
      </c>
      <c r="G1487" t="s">
        <v>85</v>
      </c>
      <c r="H1487" t="s">
        <v>57</v>
      </c>
      <c r="I1487" t="s">
        <v>160</v>
      </c>
      <c r="J1487">
        <v>28</v>
      </c>
      <c r="K1487">
        <v>22319.66</v>
      </c>
      <c r="L1487">
        <v>624950.48</v>
      </c>
      <c r="M1487">
        <v>0</v>
      </c>
      <c r="N1487">
        <v>0</v>
      </c>
      <c r="O1487">
        <v>624950.48</v>
      </c>
      <c r="P1487" t="s">
        <v>73</v>
      </c>
      <c r="Q1487" t="s">
        <v>32</v>
      </c>
    </row>
    <row r="1488" spans="1:17" x14ac:dyDescent="0.25">
      <c r="A1488" t="s">
        <v>1605</v>
      </c>
      <c r="B1488" s="1">
        <v>45986</v>
      </c>
      <c r="C1488" t="s">
        <v>60</v>
      </c>
      <c r="D1488" t="s">
        <v>151</v>
      </c>
      <c r="E1488" t="s">
        <v>20</v>
      </c>
      <c r="F1488" t="s">
        <v>105</v>
      </c>
      <c r="G1488" t="s">
        <v>22</v>
      </c>
      <c r="H1488" t="s">
        <v>57</v>
      </c>
      <c r="I1488" t="s">
        <v>118</v>
      </c>
      <c r="J1488">
        <v>48</v>
      </c>
      <c r="K1488">
        <v>3776.8</v>
      </c>
      <c r="L1488">
        <v>181286.39999999999</v>
      </c>
      <c r="M1488">
        <v>0</v>
      </c>
      <c r="N1488">
        <v>0</v>
      </c>
      <c r="O1488">
        <v>181286.39999999999</v>
      </c>
      <c r="P1488" t="s">
        <v>73</v>
      </c>
      <c r="Q1488" t="s">
        <v>26</v>
      </c>
    </row>
    <row r="1489" spans="1:17" x14ac:dyDescent="0.25">
      <c r="A1489" t="s">
        <v>1606</v>
      </c>
      <c r="B1489" s="1">
        <v>45974</v>
      </c>
      <c r="C1489" t="s">
        <v>54</v>
      </c>
      <c r="D1489" t="s">
        <v>55</v>
      </c>
      <c r="E1489" t="s">
        <v>35</v>
      </c>
      <c r="F1489" t="s">
        <v>105</v>
      </c>
      <c r="G1489" t="s">
        <v>63</v>
      </c>
      <c r="H1489" t="s">
        <v>67</v>
      </c>
      <c r="I1489" t="s">
        <v>201</v>
      </c>
      <c r="J1489">
        <v>48</v>
      </c>
      <c r="K1489">
        <v>18856.72</v>
      </c>
      <c r="L1489">
        <v>905122.56</v>
      </c>
      <c r="M1489">
        <v>97954.14</v>
      </c>
      <c r="N1489">
        <v>0</v>
      </c>
      <c r="O1489">
        <v>807168.42</v>
      </c>
      <c r="P1489" t="s">
        <v>25</v>
      </c>
      <c r="Q1489" t="s">
        <v>26</v>
      </c>
    </row>
    <row r="1490" spans="1:17" x14ac:dyDescent="0.25">
      <c r="A1490" t="s">
        <v>1607</v>
      </c>
      <c r="B1490" s="1">
        <v>46018</v>
      </c>
      <c r="C1490" t="s">
        <v>54</v>
      </c>
      <c r="D1490" t="s">
        <v>70</v>
      </c>
      <c r="E1490" t="s">
        <v>41</v>
      </c>
      <c r="F1490" t="s">
        <v>71</v>
      </c>
      <c r="G1490" t="s">
        <v>22</v>
      </c>
      <c r="H1490" t="s">
        <v>44</v>
      </c>
      <c r="I1490" t="s">
        <v>152</v>
      </c>
      <c r="J1490">
        <v>29</v>
      </c>
      <c r="K1490">
        <v>26148.36</v>
      </c>
      <c r="L1490">
        <v>758302.44</v>
      </c>
      <c r="M1490">
        <v>30835.47</v>
      </c>
      <c r="N1490">
        <v>0</v>
      </c>
      <c r="O1490">
        <v>727466.97</v>
      </c>
      <c r="P1490" t="s">
        <v>32</v>
      </c>
      <c r="Q1490" t="s">
        <v>32</v>
      </c>
    </row>
    <row r="1491" spans="1:17" x14ac:dyDescent="0.25">
      <c r="A1491" t="s">
        <v>1608</v>
      </c>
      <c r="B1491" s="1">
        <v>46000</v>
      </c>
      <c r="C1491" t="s">
        <v>79</v>
      </c>
      <c r="D1491" t="s">
        <v>80</v>
      </c>
      <c r="E1491" t="s">
        <v>41</v>
      </c>
      <c r="F1491" t="s">
        <v>137</v>
      </c>
      <c r="G1491" t="s">
        <v>89</v>
      </c>
      <c r="H1491" t="s">
        <v>57</v>
      </c>
      <c r="I1491" t="s">
        <v>72</v>
      </c>
      <c r="J1491">
        <v>7</v>
      </c>
      <c r="K1491">
        <v>36410.49</v>
      </c>
      <c r="L1491">
        <v>254873.43</v>
      </c>
      <c r="M1491">
        <v>0</v>
      </c>
      <c r="N1491">
        <v>0</v>
      </c>
      <c r="O1491">
        <v>254873.43</v>
      </c>
      <c r="P1491" t="s">
        <v>31</v>
      </c>
      <c r="Q1491" t="s">
        <v>32</v>
      </c>
    </row>
    <row r="1492" spans="1:17" x14ac:dyDescent="0.25">
      <c r="A1492" t="s">
        <v>1609</v>
      </c>
      <c r="B1492" s="1">
        <v>45977</v>
      </c>
      <c r="C1492" t="s">
        <v>18</v>
      </c>
      <c r="D1492" t="s">
        <v>28</v>
      </c>
      <c r="E1492" t="s">
        <v>35</v>
      </c>
      <c r="F1492" t="s">
        <v>36</v>
      </c>
      <c r="G1492" t="s">
        <v>140</v>
      </c>
      <c r="H1492" t="s">
        <v>38</v>
      </c>
      <c r="I1492" t="s">
        <v>39</v>
      </c>
      <c r="J1492">
        <v>21</v>
      </c>
      <c r="K1492">
        <v>818.94</v>
      </c>
      <c r="L1492">
        <v>17197.740000000002</v>
      </c>
      <c r="M1492">
        <v>2846.53</v>
      </c>
      <c r="N1492">
        <v>0</v>
      </c>
      <c r="O1492">
        <v>14351.21</v>
      </c>
      <c r="P1492" t="s">
        <v>73</v>
      </c>
      <c r="Q1492" t="s">
        <v>32</v>
      </c>
    </row>
    <row r="1493" spans="1:17" x14ac:dyDescent="0.25">
      <c r="A1493" t="s">
        <v>1610</v>
      </c>
      <c r="B1493" s="1">
        <v>45991</v>
      </c>
      <c r="C1493" t="s">
        <v>60</v>
      </c>
      <c r="D1493" t="s">
        <v>61</v>
      </c>
      <c r="E1493" t="s">
        <v>41</v>
      </c>
      <c r="F1493" t="s">
        <v>84</v>
      </c>
      <c r="G1493" t="s">
        <v>37</v>
      </c>
      <c r="H1493" t="s">
        <v>23</v>
      </c>
      <c r="I1493" t="s">
        <v>24</v>
      </c>
      <c r="J1493">
        <v>26</v>
      </c>
      <c r="K1493">
        <v>24599.32</v>
      </c>
      <c r="L1493">
        <v>639582.31999999995</v>
      </c>
      <c r="M1493">
        <v>105303.89</v>
      </c>
      <c r="N1493">
        <v>0</v>
      </c>
      <c r="O1493">
        <v>534278.43000000005</v>
      </c>
      <c r="P1493" t="s">
        <v>25</v>
      </c>
      <c r="Q1493" t="s">
        <v>32</v>
      </c>
    </row>
    <row r="1494" spans="1:17" x14ac:dyDescent="0.25">
      <c r="A1494" t="s">
        <v>1611</v>
      </c>
      <c r="B1494" s="1">
        <v>45958</v>
      </c>
      <c r="C1494" t="s">
        <v>60</v>
      </c>
      <c r="D1494" t="s">
        <v>61</v>
      </c>
      <c r="E1494" t="s">
        <v>35</v>
      </c>
      <c r="F1494" t="s">
        <v>36</v>
      </c>
      <c r="G1494" t="s">
        <v>89</v>
      </c>
      <c r="H1494" t="s">
        <v>44</v>
      </c>
      <c r="I1494" t="s">
        <v>281</v>
      </c>
      <c r="J1494">
        <v>32</v>
      </c>
      <c r="K1494">
        <v>17013.8</v>
      </c>
      <c r="L1494">
        <v>544441.59999999998</v>
      </c>
      <c r="M1494">
        <v>85825.2</v>
      </c>
      <c r="N1494">
        <v>0</v>
      </c>
      <c r="O1494">
        <v>458616.4</v>
      </c>
      <c r="P1494" t="s">
        <v>73</v>
      </c>
      <c r="Q1494" t="s">
        <v>32</v>
      </c>
    </row>
    <row r="1495" spans="1:17" x14ac:dyDescent="0.25">
      <c r="A1495" t="s">
        <v>1612</v>
      </c>
      <c r="B1495" s="1">
        <v>46006</v>
      </c>
      <c r="C1495" t="s">
        <v>60</v>
      </c>
      <c r="D1495" t="s">
        <v>151</v>
      </c>
      <c r="E1495" t="s">
        <v>35</v>
      </c>
      <c r="F1495" t="s">
        <v>50</v>
      </c>
      <c r="G1495" t="s">
        <v>81</v>
      </c>
      <c r="H1495" t="s">
        <v>94</v>
      </c>
      <c r="I1495" t="s">
        <v>177</v>
      </c>
      <c r="J1495">
        <v>35</v>
      </c>
      <c r="K1495">
        <v>5865.84</v>
      </c>
      <c r="L1495">
        <v>205304.4</v>
      </c>
      <c r="M1495">
        <v>16361.87</v>
      </c>
      <c r="N1495">
        <v>0</v>
      </c>
      <c r="O1495">
        <v>188942.53</v>
      </c>
      <c r="P1495" t="s">
        <v>31</v>
      </c>
      <c r="Q1495" t="s">
        <v>32</v>
      </c>
    </row>
    <row r="1496" spans="1:17" x14ac:dyDescent="0.25">
      <c r="A1496" t="s">
        <v>1613</v>
      </c>
      <c r="B1496" s="1">
        <v>45993</v>
      </c>
      <c r="C1496" t="s">
        <v>54</v>
      </c>
      <c r="D1496" t="s">
        <v>55</v>
      </c>
      <c r="E1496" t="s">
        <v>49</v>
      </c>
      <c r="F1496" t="s">
        <v>137</v>
      </c>
      <c r="G1496" t="s">
        <v>29</v>
      </c>
      <c r="H1496" t="s">
        <v>67</v>
      </c>
      <c r="I1496" t="s">
        <v>68</v>
      </c>
      <c r="J1496">
        <v>5</v>
      </c>
      <c r="K1496">
        <v>36504.300000000003</v>
      </c>
      <c r="L1496">
        <v>182521.5</v>
      </c>
      <c r="M1496">
        <v>31460.68</v>
      </c>
      <c r="N1496">
        <v>0</v>
      </c>
      <c r="O1496">
        <v>151060.82</v>
      </c>
      <c r="P1496" t="s">
        <v>32</v>
      </c>
      <c r="Q1496" t="s">
        <v>32</v>
      </c>
    </row>
    <row r="1497" spans="1:17" x14ac:dyDescent="0.25">
      <c r="A1497" t="s">
        <v>1614</v>
      </c>
      <c r="B1497" s="1">
        <v>46003</v>
      </c>
      <c r="C1497" t="s">
        <v>18</v>
      </c>
      <c r="D1497" t="s">
        <v>75</v>
      </c>
      <c r="E1497" t="s">
        <v>49</v>
      </c>
      <c r="F1497" t="s">
        <v>105</v>
      </c>
      <c r="G1497" t="s">
        <v>63</v>
      </c>
      <c r="H1497" t="s">
        <v>94</v>
      </c>
      <c r="I1497" t="s">
        <v>95</v>
      </c>
      <c r="J1497">
        <v>32</v>
      </c>
      <c r="K1497">
        <v>5417.75</v>
      </c>
      <c r="L1497">
        <v>173368</v>
      </c>
      <c r="M1497">
        <v>21082.22</v>
      </c>
      <c r="N1497">
        <v>0</v>
      </c>
      <c r="O1497">
        <v>152285.78</v>
      </c>
      <c r="P1497" t="s">
        <v>73</v>
      </c>
      <c r="Q1497" t="s">
        <v>32</v>
      </c>
    </row>
    <row r="1498" spans="1:17" x14ac:dyDescent="0.25">
      <c r="A1498" t="s">
        <v>1615</v>
      </c>
      <c r="B1498" s="1">
        <v>45954</v>
      </c>
      <c r="C1498" t="s">
        <v>47</v>
      </c>
      <c r="D1498" t="s">
        <v>114</v>
      </c>
      <c r="E1498" t="s">
        <v>20</v>
      </c>
      <c r="F1498" t="s">
        <v>71</v>
      </c>
      <c r="G1498" t="s">
        <v>66</v>
      </c>
      <c r="H1498" t="s">
        <v>57</v>
      </c>
      <c r="I1498" t="s">
        <v>148</v>
      </c>
      <c r="J1498">
        <v>41</v>
      </c>
      <c r="K1498">
        <v>49391.86</v>
      </c>
      <c r="L1498">
        <v>2025066.26</v>
      </c>
      <c r="M1498">
        <v>0</v>
      </c>
      <c r="N1498">
        <v>0</v>
      </c>
      <c r="O1498">
        <v>2025066.26</v>
      </c>
      <c r="P1498" t="s">
        <v>25</v>
      </c>
      <c r="Q1498" t="s">
        <v>26</v>
      </c>
    </row>
    <row r="1499" spans="1:17" x14ac:dyDescent="0.25">
      <c r="A1499" t="s">
        <v>1616</v>
      </c>
      <c r="B1499" s="1">
        <v>46044</v>
      </c>
      <c r="C1499" t="s">
        <v>79</v>
      </c>
      <c r="D1499" t="s">
        <v>80</v>
      </c>
      <c r="E1499" t="s">
        <v>41</v>
      </c>
      <c r="F1499" t="s">
        <v>21</v>
      </c>
      <c r="G1499" t="s">
        <v>29</v>
      </c>
      <c r="H1499" t="s">
        <v>67</v>
      </c>
      <c r="I1499" t="s">
        <v>77</v>
      </c>
      <c r="J1499">
        <v>45</v>
      </c>
      <c r="K1499">
        <v>14080.87</v>
      </c>
      <c r="L1499">
        <v>633639.15</v>
      </c>
      <c r="M1499">
        <v>122074.11</v>
      </c>
      <c r="N1499">
        <v>0</v>
      </c>
      <c r="O1499">
        <v>511565.04</v>
      </c>
      <c r="P1499" t="s">
        <v>25</v>
      </c>
      <c r="Q1499" t="s">
        <v>26</v>
      </c>
    </row>
    <row r="1500" spans="1:17" x14ac:dyDescent="0.25">
      <c r="A1500" t="s">
        <v>1617</v>
      </c>
      <c r="B1500" s="1">
        <v>45991</v>
      </c>
      <c r="C1500" t="s">
        <v>18</v>
      </c>
      <c r="D1500" t="s">
        <v>34</v>
      </c>
      <c r="E1500" t="s">
        <v>35</v>
      </c>
      <c r="F1500" t="s">
        <v>21</v>
      </c>
      <c r="G1500" t="s">
        <v>102</v>
      </c>
      <c r="H1500" t="s">
        <v>38</v>
      </c>
      <c r="I1500" t="s">
        <v>108</v>
      </c>
      <c r="J1500">
        <v>14</v>
      </c>
      <c r="K1500">
        <v>28399.360000000001</v>
      </c>
      <c r="L1500">
        <v>397591.03999999998</v>
      </c>
      <c r="M1500">
        <v>23315.18</v>
      </c>
      <c r="N1500">
        <v>71555.89</v>
      </c>
      <c r="O1500">
        <v>302719.96999999997</v>
      </c>
      <c r="P1500" t="s">
        <v>32</v>
      </c>
      <c r="Q1500" t="s">
        <v>32</v>
      </c>
    </row>
    <row r="1501" spans="1:17" x14ac:dyDescent="0.25">
      <c r="A1501" t="s">
        <v>1618</v>
      </c>
      <c r="B1501" s="1">
        <v>46045</v>
      </c>
      <c r="C1501" t="s">
        <v>54</v>
      </c>
      <c r="D1501" t="s">
        <v>133</v>
      </c>
      <c r="E1501" t="s">
        <v>35</v>
      </c>
      <c r="F1501" t="s">
        <v>112</v>
      </c>
      <c r="G1501" t="s">
        <v>140</v>
      </c>
      <c r="H1501" t="s">
        <v>38</v>
      </c>
      <c r="I1501" t="s">
        <v>86</v>
      </c>
      <c r="J1501">
        <v>40</v>
      </c>
      <c r="K1501">
        <v>8993.36</v>
      </c>
      <c r="L1501">
        <v>359734.4</v>
      </c>
      <c r="M1501">
        <v>36494.19</v>
      </c>
      <c r="N1501">
        <v>0</v>
      </c>
      <c r="O1501">
        <v>323240.21000000002</v>
      </c>
      <c r="P1501" t="s">
        <v>31</v>
      </c>
      <c r="Q1501" t="s">
        <v>32</v>
      </c>
    </row>
    <row r="1502" spans="1:17" x14ac:dyDescent="0.25">
      <c r="A1502" t="s">
        <v>1619</v>
      </c>
      <c r="B1502" s="1">
        <v>45985</v>
      </c>
      <c r="C1502" t="s">
        <v>54</v>
      </c>
      <c r="D1502" t="s">
        <v>70</v>
      </c>
      <c r="E1502" t="s">
        <v>49</v>
      </c>
      <c r="F1502" t="s">
        <v>50</v>
      </c>
      <c r="G1502" t="s">
        <v>81</v>
      </c>
      <c r="H1502" t="s">
        <v>94</v>
      </c>
      <c r="I1502" t="s">
        <v>144</v>
      </c>
      <c r="J1502">
        <v>35</v>
      </c>
      <c r="K1502">
        <v>43885.15</v>
      </c>
      <c r="L1502">
        <v>1535980.25</v>
      </c>
      <c r="M1502">
        <v>112590.1</v>
      </c>
      <c r="N1502">
        <v>0</v>
      </c>
      <c r="O1502">
        <v>1423390.15</v>
      </c>
      <c r="P1502" t="s">
        <v>25</v>
      </c>
      <c r="Q1502" t="s">
        <v>26</v>
      </c>
    </row>
    <row r="1503" spans="1:17" x14ac:dyDescent="0.25">
      <c r="A1503" t="s">
        <v>1620</v>
      </c>
      <c r="B1503" s="1">
        <v>45999</v>
      </c>
      <c r="C1503" t="s">
        <v>54</v>
      </c>
      <c r="D1503" t="s">
        <v>55</v>
      </c>
      <c r="E1503" t="s">
        <v>35</v>
      </c>
      <c r="F1503" t="s">
        <v>50</v>
      </c>
      <c r="G1503" t="s">
        <v>51</v>
      </c>
      <c r="H1503" t="s">
        <v>94</v>
      </c>
      <c r="I1503" t="s">
        <v>115</v>
      </c>
      <c r="J1503">
        <v>45</v>
      </c>
      <c r="K1503">
        <v>28333.17</v>
      </c>
      <c r="L1503">
        <v>1274992.6499999999</v>
      </c>
      <c r="M1503">
        <v>0</v>
      </c>
      <c r="N1503">
        <v>0</v>
      </c>
      <c r="O1503">
        <v>1274992.6499999999</v>
      </c>
      <c r="P1503" t="s">
        <v>31</v>
      </c>
      <c r="Q1503" t="s">
        <v>32</v>
      </c>
    </row>
    <row r="1504" spans="1:17" x14ac:dyDescent="0.25">
      <c r="A1504" t="s">
        <v>1621</v>
      </c>
      <c r="B1504" s="1">
        <v>45998</v>
      </c>
      <c r="C1504" t="s">
        <v>79</v>
      </c>
      <c r="D1504" t="s">
        <v>107</v>
      </c>
      <c r="E1504" t="s">
        <v>35</v>
      </c>
      <c r="F1504" t="s">
        <v>62</v>
      </c>
      <c r="G1504" t="s">
        <v>22</v>
      </c>
      <c r="H1504" t="s">
        <v>23</v>
      </c>
      <c r="I1504" t="s">
        <v>131</v>
      </c>
      <c r="J1504">
        <v>36</v>
      </c>
      <c r="K1504">
        <v>24165.37</v>
      </c>
      <c r="L1504">
        <v>869953.32</v>
      </c>
      <c r="M1504">
        <v>134757.51</v>
      </c>
      <c r="N1504">
        <v>0</v>
      </c>
      <c r="O1504">
        <v>735195.81</v>
      </c>
      <c r="P1504" t="s">
        <v>32</v>
      </c>
      <c r="Q1504" t="s">
        <v>26</v>
      </c>
    </row>
    <row r="1505" spans="1:17" x14ac:dyDescent="0.25">
      <c r="A1505" t="s">
        <v>1622</v>
      </c>
      <c r="B1505" s="1">
        <v>46008</v>
      </c>
      <c r="C1505" t="s">
        <v>18</v>
      </c>
      <c r="D1505" t="s">
        <v>34</v>
      </c>
      <c r="E1505" t="s">
        <v>20</v>
      </c>
      <c r="F1505" t="s">
        <v>105</v>
      </c>
      <c r="G1505" t="s">
        <v>29</v>
      </c>
      <c r="H1505" t="s">
        <v>38</v>
      </c>
      <c r="I1505" t="s">
        <v>39</v>
      </c>
      <c r="J1505">
        <v>35</v>
      </c>
      <c r="K1505">
        <v>2233.2600000000002</v>
      </c>
      <c r="L1505">
        <v>78164.100000000006</v>
      </c>
      <c r="M1505">
        <v>8850</v>
      </c>
      <c r="N1505">
        <v>0</v>
      </c>
      <c r="O1505">
        <v>69314.100000000006</v>
      </c>
      <c r="P1505" t="s">
        <v>73</v>
      </c>
      <c r="Q1505" t="s">
        <v>26</v>
      </c>
    </row>
    <row r="1506" spans="1:17" x14ac:dyDescent="0.25">
      <c r="A1506" t="s">
        <v>1623</v>
      </c>
      <c r="B1506" s="1">
        <v>45996</v>
      </c>
      <c r="C1506" t="s">
        <v>54</v>
      </c>
      <c r="D1506" t="s">
        <v>70</v>
      </c>
      <c r="E1506" t="s">
        <v>20</v>
      </c>
      <c r="F1506" t="s">
        <v>71</v>
      </c>
      <c r="G1506" t="s">
        <v>43</v>
      </c>
      <c r="H1506" t="s">
        <v>38</v>
      </c>
      <c r="I1506" t="s">
        <v>120</v>
      </c>
      <c r="J1506">
        <v>4</v>
      </c>
      <c r="K1506">
        <v>13932.14</v>
      </c>
      <c r="L1506">
        <v>55728.56</v>
      </c>
      <c r="M1506">
        <v>0</v>
      </c>
      <c r="N1506">
        <v>0</v>
      </c>
      <c r="O1506">
        <v>55728.56</v>
      </c>
      <c r="P1506" t="s">
        <v>31</v>
      </c>
      <c r="Q1506" t="s">
        <v>32</v>
      </c>
    </row>
    <row r="1507" spans="1:17" x14ac:dyDescent="0.25">
      <c r="A1507" t="s">
        <v>1624</v>
      </c>
      <c r="B1507" s="1">
        <v>46032</v>
      </c>
      <c r="C1507" t="s">
        <v>18</v>
      </c>
      <c r="D1507" t="s">
        <v>19</v>
      </c>
      <c r="E1507" t="s">
        <v>41</v>
      </c>
      <c r="F1507" t="s">
        <v>71</v>
      </c>
      <c r="G1507" t="s">
        <v>51</v>
      </c>
      <c r="H1507" t="s">
        <v>67</v>
      </c>
      <c r="I1507" t="s">
        <v>103</v>
      </c>
      <c r="J1507">
        <v>11</v>
      </c>
      <c r="K1507">
        <v>6213.74</v>
      </c>
      <c r="L1507">
        <v>68351.14</v>
      </c>
      <c r="M1507">
        <v>2271.31</v>
      </c>
      <c r="N1507">
        <v>0</v>
      </c>
      <c r="O1507">
        <v>66079.83</v>
      </c>
      <c r="P1507" t="s">
        <v>31</v>
      </c>
      <c r="Q1507" t="s">
        <v>32</v>
      </c>
    </row>
    <row r="1508" spans="1:17" x14ac:dyDescent="0.25">
      <c r="A1508" t="s">
        <v>1625</v>
      </c>
      <c r="B1508" s="1">
        <v>45978</v>
      </c>
      <c r="C1508" t="s">
        <v>18</v>
      </c>
      <c r="D1508" t="s">
        <v>28</v>
      </c>
      <c r="E1508" t="s">
        <v>20</v>
      </c>
      <c r="F1508" t="s">
        <v>112</v>
      </c>
      <c r="G1508" t="s">
        <v>29</v>
      </c>
      <c r="H1508" t="s">
        <v>38</v>
      </c>
      <c r="I1508" t="s">
        <v>82</v>
      </c>
      <c r="J1508">
        <v>16</v>
      </c>
      <c r="K1508">
        <v>32168.61</v>
      </c>
      <c r="L1508">
        <v>514697.76</v>
      </c>
      <c r="M1508">
        <v>35281.11</v>
      </c>
      <c r="N1508">
        <v>0</v>
      </c>
      <c r="O1508">
        <v>479416.65</v>
      </c>
      <c r="P1508" t="s">
        <v>73</v>
      </c>
      <c r="Q1508" t="s">
        <v>32</v>
      </c>
    </row>
    <row r="1509" spans="1:17" x14ac:dyDescent="0.25">
      <c r="A1509" t="s">
        <v>1626</v>
      </c>
      <c r="B1509" s="1">
        <v>45975</v>
      </c>
      <c r="C1509" t="s">
        <v>60</v>
      </c>
      <c r="D1509" t="s">
        <v>151</v>
      </c>
      <c r="E1509" t="s">
        <v>41</v>
      </c>
      <c r="F1509" t="s">
        <v>42</v>
      </c>
      <c r="G1509" t="s">
        <v>51</v>
      </c>
      <c r="H1509" t="s">
        <v>57</v>
      </c>
      <c r="I1509" t="s">
        <v>148</v>
      </c>
      <c r="J1509">
        <v>42</v>
      </c>
      <c r="K1509">
        <v>45910.8</v>
      </c>
      <c r="L1509">
        <v>1928253.6</v>
      </c>
      <c r="M1509">
        <v>0</v>
      </c>
      <c r="N1509">
        <v>0</v>
      </c>
      <c r="O1509">
        <v>1928253.6</v>
      </c>
      <c r="P1509" t="s">
        <v>31</v>
      </c>
      <c r="Q1509" t="s">
        <v>32</v>
      </c>
    </row>
    <row r="1510" spans="1:17" x14ac:dyDescent="0.25">
      <c r="A1510" t="s">
        <v>1627</v>
      </c>
      <c r="B1510" s="1">
        <v>46036</v>
      </c>
      <c r="C1510" t="s">
        <v>18</v>
      </c>
      <c r="D1510" t="s">
        <v>19</v>
      </c>
      <c r="E1510" t="s">
        <v>20</v>
      </c>
      <c r="F1510" t="s">
        <v>21</v>
      </c>
      <c r="G1510" t="s">
        <v>56</v>
      </c>
      <c r="H1510" t="s">
        <v>44</v>
      </c>
      <c r="I1510" t="s">
        <v>281</v>
      </c>
      <c r="J1510">
        <v>30</v>
      </c>
      <c r="K1510">
        <v>7286.91</v>
      </c>
      <c r="L1510">
        <v>218607.3</v>
      </c>
      <c r="M1510">
        <v>0</v>
      </c>
      <c r="N1510">
        <v>0</v>
      </c>
      <c r="O1510">
        <v>218607.3</v>
      </c>
      <c r="P1510" t="s">
        <v>73</v>
      </c>
      <c r="Q1510" t="s">
        <v>32</v>
      </c>
    </row>
    <row r="1511" spans="1:17" x14ac:dyDescent="0.25">
      <c r="A1511" t="s">
        <v>1628</v>
      </c>
      <c r="B1511" s="1">
        <v>46000</v>
      </c>
      <c r="C1511" t="s">
        <v>47</v>
      </c>
      <c r="D1511" t="s">
        <v>88</v>
      </c>
      <c r="E1511" t="s">
        <v>20</v>
      </c>
      <c r="F1511" t="s">
        <v>36</v>
      </c>
      <c r="G1511" t="s">
        <v>56</v>
      </c>
      <c r="H1511" t="s">
        <v>44</v>
      </c>
      <c r="I1511" t="s">
        <v>141</v>
      </c>
      <c r="J1511">
        <v>16</v>
      </c>
      <c r="K1511">
        <v>45436.42</v>
      </c>
      <c r="L1511">
        <v>726982.72</v>
      </c>
      <c r="M1511">
        <v>0</v>
      </c>
      <c r="N1511">
        <v>0</v>
      </c>
      <c r="O1511">
        <v>726982.72</v>
      </c>
      <c r="P1511" t="s">
        <v>25</v>
      </c>
      <c r="Q1511" t="s">
        <v>26</v>
      </c>
    </row>
    <row r="1512" spans="1:17" x14ac:dyDescent="0.25">
      <c r="A1512" t="s">
        <v>1629</v>
      </c>
      <c r="B1512" s="1">
        <v>45955</v>
      </c>
      <c r="C1512" t="s">
        <v>54</v>
      </c>
      <c r="D1512" t="s">
        <v>97</v>
      </c>
      <c r="E1512" t="s">
        <v>41</v>
      </c>
      <c r="F1512" t="s">
        <v>137</v>
      </c>
      <c r="G1512" t="s">
        <v>22</v>
      </c>
      <c r="H1512" t="s">
        <v>44</v>
      </c>
      <c r="I1512" t="s">
        <v>152</v>
      </c>
      <c r="J1512">
        <v>41</v>
      </c>
      <c r="K1512">
        <v>12207.05</v>
      </c>
      <c r="L1512">
        <v>500489.05</v>
      </c>
      <c r="M1512">
        <v>42486.68</v>
      </c>
      <c r="N1512">
        <v>0</v>
      </c>
      <c r="O1512">
        <v>458002.37</v>
      </c>
      <c r="P1512" t="s">
        <v>25</v>
      </c>
      <c r="Q1512" t="s">
        <v>32</v>
      </c>
    </row>
    <row r="1513" spans="1:17" x14ac:dyDescent="0.25">
      <c r="A1513" t="s">
        <v>1630</v>
      </c>
      <c r="B1513" s="1">
        <v>45971</v>
      </c>
      <c r="C1513" t="s">
        <v>79</v>
      </c>
      <c r="D1513" t="s">
        <v>101</v>
      </c>
      <c r="E1513" t="s">
        <v>35</v>
      </c>
      <c r="F1513" t="s">
        <v>62</v>
      </c>
      <c r="G1513" t="s">
        <v>37</v>
      </c>
      <c r="H1513" t="s">
        <v>57</v>
      </c>
      <c r="I1513" t="s">
        <v>160</v>
      </c>
      <c r="J1513">
        <v>4</v>
      </c>
      <c r="K1513">
        <v>49263.78</v>
      </c>
      <c r="L1513">
        <v>197055.12</v>
      </c>
      <c r="M1513">
        <v>3027.22</v>
      </c>
      <c r="N1513">
        <v>0</v>
      </c>
      <c r="O1513">
        <v>194027.9</v>
      </c>
      <c r="P1513" t="s">
        <v>32</v>
      </c>
      <c r="Q1513" t="s">
        <v>32</v>
      </c>
    </row>
    <row r="1514" spans="1:17" x14ac:dyDescent="0.25">
      <c r="A1514" t="s">
        <v>1631</v>
      </c>
      <c r="B1514" s="1">
        <v>45977</v>
      </c>
      <c r="C1514" t="s">
        <v>60</v>
      </c>
      <c r="D1514" t="s">
        <v>61</v>
      </c>
      <c r="E1514" t="s">
        <v>41</v>
      </c>
      <c r="F1514" t="s">
        <v>137</v>
      </c>
      <c r="G1514" t="s">
        <v>51</v>
      </c>
      <c r="H1514" t="s">
        <v>38</v>
      </c>
      <c r="I1514" t="s">
        <v>82</v>
      </c>
      <c r="J1514">
        <v>38</v>
      </c>
      <c r="K1514">
        <v>8613.26</v>
      </c>
      <c r="L1514">
        <v>327303.88</v>
      </c>
      <c r="M1514">
        <v>0</v>
      </c>
      <c r="N1514">
        <v>0</v>
      </c>
      <c r="O1514">
        <v>327303.88</v>
      </c>
      <c r="P1514" t="s">
        <v>31</v>
      </c>
      <c r="Q1514" t="s">
        <v>32</v>
      </c>
    </row>
    <row r="1515" spans="1:17" x14ac:dyDescent="0.25">
      <c r="A1515" t="s">
        <v>1632</v>
      </c>
      <c r="B1515" s="1">
        <v>46015</v>
      </c>
      <c r="C1515" t="s">
        <v>18</v>
      </c>
      <c r="D1515" t="s">
        <v>28</v>
      </c>
      <c r="E1515" t="s">
        <v>35</v>
      </c>
      <c r="F1515" t="s">
        <v>21</v>
      </c>
      <c r="G1515" t="s">
        <v>29</v>
      </c>
      <c r="H1515" t="s">
        <v>94</v>
      </c>
      <c r="I1515" t="s">
        <v>115</v>
      </c>
      <c r="J1515">
        <v>27</v>
      </c>
      <c r="K1515">
        <v>44872.62</v>
      </c>
      <c r="L1515">
        <v>1211560.74</v>
      </c>
      <c r="M1515">
        <v>1459.33</v>
      </c>
      <c r="N1515">
        <v>0</v>
      </c>
      <c r="O1515">
        <v>1210101.4099999999</v>
      </c>
      <c r="P1515" t="s">
        <v>31</v>
      </c>
      <c r="Q1515" t="s">
        <v>32</v>
      </c>
    </row>
    <row r="1516" spans="1:17" x14ac:dyDescent="0.25">
      <c r="A1516" t="s">
        <v>1633</v>
      </c>
      <c r="B1516" s="1">
        <v>46002</v>
      </c>
      <c r="C1516" t="s">
        <v>18</v>
      </c>
      <c r="D1516" t="s">
        <v>34</v>
      </c>
      <c r="E1516" t="s">
        <v>49</v>
      </c>
      <c r="F1516" t="s">
        <v>137</v>
      </c>
      <c r="G1516" t="s">
        <v>85</v>
      </c>
      <c r="H1516" t="s">
        <v>44</v>
      </c>
      <c r="I1516" t="s">
        <v>281</v>
      </c>
      <c r="J1516">
        <v>45</v>
      </c>
      <c r="K1516">
        <v>5719.27</v>
      </c>
      <c r="L1516">
        <v>257367.15</v>
      </c>
      <c r="M1516">
        <v>9999.76</v>
      </c>
      <c r="N1516">
        <v>0</v>
      </c>
      <c r="O1516">
        <v>247367.39</v>
      </c>
      <c r="P1516" t="s">
        <v>73</v>
      </c>
      <c r="Q1516" t="s">
        <v>32</v>
      </c>
    </row>
    <row r="1517" spans="1:17" x14ac:dyDescent="0.25">
      <c r="A1517" t="s">
        <v>1634</v>
      </c>
      <c r="B1517" s="1">
        <v>45962</v>
      </c>
      <c r="C1517" t="s">
        <v>54</v>
      </c>
      <c r="D1517" t="s">
        <v>133</v>
      </c>
      <c r="E1517" t="s">
        <v>35</v>
      </c>
      <c r="F1517" t="s">
        <v>137</v>
      </c>
      <c r="G1517" t="s">
        <v>81</v>
      </c>
      <c r="H1517" t="s">
        <v>57</v>
      </c>
      <c r="I1517" t="s">
        <v>92</v>
      </c>
      <c r="J1517">
        <v>17</v>
      </c>
      <c r="K1517">
        <v>27795.35</v>
      </c>
      <c r="L1517">
        <v>472520.95</v>
      </c>
      <c r="M1517">
        <v>90033.08</v>
      </c>
      <c r="N1517">
        <v>0</v>
      </c>
      <c r="O1517">
        <v>382487.87</v>
      </c>
      <c r="P1517" t="s">
        <v>32</v>
      </c>
      <c r="Q1517" t="s">
        <v>32</v>
      </c>
    </row>
    <row r="1518" spans="1:17" x14ac:dyDescent="0.25">
      <c r="A1518" t="s">
        <v>1635</v>
      </c>
      <c r="B1518" s="1">
        <v>45957</v>
      </c>
      <c r="C1518" t="s">
        <v>18</v>
      </c>
      <c r="D1518" t="s">
        <v>34</v>
      </c>
      <c r="E1518" t="s">
        <v>49</v>
      </c>
      <c r="F1518" t="s">
        <v>21</v>
      </c>
      <c r="G1518" t="s">
        <v>37</v>
      </c>
      <c r="H1518" t="s">
        <v>44</v>
      </c>
      <c r="I1518" t="s">
        <v>45</v>
      </c>
      <c r="J1518">
        <v>19</v>
      </c>
      <c r="K1518">
        <v>46649.62</v>
      </c>
      <c r="L1518">
        <v>886342.78</v>
      </c>
      <c r="M1518">
        <v>0</v>
      </c>
      <c r="N1518">
        <v>0</v>
      </c>
      <c r="O1518">
        <v>886342.78</v>
      </c>
      <c r="P1518" t="s">
        <v>73</v>
      </c>
      <c r="Q1518" t="s">
        <v>32</v>
      </c>
    </row>
    <row r="1519" spans="1:17" x14ac:dyDescent="0.25">
      <c r="A1519" t="s">
        <v>1636</v>
      </c>
      <c r="B1519" s="1">
        <v>45996</v>
      </c>
      <c r="C1519" t="s">
        <v>79</v>
      </c>
      <c r="D1519" t="s">
        <v>91</v>
      </c>
      <c r="E1519" t="s">
        <v>20</v>
      </c>
      <c r="F1519" t="s">
        <v>105</v>
      </c>
      <c r="G1519" t="s">
        <v>63</v>
      </c>
      <c r="H1519" t="s">
        <v>67</v>
      </c>
      <c r="I1519" t="s">
        <v>201</v>
      </c>
      <c r="J1519">
        <v>43</v>
      </c>
      <c r="K1519">
        <v>15595.99</v>
      </c>
      <c r="L1519">
        <v>670627.56999999995</v>
      </c>
      <c r="M1519">
        <v>0</v>
      </c>
      <c r="N1519">
        <v>0</v>
      </c>
      <c r="O1519">
        <v>670627.56999999995</v>
      </c>
      <c r="P1519" t="s">
        <v>32</v>
      </c>
      <c r="Q1519" t="s">
        <v>26</v>
      </c>
    </row>
    <row r="1520" spans="1:17" x14ac:dyDescent="0.25">
      <c r="A1520" t="s">
        <v>1637</v>
      </c>
      <c r="B1520" s="1">
        <v>45992</v>
      </c>
      <c r="C1520" t="s">
        <v>18</v>
      </c>
      <c r="D1520" t="s">
        <v>28</v>
      </c>
      <c r="E1520" t="s">
        <v>35</v>
      </c>
      <c r="F1520" t="s">
        <v>105</v>
      </c>
      <c r="G1520" t="s">
        <v>102</v>
      </c>
      <c r="H1520" t="s">
        <v>44</v>
      </c>
      <c r="I1520" t="s">
        <v>124</v>
      </c>
      <c r="J1520">
        <v>16</v>
      </c>
      <c r="K1520">
        <v>5298.93</v>
      </c>
      <c r="L1520">
        <v>84782.88</v>
      </c>
      <c r="M1520">
        <v>15757.67</v>
      </c>
      <c r="N1520">
        <v>0</v>
      </c>
      <c r="O1520">
        <v>69025.210000000006</v>
      </c>
      <c r="P1520" t="s">
        <v>25</v>
      </c>
      <c r="Q1520" t="s">
        <v>26</v>
      </c>
    </row>
    <row r="1521" spans="1:17" x14ac:dyDescent="0.25">
      <c r="A1521" t="s">
        <v>1638</v>
      </c>
      <c r="B1521" s="1">
        <v>45956</v>
      </c>
      <c r="C1521" t="s">
        <v>60</v>
      </c>
      <c r="D1521" t="s">
        <v>151</v>
      </c>
      <c r="E1521" t="s">
        <v>49</v>
      </c>
      <c r="F1521" t="s">
        <v>105</v>
      </c>
      <c r="G1521" t="s">
        <v>81</v>
      </c>
      <c r="H1521" t="s">
        <v>67</v>
      </c>
      <c r="I1521" t="s">
        <v>103</v>
      </c>
      <c r="J1521">
        <v>4</v>
      </c>
      <c r="K1521">
        <v>42702.99</v>
      </c>
      <c r="L1521">
        <v>170811.96</v>
      </c>
      <c r="M1521">
        <v>0</v>
      </c>
      <c r="N1521">
        <v>0</v>
      </c>
      <c r="O1521">
        <v>170811.96</v>
      </c>
      <c r="P1521" t="s">
        <v>25</v>
      </c>
      <c r="Q1521" t="s">
        <v>26</v>
      </c>
    </row>
    <row r="1522" spans="1:17" x14ac:dyDescent="0.25">
      <c r="A1522" t="s">
        <v>1639</v>
      </c>
      <c r="B1522" s="1">
        <v>46022</v>
      </c>
      <c r="C1522" t="s">
        <v>79</v>
      </c>
      <c r="D1522" t="s">
        <v>107</v>
      </c>
      <c r="E1522" t="s">
        <v>41</v>
      </c>
      <c r="F1522" t="s">
        <v>112</v>
      </c>
      <c r="G1522" t="s">
        <v>22</v>
      </c>
      <c r="H1522" t="s">
        <v>23</v>
      </c>
      <c r="I1522" t="s">
        <v>52</v>
      </c>
      <c r="J1522">
        <v>9</v>
      </c>
      <c r="K1522">
        <v>25676.7</v>
      </c>
      <c r="L1522">
        <v>231090.3</v>
      </c>
      <c r="M1522">
        <v>0</v>
      </c>
      <c r="N1522">
        <v>0</v>
      </c>
      <c r="O1522">
        <v>231090.3</v>
      </c>
      <c r="P1522" t="s">
        <v>32</v>
      </c>
      <c r="Q1522" t="s">
        <v>26</v>
      </c>
    </row>
    <row r="1523" spans="1:17" x14ac:dyDescent="0.25">
      <c r="A1523" t="s">
        <v>1640</v>
      </c>
      <c r="B1523" s="1">
        <v>45970</v>
      </c>
      <c r="C1523" t="s">
        <v>47</v>
      </c>
      <c r="D1523" t="s">
        <v>127</v>
      </c>
      <c r="E1523" t="s">
        <v>41</v>
      </c>
      <c r="F1523" t="s">
        <v>71</v>
      </c>
      <c r="G1523" t="s">
        <v>85</v>
      </c>
      <c r="H1523" t="s">
        <v>94</v>
      </c>
      <c r="I1523" t="s">
        <v>95</v>
      </c>
      <c r="J1523">
        <v>35</v>
      </c>
      <c r="K1523">
        <v>11854.06</v>
      </c>
      <c r="L1523">
        <v>414892.1</v>
      </c>
      <c r="M1523">
        <v>76332.02</v>
      </c>
      <c r="N1523">
        <v>0</v>
      </c>
      <c r="O1523">
        <v>338560.08</v>
      </c>
      <c r="P1523" t="s">
        <v>25</v>
      </c>
      <c r="Q1523" t="s">
        <v>128</v>
      </c>
    </row>
    <row r="1524" spans="1:17" x14ac:dyDescent="0.25">
      <c r="A1524" t="s">
        <v>1641</v>
      </c>
      <c r="B1524" s="1">
        <v>45957</v>
      </c>
      <c r="C1524" t="s">
        <v>18</v>
      </c>
      <c r="D1524" t="s">
        <v>19</v>
      </c>
      <c r="E1524" t="s">
        <v>49</v>
      </c>
      <c r="F1524" t="s">
        <v>112</v>
      </c>
      <c r="G1524" t="s">
        <v>138</v>
      </c>
      <c r="H1524" t="s">
        <v>38</v>
      </c>
      <c r="I1524" t="s">
        <v>175</v>
      </c>
      <c r="J1524">
        <v>18</v>
      </c>
      <c r="K1524">
        <v>35775.5</v>
      </c>
      <c r="L1524">
        <v>643959</v>
      </c>
      <c r="M1524">
        <v>99076.160000000003</v>
      </c>
      <c r="N1524">
        <v>0</v>
      </c>
      <c r="O1524">
        <v>544882.84</v>
      </c>
      <c r="P1524" t="s">
        <v>31</v>
      </c>
      <c r="Q1524" t="s">
        <v>32</v>
      </c>
    </row>
    <row r="1525" spans="1:17" x14ac:dyDescent="0.25">
      <c r="A1525" t="s">
        <v>1642</v>
      </c>
      <c r="B1525" s="1">
        <v>46012</v>
      </c>
      <c r="C1525" t="s">
        <v>60</v>
      </c>
      <c r="D1525" t="s">
        <v>123</v>
      </c>
      <c r="E1525" t="s">
        <v>41</v>
      </c>
      <c r="F1525" t="s">
        <v>112</v>
      </c>
      <c r="G1525" t="s">
        <v>140</v>
      </c>
      <c r="H1525" t="s">
        <v>57</v>
      </c>
      <c r="I1525" t="s">
        <v>118</v>
      </c>
      <c r="J1525">
        <v>45</v>
      </c>
      <c r="K1525">
        <v>17385.61</v>
      </c>
      <c r="L1525">
        <v>782352.45</v>
      </c>
      <c r="M1525">
        <v>20305.64</v>
      </c>
      <c r="N1525">
        <v>0</v>
      </c>
      <c r="O1525">
        <v>762046.81</v>
      </c>
      <c r="P1525" t="s">
        <v>25</v>
      </c>
      <c r="Q1525" t="s">
        <v>26</v>
      </c>
    </row>
    <row r="1526" spans="1:17" x14ac:dyDescent="0.25">
      <c r="A1526" t="s">
        <v>1643</v>
      </c>
      <c r="B1526" s="1">
        <v>46009</v>
      </c>
      <c r="C1526" t="s">
        <v>47</v>
      </c>
      <c r="D1526" t="s">
        <v>88</v>
      </c>
      <c r="E1526" t="s">
        <v>41</v>
      </c>
      <c r="F1526" t="s">
        <v>62</v>
      </c>
      <c r="G1526" t="s">
        <v>37</v>
      </c>
      <c r="H1526" t="s">
        <v>38</v>
      </c>
      <c r="I1526" t="s">
        <v>108</v>
      </c>
      <c r="J1526">
        <v>29</v>
      </c>
      <c r="K1526">
        <v>33294.29</v>
      </c>
      <c r="L1526">
        <v>965534.41</v>
      </c>
      <c r="M1526">
        <v>116406.49</v>
      </c>
      <c r="N1526">
        <v>0</v>
      </c>
      <c r="O1526">
        <v>849127.92</v>
      </c>
      <c r="P1526" t="s">
        <v>31</v>
      </c>
      <c r="Q1526" t="s">
        <v>32</v>
      </c>
    </row>
    <row r="1527" spans="1:17" x14ac:dyDescent="0.25">
      <c r="A1527" t="s">
        <v>1644</v>
      </c>
      <c r="B1527" s="1">
        <v>46009</v>
      </c>
      <c r="C1527" t="s">
        <v>79</v>
      </c>
      <c r="D1527" t="s">
        <v>107</v>
      </c>
      <c r="E1527" t="s">
        <v>49</v>
      </c>
      <c r="F1527" t="s">
        <v>84</v>
      </c>
      <c r="G1527" t="s">
        <v>138</v>
      </c>
      <c r="H1527" t="s">
        <v>94</v>
      </c>
      <c r="I1527" t="s">
        <v>193</v>
      </c>
      <c r="J1527">
        <v>21</v>
      </c>
      <c r="K1527">
        <v>21447.61</v>
      </c>
      <c r="L1527">
        <v>450399.81</v>
      </c>
      <c r="M1527">
        <v>0</v>
      </c>
      <c r="N1527">
        <v>0</v>
      </c>
      <c r="O1527">
        <v>450399.81</v>
      </c>
      <c r="P1527" t="s">
        <v>31</v>
      </c>
      <c r="Q1527" t="s">
        <v>32</v>
      </c>
    </row>
    <row r="1528" spans="1:17" x14ac:dyDescent="0.25">
      <c r="A1528" t="s">
        <v>1645</v>
      </c>
      <c r="B1528" s="1">
        <v>46027</v>
      </c>
      <c r="C1528" t="s">
        <v>54</v>
      </c>
      <c r="D1528" t="s">
        <v>133</v>
      </c>
      <c r="E1528" t="s">
        <v>35</v>
      </c>
      <c r="F1528" t="s">
        <v>62</v>
      </c>
      <c r="G1528" t="s">
        <v>102</v>
      </c>
      <c r="H1528" t="s">
        <v>23</v>
      </c>
      <c r="I1528" t="s">
        <v>110</v>
      </c>
      <c r="J1528">
        <v>20</v>
      </c>
      <c r="K1528">
        <v>10969.61</v>
      </c>
      <c r="L1528">
        <v>219392.2</v>
      </c>
      <c r="M1528">
        <v>17531.18</v>
      </c>
      <c r="N1528">
        <v>0</v>
      </c>
      <c r="O1528">
        <v>201861.02</v>
      </c>
      <c r="P1528" t="s">
        <v>73</v>
      </c>
      <c r="Q1528" t="s">
        <v>32</v>
      </c>
    </row>
    <row r="1529" spans="1:17" x14ac:dyDescent="0.25">
      <c r="A1529" t="s">
        <v>1646</v>
      </c>
      <c r="B1529" s="1">
        <v>46009</v>
      </c>
      <c r="C1529" t="s">
        <v>18</v>
      </c>
      <c r="D1529" t="s">
        <v>28</v>
      </c>
      <c r="E1529" t="s">
        <v>20</v>
      </c>
      <c r="F1529" t="s">
        <v>42</v>
      </c>
      <c r="G1529" t="s">
        <v>29</v>
      </c>
      <c r="H1529" t="s">
        <v>67</v>
      </c>
      <c r="I1529" t="s">
        <v>103</v>
      </c>
      <c r="J1529">
        <v>50</v>
      </c>
      <c r="K1529">
        <v>8607.17</v>
      </c>
      <c r="L1529">
        <v>430358.5</v>
      </c>
      <c r="M1529">
        <v>0</v>
      </c>
      <c r="N1529">
        <v>0</v>
      </c>
      <c r="O1529">
        <v>430358.5</v>
      </c>
      <c r="P1529" t="s">
        <v>73</v>
      </c>
      <c r="Q1529" t="s">
        <v>32</v>
      </c>
    </row>
    <row r="1530" spans="1:17" x14ac:dyDescent="0.25">
      <c r="A1530" t="s">
        <v>1647</v>
      </c>
      <c r="B1530" s="1">
        <v>45955</v>
      </c>
      <c r="C1530" t="s">
        <v>54</v>
      </c>
      <c r="D1530" t="s">
        <v>97</v>
      </c>
      <c r="E1530" t="s">
        <v>41</v>
      </c>
      <c r="F1530" t="s">
        <v>36</v>
      </c>
      <c r="G1530" t="s">
        <v>66</v>
      </c>
      <c r="H1530" t="s">
        <v>67</v>
      </c>
      <c r="I1530" t="s">
        <v>103</v>
      </c>
      <c r="J1530">
        <v>15</v>
      </c>
      <c r="K1530">
        <v>16034.56</v>
      </c>
      <c r="L1530">
        <v>240518.39999999999</v>
      </c>
      <c r="M1530">
        <v>0</v>
      </c>
      <c r="N1530">
        <v>0</v>
      </c>
      <c r="O1530">
        <v>240518.39999999999</v>
      </c>
      <c r="P1530" t="s">
        <v>73</v>
      </c>
      <c r="Q1530" t="s">
        <v>32</v>
      </c>
    </row>
    <row r="1531" spans="1:17" x14ac:dyDescent="0.25">
      <c r="A1531" t="s">
        <v>1648</v>
      </c>
      <c r="B1531" s="1">
        <v>45958</v>
      </c>
      <c r="C1531" t="s">
        <v>54</v>
      </c>
      <c r="D1531" t="s">
        <v>70</v>
      </c>
      <c r="E1531" t="s">
        <v>49</v>
      </c>
      <c r="F1531" t="s">
        <v>42</v>
      </c>
      <c r="G1531" t="s">
        <v>89</v>
      </c>
      <c r="H1531" t="s">
        <v>57</v>
      </c>
      <c r="I1531" t="s">
        <v>72</v>
      </c>
      <c r="J1531">
        <v>31</v>
      </c>
      <c r="K1531">
        <v>46055.24</v>
      </c>
      <c r="L1531">
        <v>1427712.44</v>
      </c>
      <c r="M1531">
        <v>0</v>
      </c>
      <c r="N1531">
        <v>0</v>
      </c>
      <c r="O1531">
        <v>1427712.44</v>
      </c>
      <c r="P1531" t="s">
        <v>31</v>
      </c>
      <c r="Q1531" t="s">
        <v>32</v>
      </c>
    </row>
    <row r="1532" spans="1:17" x14ac:dyDescent="0.25">
      <c r="A1532" t="s">
        <v>1649</v>
      </c>
      <c r="B1532" s="1">
        <v>46030</v>
      </c>
      <c r="C1532" t="s">
        <v>60</v>
      </c>
      <c r="D1532" t="s">
        <v>151</v>
      </c>
      <c r="E1532" t="s">
        <v>49</v>
      </c>
      <c r="F1532" t="s">
        <v>105</v>
      </c>
      <c r="G1532" t="s">
        <v>81</v>
      </c>
      <c r="H1532" t="s">
        <v>38</v>
      </c>
      <c r="I1532" t="s">
        <v>120</v>
      </c>
      <c r="J1532">
        <v>31</v>
      </c>
      <c r="K1532">
        <v>48400.73</v>
      </c>
      <c r="L1532">
        <v>1500422.63</v>
      </c>
      <c r="M1532">
        <v>47588.71</v>
      </c>
      <c r="N1532">
        <v>0</v>
      </c>
      <c r="O1532">
        <v>1452833.92</v>
      </c>
      <c r="P1532" t="s">
        <v>25</v>
      </c>
      <c r="Q1532" t="s">
        <v>26</v>
      </c>
    </row>
    <row r="1533" spans="1:17" x14ac:dyDescent="0.25">
      <c r="A1533" t="s">
        <v>1650</v>
      </c>
      <c r="B1533" s="1">
        <v>45965</v>
      </c>
      <c r="C1533" t="s">
        <v>79</v>
      </c>
      <c r="D1533" t="s">
        <v>91</v>
      </c>
      <c r="E1533" t="s">
        <v>49</v>
      </c>
      <c r="F1533" t="s">
        <v>84</v>
      </c>
      <c r="G1533" t="s">
        <v>37</v>
      </c>
      <c r="H1533" t="s">
        <v>57</v>
      </c>
      <c r="I1533" t="s">
        <v>92</v>
      </c>
      <c r="J1533">
        <v>9</v>
      </c>
      <c r="K1533">
        <v>44156.34</v>
      </c>
      <c r="L1533">
        <v>397407.06</v>
      </c>
      <c r="M1533">
        <v>32840.44</v>
      </c>
      <c r="N1533">
        <v>0</v>
      </c>
      <c r="O1533">
        <v>364566.62</v>
      </c>
      <c r="P1533" t="s">
        <v>32</v>
      </c>
      <c r="Q1533" t="s">
        <v>32</v>
      </c>
    </row>
    <row r="1534" spans="1:17" x14ac:dyDescent="0.25">
      <c r="A1534" t="s">
        <v>1651</v>
      </c>
      <c r="B1534" s="1">
        <v>45956</v>
      </c>
      <c r="C1534" t="s">
        <v>47</v>
      </c>
      <c r="D1534" t="s">
        <v>114</v>
      </c>
      <c r="E1534" t="s">
        <v>41</v>
      </c>
      <c r="F1534" t="s">
        <v>21</v>
      </c>
      <c r="G1534" t="s">
        <v>43</v>
      </c>
      <c r="H1534" t="s">
        <v>67</v>
      </c>
      <c r="I1534" t="s">
        <v>77</v>
      </c>
      <c r="J1534">
        <v>12</v>
      </c>
      <c r="K1534">
        <v>19000.759999999998</v>
      </c>
      <c r="L1534">
        <v>228009.12</v>
      </c>
      <c r="M1534">
        <v>45389.3</v>
      </c>
      <c r="N1534">
        <v>0</v>
      </c>
      <c r="O1534">
        <v>182619.82</v>
      </c>
      <c r="P1534" t="s">
        <v>31</v>
      </c>
      <c r="Q1534" t="s">
        <v>32</v>
      </c>
    </row>
    <row r="1535" spans="1:17" x14ac:dyDescent="0.25">
      <c r="A1535" t="s">
        <v>1652</v>
      </c>
      <c r="B1535" s="1">
        <v>45990</v>
      </c>
      <c r="C1535" t="s">
        <v>60</v>
      </c>
      <c r="D1535" t="s">
        <v>65</v>
      </c>
      <c r="E1535" t="s">
        <v>41</v>
      </c>
      <c r="F1535" t="s">
        <v>84</v>
      </c>
      <c r="G1535" t="s">
        <v>51</v>
      </c>
      <c r="H1535" t="s">
        <v>57</v>
      </c>
      <c r="I1535" t="s">
        <v>118</v>
      </c>
      <c r="J1535">
        <v>7</v>
      </c>
      <c r="K1535">
        <v>26496.560000000001</v>
      </c>
      <c r="L1535">
        <v>185475.92</v>
      </c>
      <c r="M1535">
        <v>30548.84</v>
      </c>
      <c r="N1535">
        <v>0</v>
      </c>
      <c r="O1535">
        <v>154927.07999999999</v>
      </c>
      <c r="P1535" t="s">
        <v>32</v>
      </c>
      <c r="Q1535" t="s">
        <v>32</v>
      </c>
    </row>
    <row r="1536" spans="1:17" x14ac:dyDescent="0.25">
      <c r="A1536" t="s">
        <v>1653</v>
      </c>
      <c r="B1536" s="1">
        <v>45989</v>
      </c>
      <c r="C1536" t="s">
        <v>79</v>
      </c>
      <c r="D1536" t="s">
        <v>101</v>
      </c>
      <c r="E1536" t="s">
        <v>41</v>
      </c>
      <c r="F1536" t="s">
        <v>84</v>
      </c>
      <c r="G1536" t="s">
        <v>29</v>
      </c>
      <c r="H1536" t="s">
        <v>44</v>
      </c>
      <c r="I1536" t="s">
        <v>135</v>
      </c>
      <c r="J1536">
        <v>5</v>
      </c>
      <c r="K1536">
        <v>5516.96</v>
      </c>
      <c r="L1536">
        <v>27584.799999999999</v>
      </c>
      <c r="M1536">
        <v>0</v>
      </c>
      <c r="N1536">
        <v>0</v>
      </c>
      <c r="O1536">
        <v>27584.799999999999</v>
      </c>
      <c r="P1536" t="s">
        <v>32</v>
      </c>
      <c r="Q1536" t="s">
        <v>26</v>
      </c>
    </row>
    <row r="1537" spans="1:17" x14ac:dyDescent="0.25">
      <c r="A1537" t="s">
        <v>1654</v>
      </c>
      <c r="B1537" s="1">
        <v>46008</v>
      </c>
      <c r="C1537" t="s">
        <v>54</v>
      </c>
      <c r="D1537" t="s">
        <v>55</v>
      </c>
      <c r="E1537" t="s">
        <v>41</v>
      </c>
      <c r="F1537" t="s">
        <v>71</v>
      </c>
      <c r="G1537" t="s">
        <v>81</v>
      </c>
      <c r="H1537" t="s">
        <v>44</v>
      </c>
      <c r="I1537" t="s">
        <v>135</v>
      </c>
      <c r="J1537">
        <v>29</v>
      </c>
      <c r="K1537">
        <v>44676.75</v>
      </c>
      <c r="L1537">
        <v>1295625.75</v>
      </c>
      <c r="M1537">
        <v>0</v>
      </c>
      <c r="N1537">
        <v>0</v>
      </c>
      <c r="O1537">
        <v>1295625.75</v>
      </c>
      <c r="P1537" t="s">
        <v>73</v>
      </c>
      <c r="Q1537" t="s">
        <v>32</v>
      </c>
    </row>
    <row r="1538" spans="1:17" x14ac:dyDescent="0.25">
      <c r="A1538" t="s">
        <v>1655</v>
      </c>
      <c r="B1538" s="1">
        <v>46040</v>
      </c>
      <c r="C1538" t="s">
        <v>60</v>
      </c>
      <c r="D1538" t="s">
        <v>151</v>
      </c>
      <c r="E1538" t="s">
        <v>41</v>
      </c>
      <c r="F1538" t="s">
        <v>62</v>
      </c>
      <c r="G1538" t="s">
        <v>89</v>
      </c>
      <c r="H1538" t="s">
        <v>44</v>
      </c>
      <c r="I1538" t="s">
        <v>152</v>
      </c>
      <c r="J1538">
        <v>10</v>
      </c>
      <c r="K1538">
        <v>30261.360000000001</v>
      </c>
      <c r="L1538">
        <v>302613.59999999998</v>
      </c>
      <c r="M1538">
        <v>0</v>
      </c>
      <c r="N1538">
        <v>0</v>
      </c>
      <c r="O1538">
        <v>302613.59999999998</v>
      </c>
      <c r="P1538" t="s">
        <v>25</v>
      </c>
      <c r="Q1538" t="s">
        <v>128</v>
      </c>
    </row>
    <row r="1539" spans="1:17" x14ac:dyDescent="0.25">
      <c r="A1539" t="s">
        <v>1656</v>
      </c>
      <c r="B1539" s="1">
        <v>46040</v>
      </c>
      <c r="C1539" t="s">
        <v>47</v>
      </c>
      <c r="D1539" t="s">
        <v>114</v>
      </c>
      <c r="E1539" t="s">
        <v>41</v>
      </c>
      <c r="F1539" t="s">
        <v>71</v>
      </c>
      <c r="G1539" t="s">
        <v>66</v>
      </c>
      <c r="H1539" t="s">
        <v>44</v>
      </c>
      <c r="I1539" t="s">
        <v>124</v>
      </c>
      <c r="J1539">
        <v>12</v>
      </c>
      <c r="K1539">
        <v>49030.11</v>
      </c>
      <c r="L1539">
        <v>588361.31999999995</v>
      </c>
      <c r="M1539">
        <v>27752.65</v>
      </c>
      <c r="N1539">
        <v>0</v>
      </c>
      <c r="O1539">
        <v>560608.67000000004</v>
      </c>
      <c r="P1539" t="s">
        <v>73</v>
      </c>
      <c r="Q1539" t="s">
        <v>32</v>
      </c>
    </row>
    <row r="1540" spans="1:17" x14ac:dyDescent="0.25">
      <c r="A1540" t="s">
        <v>1657</v>
      </c>
      <c r="B1540" s="1">
        <v>45958</v>
      </c>
      <c r="C1540" t="s">
        <v>79</v>
      </c>
      <c r="D1540" t="s">
        <v>101</v>
      </c>
      <c r="E1540" t="s">
        <v>49</v>
      </c>
      <c r="F1540" t="s">
        <v>112</v>
      </c>
      <c r="G1540" t="s">
        <v>102</v>
      </c>
      <c r="H1540" t="s">
        <v>57</v>
      </c>
      <c r="I1540" t="s">
        <v>72</v>
      </c>
      <c r="J1540">
        <v>13</v>
      </c>
      <c r="K1540">
        <v>32013.33</v>
      </c>
      <c r="L1540">
        <v>416173.29</v>
      </c>
      <c r="M1540">
        <v>0</v>
      </c>
      <c r="N1540">
        <v>0</v>
      </c>
      <c r="O1540">
        <v>416173.29</v>
      </c>
      <c r="P1540" t="s">
        <v>31</v>
      </c>
      <c r="Q1540" t="s">
        <v>32</v>
      </c>
    </row>
    <row r="1541" spans="1:17" x14ac:dyDescent="0.25">
      <c r="A1541" t="s">
        <v>1658</v>
      </c>
      <c r="B1541" s="1">
        <v>45975</v>
      </c>
      <c r="C1541" t="s">
        <v>54</v>
      </c>
      <c r="D1541" t="s">
        <v>70</v>
      </c>
      <c r="E1541" t="s">
        <v>41</v>
      </c>
      <c r="F1541" t="s">
        <v>137</v>
      </c>
      <c r="G1541" t="s">
        <v>29</v>
      </c>
      <c r="H1541" t="s">
        <v>44</v>
      </c>
      <c r="I1541" t="s">
        <v>141</v>
      </c>
      <c r="J1541">
        <v>6</v>
      </c>
      <c r="K1541">
        <v>6656.76</v>
      </c>
      <c r="L1541">
        <v>39940.559999999998</v>
      </c>
      <c r="M1541">
        <v>0</v>
      </c>
      <c r="N1541">
        <v>0</v>
      </c>
      <c r="O1541">
        <v>39940.559999999998</v>
      </c>
      <c r="P1541" t="s">
        <v>31</v>
      </c>
      <c r="Q1541" t="s">
        <v>32</v>
      </c>
    </row>
    <row r="1542" spans="1:17" x14ac:dyDescent="0.25">
      <c r="A1542" t="s">
        <v>1659</v>
      </c>
      <c r="B1542" s="1">
        <v>45966</v>
      </c>
      <c r="C1542" t="s">
        <v>47</v>
      </c>
      <c r="D1542" t="s">
        <v>88</v>
      </c>
      <c r="E1542" t="s">
        <v>20</v>
      </c>
      <c r="F1542" t="s">
        <v>50</v>
      </c>
      <c r="G1542" t="s">
        <v>138</v>
      </c>
      <c r="H1542" t="s">
        <v>23</v>
      </c>
      <c r="I1542" t="s">
        <v>52</v>
      </c>
      <c r="J1542">
        <v>22</v>
      </c>
      <c r="K1542">
        <v>28463.97</v>
      </c>
      <c r="L1542">
        <v>626207.34</v>
      </c>
      <c r="M1542">
        <v>0</v>
      </c>
      <c r="N1542">
        <v>158068.21</v>
      </c>
      <c r="O1542">
        <v>468139.13</v>
      </c>
      <c r="P1542" t="s">
        <v>73</v>
      </c>
      <c r="Q1542" t="s">
        <v>32</v>
      </c>
    </row>
    <row r="1543" spans="1:17" x14ac:dyDescent="0.25">
      <c r="A1543" t="s">
        <v>1660</v>
      </c>
      <c r="B1543" s="1">
        <v>45978</v>
      </c>
      <c r="C1543" t="s">
        <v>60</v>
      </c>
      <c r="D1543" t="s">
        <v>123</v>
      </c>
      <c r="E1543" t="s">
        <v>20</v>
      </c>
      <c r="F1543" t="s">
        <v>36</v>
      </c>
      <c r="G1543" t="s">
        <v>63</v>
      </c>
      <c r="H1543" t="s">
        <v>44</v>
      </c>
      <c r="I1543" t="s">
        <v>141</v>
      </c>
      <c r="J1543">
        <v>36</v>
      </c>
      <c r="K1543">
        <v>20119.830000000002</v>
      </c>
      <c r="L1543">
        <v>724313.88</v>
      </c>
      <c r="M1543">
        <v>115.24</v>
      </c>
      <c r="N1543">
        <v>0</v>
      </c>
      <c r="O1543">
        <v>724198.64</v>
      </c>
      <c r="P1543" t="s">
        <v>31</v>
      </c>
      <c r="Q1543" t="s">
        <v>32</v>
      </c>
    </row>
    <row r="1544" spans="1:17" x14ac:dyDescent="0.25">
      <c r="A1544" t="s">
        <v>1661</v>
      </c>
      <c r="B1544" s="1">
        <v>45991</v>
      </c>
      <c r="C1544" t="s">
        <v>47</v>
      </c>
      <c r="D1544" t="s">
        <v>48</v>
      </c>
      <c r="E1544" t="s">
        <v>41</v>
      </c>
      <c r="F1544" t="s">
        <v>21</v>
      </c>
      <c r="G1544" t="s">
        <v>22</v>
      </c>
      <c r="H1544" t="s">
        <v>44</v>
      </c>
      <c r="I1544" t="s">
        <v>124</v>
      </c>
      <c r="J1544">
        <v>6</v>
      </c>
      <c r="K1544">
        <v>15162.23</v>
      </c>
      <c r="L1544">
        <v>90973.38</v>
      </c>
      <c r="M1544">
        <v>5781.6</v>
      </c>
      <c r="N1544">
        <v>0</v>
      </c>
      <c r="O1544">
        <v>85191.78</v>
      </c>
      <c r="P1544" t="s">
        <v>31</v>
      </c>
      <c r="Q1544" t="s">
        <v>32</v>
      </c>
    </row>
    <row r="1545" spans="1:17" x14ac:dyDescent="0.25">
      <c r="A1545" t="s">
        <v>1662</v>
      </c>
      <c r="B1545" s="1">
        <v>46001</v>
      </c>
      <c r="C1545" t="s">
        <v>60</v>
      </c>
      <c r="D1545" t="s">
        <v>65</v>
      </c>
      <c r="E1545" t="s">
        <v>35</v>
      </c>
      <c r="F1545" t="s">
        <v>62</v>
      </c>
      <c r="G1545" t="s">
        <v>37</v>
      </c>
      <c r="H1545" t="s">
        <v>57</v>
      </c>
      <c r="I1545" t="s">
        <v>72</v>
      </c>
      <c r="J1545">
        <v>22</v>
      </c>
      <c r="K1545">
        <v>35408.51</v>
      </c>
      <c r="L1545">
        <v>778987.22</v>
      </c>
      <c r="M1545">
        <v>55304.26</v>
      </c>
      <c r="N1545">
        <v>60551.15</v>
      </c>
      <c r="O1545">
        <v>663131.81000000006</v>
      </c>
      <c r="P1545" t="s">
        <v>25</v>
      </c>
      <c r="Q1545" t="s">
        <v>26</v>
      </c>
    </row>
    <row r="1546" spans="1:17" x14ac:dyDescent="0.25">
      <c r="A1546" t="s">
        <v>1663</v>
      </c>
      <c r="B1546" s="1">
        <v>46019</v>
      </c>
      <c r="C1546" t="s">
        <v>47</v>
      </c>
      <c r="D1546" t="s">
        <v>114</v>
      </c>
      <c r="E1546" t="s">
        <v>20</v>
      </c>
      <c r="F1546" t="s">
        <v>42</v>
      </c>
      <c r="G1546" t="s">
        <v>89</v>
      </c>
      <c r="H1546" t="s">
        <v>57</v>
      </c>
      <c r="I1546" t="s">
        <v>148</v>
      </c>
      <c r="J1546">
        <v>9</v>
      </c>
      <c r="K1546">
        <v>10402.77</v>
      </c>
      <c r="L1546">
        <v>93624.93</v>
      </c>
      <c r="M1546">
        <v>10793.16</v>
      </c>
      <c r="N1546">
        <v>0</v>
      </c>
      <c r="O1546">
        <v>82831.77</v>
      </c>
      <c r="P1546" t="s">
        <v>73</v>
      </c>
      <c r="Q1546" t="s">
        <v>32</v>
      </c>
    </row>
    <row r="1547" spans="1:17" x14ac:dyDescent="0.25">
      <c r="A1547" t="s">
        <v>1664</v>
      </c>
      <c r="B1547" s="1">
        <v>46023</v>
      </c>
      <c r="C1547" t="s">
        <v>60</v>
      </c>
      <c r="D1547" t="s">
        <v>123</v>
      </c>
      <c r="E1547" t="s">
        <v>49</v>
      </c>
      <c r="F1547" t="s">
        <v>62</v>
      </c>
      <c r="G1547" t="s">
        <v>22</v>
      </c>
      <c r="H1547" t="s">
        <v>67</v>
      </c>
      <c r="I1547" t="s">
        <v>103</v>
      </c>
      <c r="J1547">
        <v>45</v>
      </c>
      <c r="K1547">
        <v>9474.15</v>
      </c>
      <c r="L1547">
        <v>426336.75</v>
      </c>
      <c r="M1547">
        <v>22810.79</v>
      </c>
      <c r="N1547">
        <v>0</v>
      </c>
      <c r="O1547">
        <v>403525.96</v>
      </c>
      <c r="P1547" t="s">
        <v>32</v>
      </c>
      <c r="Q1547" t="s">
        <v>26</v>
      </c>
    </row>
    <row r="1548" spans="1:17" x14ac:dyDescent="0.25">
      <c r="A1548" t="s">
        <v>1665</v>
      </c>
      <c r="B1548" s="1">
        <v>46034</v>
      </c>
      <c r="C1548" t="s">
        <v>60</v>
      </c>
      <c r="D1548" t="s">
        <v>65</v>
      </c>
      <c r="E1548" t="s">
        <v>35</v>
      </c>
      <c r="F1548" t="s">
        <v>112</v>
      </c>
      <c r="G1548" t="s">
        <v>138</v>
      </c>
      <c r="H1548" t="s">
        <v>23</v>
      </c>
      <c r="I1548" t="s">
        <v>99</v>
      </c>
      <c r="J1548">
        <v>21</v>
      </c>
      <c r="K1548">
        <v>3490.26</v>
      </c>
      <c r="L1548">
        <v>73295.460000000006</v>
      </c>
      <c r="M1548">
        <v>4177.66</v>
      </c>
      <c r="N1548">
        <v>0</v>
      </c>
      <c r="O1548">
        <v>69117.8</v>
      </c>
      <c r="P1548" t="s">
        <v>32</v>
      </c>
      <c r="Q1548" t="s">
        <v>32</v>
      </c>
    </row>
    <row r="1549" spans="1:17" x14ac:dyDescent="0.25">
      <c r="A1549" t="s">
        <v>1666</v>
      </c>
      <c r="B1549" s="1">
        <v>46000</v>
      </c>
      <c r="C1549" t="s">
        <v>47</v>
      </c>
      <c r="D1549" t="s">
        <v>88</v>
      </c>
      <c r="E1549" t="s">
        <v>49</v>
      </c>
      <c r="F1549" t="s">
        <v>42</v>
      </c>
      <c r="G1549" t="s">
        <v>138</v>
      </c>
      <c r="H1549" t="s">
        <v>44</v>
      </c>
      <c r="I1549" t="s">
        <v>152</v>
      </c>
      <c r="J1549">
        <v>2</v>
      </c>
      <c r="K1549">
        <v>19969.61</v>
      </c>
      <c r="L1549">
        <v>39939.22</v>
      </c>
      <c r="M1549">
        <v>4569.29</v>
      </c>
      <c r="N1549">
        <v>0</v>
      </c>
      <c r="O1549">
        <v>35369.93</v>
      </c>
      <c r="P1549" t="s">
        <v>73</v>
      </c>
      <c r="Q1549" t="s">
        <v>26</v>
      </c>
    </row>
    <row r="1550" spans="1:17" x14ac:dyDescent="0.25">
      <c r="A1550" t="s">
        <v>1667</v>
      </c>
      <c r="B1550" s="1">
        <v>45972</v>
      </c>
      <c r="C1550" t="s">
        <v>60</v>
      </c>
      <c r="D1550" t="s">
        <v>65</v>
      </c>
      <c r="E1550" t="s">
        <v>49</v>
      </c>
      <c r="F1550" t="s">
        <v>42</v>
      </c>
      <c r="G1550" t="s">
        <v>56</v>
      </c>
      <c r="H1550" t="s">
        <v>44</v>
      </c>
      <c r="I1550" t="s">
        <v>45</v>
      </c>
      <c r="J1550">
        <v>23</v>
      </c>
      <c r="K1550">
        <v>11849.71</v>
      </c>
      <c r="L1550">
        <v>272543.33</v>
      </c>
      <c r="M1550">
        <v>52589.760000000002</v>
      </c>
      <c r="N1550">
        <v>0</v>
      </c>
      <c r="O1550">
        <v>219953.57</v>
      </c>
      <c r="P1550" t="s">
        <v>25</v>
      </c>
      <c r="Q1550" t="s">
        <v>26</v>
      </c>
    </row>
    <row r="1551" spans="1:17" x14ac:dyDescent="0.25">
      <c r="A1551" t="s">
        <v>1668</v>
      </c>
      <c r="B1551" s="1">
        <v>46040</v>
      </c>
      <c r="C1551" t="s">
        <v>18</v>
      </c>
      <c r="D1551" t="s">
        <v>28</v>
      </c>
      <c r="E1551" t="s">
        <v>35</v>
      </c>
      <c r="F1551" t="s">
        <v>42</v>
      </c>
      <c r="G1551" t="s">
        <v>66</v>
      </c>
      <c r="H1551" t="s">
        <v>44</v>
      </c>
      <c r="I1551" t="s">
        <v>152</v>
      </c>
      <c r="J1551">
        <v>6</v>
      </c>
      <c r="K1551">
        <v>49525.89</v>
      </c>
      <c r="L1551">
        <v>297155.34000000003</v>
      </c>
      <c r="M1551">
        <v>0</v>
      </c>
      <c r="N1551">
        <v>0</v>
      </c>
      <c r="O1551">
        <v>297155.34000000003</v>
      </c>
      <c r="P1551" t="s">
        <v>25</v>
      </c>
      <c r="Q1551" t="s">
        <v>26</v>
      </c>
    </row>
    <row r="1552" spans="1:17" x14ac:dyDescent="0.25">
      <c r="A1552" t="s">
        <v>1669</v>
      </c>
      <c r="B1552" s="1">
        <v>46006</v>
      </c>
      <c r="C1552" t="s">
        <v>47</v>
      </c>
      <c r="D1552" t="s">
        <v>48</v>
      </c>
      <c r="E1552" t="s">
        <v>41</v>
      </c>
      <c r="F1552" t="s">
        <v>36</v>
      </c>
      <c r="G1552" t="s">
        <v>89</v>
      </c>
      <c r="H1552" t="s">
        <v>94</v>
      </c>
      <c r="I1552" t="s">
        <v>163</v>
      </c>
      <c r="J1552">
        <v>31</v>
      </c>
      <c r="K1552">
        <v>22521.040000000001</v>
      </c>
      <c r="L1552">
        <v>698152.24</v>
      </c>
      <c r="M1552">
        <v>25296.61</v>
      </c>
      <c r="N1552">
        <v>0</v>
      </c>
      <c r="O1552">
        <v>672855.63</v>
      </c>
      <c r="P1552" t="s">
        <v>32</v>
      </c>
      <c r="Q1552" t="s">
        <v>32</v>
      </c>
    </row>
    <row r="1553" spans="1:17" x14ac:dyDescent="0.25">
      <c r="A1553" t="s">
        <v>1670</v>
      </c>
      <c r="B1553" s="1">
        <v>45997</v>
      </c>
      <c r="C1553" t="s">
        <v>18</v>
      </c>
      <c r="D1553" t="s">
        <v>19</v>
      </c>
      <c r="E1553" t="s">
        <v>35</v>
      </c>
      <c r="F1553" t="s">
        <v>84</v>
      </c>
      <c r="G1553" t="s">
        <v>102</v>
      </c>
      <c r="H1553" t="s">
        <v>44</v>
      </c>
      <c r="I1553" t="s">
        <v>45</v>
      </c>
      <c r="J1553">
        <v>14</v>
      </c>
      <c r="K1553">
        <v>571.66</v>
      </c>
      <c r="L1553">
        <v>8003.24</v>
      </c>
      <c r="M1553">
        <v>556.66999999999996</v>
      </c>
      <c r="N1553">
        <v>1690.21</v>
      </c>
      <c r="O1553">
        <v>5756.36</v>
      </c>
      <c r="P1553" t="s">
        <v>73</v>
      </c>
      <c r="Q1553" t="s">
        <v>32</v>
      </c>
    </row>
    <row r="1554" spans="1:17" x14ac:dyDescent="0.25">
      <c r="A1554" t="s">
        <v>1671</v>
      </c>
      <c r="B1554" s="1">
        <v>46033</v>
      </c>
      <c r="C1554" t="s">
        <v>54</v>
      </c>
      <c r="D1554" t="s">
        <v>97</v>
      </c>
      <c r="E1554" t="s">
        <v>20</v>
      </c>
      <c r="F1554" t="s">
        <v>50</v>
      </c>
      <c r="G1554" t="s">
        <v>85</v>
      </c>
      <c r="H1554" t="s">
        <v>57</v>
      </c>
      <c r="I1554" t="s">
        <v>148</v>
      </c>
      <c r="J1554">
        <v>9</v>
      </c>
      <c r="K1554">
        <v>6459.8</v>
      </c>
      <c r="L1554">
        <v>58138.2</v>
      </c>
      <c r="M1554">
        <v>9778.67</v>
      </c>
      <c r="N1554">
        <v>0</v>
      </c>
      <c r="O1554">
        <v>48359.53</v>
      </c>
      <c r="P1554" t="s">
        <v>32</v>
      </c>
      <c r="Q1554" t="s">
        <v>32</v>
      </c>
    </row>
    <row r="1555" spans="1:17" x14ac:dyDescent="0.25">
      <c r="A1555" t="s">
        <v>1672</v>
      </c>
      <c r="B1555" s="1">
        <v>45986</v>
      </c>
      <c r="C1555" t="s">
        <v>47</v>
      </c>
      <c r="D1555" t="s">
        <v>88</v>
      </c>
      <c r="E1555" t="s">
        <v>41</v>
      </c>
      <c r="F1555" t="s">
        <v>71</v>
      </c>
      <c r="G1555" t="s">
        <v>138</v>
      </c>
      <c r="H1555" t="s">
        <v>44</v>
      </c>
      <c r="I1555" t="s">
        <v>141</v>
      </c>
      <c r="J1555">
        <v>3</v>
      </c>
      <c r="K1555">
        <v>11858.28</v>
      </c>
      <c r="L1555">
        <v>35574.839999999997</v>
      </c>
      <c r="M1555">
        <v>4251.16</v>
      </c>
      <c r="N1555">
        <v>5588.15</v>
      </c>
      <c r="O1555">
        <v>25735.53</v>
      </c>
      <c r="P1555" t="s">
        <v>31</v>
      </c>
      <c r="Q1555" t="s">
        <v>32</v>
      </c>
    </row>
    <row r="1556" spans="1:17" x14ac:dyDescent="0.25">
      <c r="A1556" t="s">
        <v>1673</v>
      </c>
      <c r="B1556" s="1">
        <v>45975</v>
      </c>
      <c r="C1556" t="s">
        <v>60</v>
      </c>
      <c r="D1556" t="s">
        <v>123</v>
      </c>
      <c r="E1556" t="s">
        <v>20</v>
      </c>
      <c r="F1556" t="s">
        <v>137</v>
      </c>
      <c r="G1556" t="s">
        <v>51</v>
      </c>
      <c r="H1556" t="s">
        <v>23</v>
      </c>
      <c r="I1556" t="s">
        <v>52</v>
      </c>
      <c r="J1556">
        <v>33</v>
      </c>
      <c r="K1556">
        <v>38588.400000000001</v>
      </c>
      <c r="L1556">
        <v>1273417.2</v>
      </c>
      <c r="M1556">
        <v>207010.71</v>
      </c>
      <c r="N1556">
        <v>0</v>
      </c>
      <c r="O1556">
        <v>1066406.49</v>
      </c>
      <c r="P1556" t="s">
        <v>25</v>
      </c>
      <c r="Q1556" t="s">
        <v>26</v>
      </c>
    </row>
    <row r="1557" spans="1:17" x14ac:dyDescent="0.25">
      <c r="A1557" t="s">
        <v>1674</v>
      </c>
      <c r="B1557" s="1">
        <v>45955</v>
      </c>
      <c r="C1557" t="s">
        <v>54</v>
      </c>
      <c r="D1557" t="s">
        <v>97</v>
      </c>
      <c r="E1557" t="s">
        <v>35</v>
      </c>
      <c r="F1557" t="s">
        <v>50</v>
      </c>
      <c r="G1557" t="s">
        <v>98</v>
      </c>
      <c r="H1557" t="s">
        <v>57</v>
      </c>
      <c r="I1557" t="s">
        <v>92</v>
      </c>
      <c r="J1557">
        <v>30</v>
      </c>
      <c r="K1557">
        <v>9186.16</v>
      </c>
      <c r="L1557">
        <v>275584.8</v>
      </c>
      <c r="M1557">
        <v>53469.59</v>
      </c>
      <c r="N1557">
        <v>0</v>
      </c>
      <c r="O1557">
        <v>222115.21</v>
      </c>
      <c r="P1557" t="s">
        <v>73</v>
      </c>
      <c r="Q1557" t="s">
        <v>32</v>
      </c>
    </row>
    <row r="1558" spans="1:17" x14ac:dyDescent="0.25">
      <c r="A1558" t="s">
        <v>1675</v>
      </c>
      <c r="B1558" s="1">
        <v>46017</v>
      </c>
      <c r="C1558" t="s">
        <v>47</v>
      </c>
      <c r="D1558" t="s">
        <v>127</v>
      </c>
      <c r="E1558" t="s">
        <v>35</v>
      </c>
      <c r="F1558" t="s">
        <v>62</v>
      </c>
      <c r="G1558" t="s">
        <v>43</v>
      </c>
      <c r="H1558" t="s">
        <v>94</v>
      </c>
      <c r="I1558" t="s">
        <v>163</v>
      </c>
      <c r="J1558">
        <v>27</v>
      </c>
      <c r="K1558">
        <v>4681.08</v>
      </c>
      <c r="L1558">
        <v>126389.16</v>
      </c>
      <c r="M1558">
        <v>16329.92</v>
      </c>
      <c r="N1558">
        <v>0</v>
      </c>
      <c r="O1558">
        <v>110059.24</v>
      </c>
      <c r="P1558" t="s">
        <v>31</v>
      </c>
      <c r="Q1558" t="s">
        <v>32</v>
      </c>
    </row>
    <row r="1559" spans="1:17" x14ac:dyDescent="0.25">
      <c r="A1559" t="s">
        <v>1676</v>
      </c>
      <c r="B1559" s="1">
        <v>46015</v>
      </c>
      <c r="C1559" t="s">
        <v>47</v>
      </c>
      <c r="D1559" t="s">
        <v>88</v>
      </c>
      <c r="E1559" t="s">
        <v>35</v>
      </c>
      <c r="F1559" t="s">
        <v>50</v>
      </c>
      <c r="G1559" t="s">
        <v>85</v>
      </c>
      <c r="H1559" t="s">
        <v>38</v>
      </c>
      <c r="I1559" t="s">
        <v>82</v>
      </c>
      <c r="J1559">
        <v>48</v>
      </c>
      <c r="K1559">
        <v>8810.66</v>
      </c>
      <c r="L1559">
        <v>422911.68</v>
      </c>
      <c r="M1559">
        <v>0</v>
      </c>
      <c r="N1559">
        <v>0</v>
      </c>
      <c r="O1559">
        <v>422911.68</v>
      </c>
      <c r="P1559" t="s">
        <v>32</v>
      </c>
      <c r="Q1559" t="s">
        <v>32</v>
      </c>
    </row>
    <row r="1560" spans="1:17" x14ac:dyDescent="0.25">
      <c r="A1560" t="s">
        <v>1677</v>
      </c>
      <c r="B1560" s="1">
        <v>45981</v>
      </c>
      <c r="C1560" t="s">
        <v>79</v>
      </c>
      <c r="D1560" t="s">
        <v>101</v>
      </c>
      <c r="E1560" t="s">
        <v>35</v>
      </c>
      <c r="F1560" t="s">
        <v>84</v>
      </c>
      <c r="G1560" t="s">
        <v>63</v>
      </c>
      <c r="H1560" t="s">
        <v>38</v>
      </c>
      <c r="I1560" t="s">
        <v>175</v>
      </c>
      <c r="J1560">
        <v>11</v>
      </c>
      <c r="K1560">
        <v>19532.82</v>
      </c>
      <c r="L1560">
        <v>214861.02</v>
      </c>
      <c r="M1560">
        <v>25501.47</v>
      </c>
      <c r="N1560">
        <v>0</v>
      </c>
      <c r="O1560">
        <v>189359.55</v>
      </c>
      <c r="P1560" t="s">
        <v>25</v>
      </c>
      <c r="Q1560" t="s">
        <v>26</v>
      </c>
    </row>
    <row r="1561" spans="1:17" x14ac:dyDescent="0.25">
      <c r="A1561" t="s">
        <v>1678</v>
      </c>
      <c r="B1561" s="1">
        <v>45967</v>
      </c>
      <c r="C1561" t="s">
        <v>47</v>
      </c>
      <c r="D1561" t="s">
        <v>88</v>
      </c>
      <c r="E1561" t="s">
        <v>49</v>
      </c>
      <c r="F1561" t="s">
        <v>137</v>
      </c>
      <c r="G1561" t="s">
        <v>102</v>
      </c>
      <c r="H1561" t="s">
        <v>67</v>
      </c>
      <c r="I1561" t="s">
        <v>154</v>
      </c>
      <c r="J1561">
        <v>39</v>
      </c>
      <c r="K1561">
        <v>30864.41</v>
      </c>
      <c r="L1561">
        <v>1203711.99</v>
      </c>
      <c r="M1561">
        <v>0</v>
      </c>
      <c r="N1561">
        <v>0</v>
      </c>
      <c r="O1561">
        <v>1203711.99</v>
      </c>
      <c r="P1561" t="s">
        <v>73</v>
      </c>
      <c r="Q1561" t="s">
        <v>26</v>
      </c>
    </row>
    <row r="1562" spans="1:17" x14ac:dyDescent="0.25">
      <c r="A1562" t="s">
        <v>1679</v>
      </c>
      <c r="B1562" s="1">
        <v>46019</v>
      </c>
      <c r="C1562" t="s">
        <v>47</v>
      </c>
      <c r="D1562" t="s">
        <v>48</v>
      </c>
      <c r="E1562" t="s">
        <v>41</v>
      </c>
      <c r="F1562" t="s">
        <v>84</v>
      </c>
      <c r="G1562" t="s">
        <v>140</v>
      </c>
      <c r="H1562" t="s">
        <v>57</v>
      </c>
      <c r="I1562" t="s">
        <v>160</v>
      </c>
      <c r="J1562">
        <v>7</v>
      </c>
      <c r="K1562">
        <v>17111.75</v>
      </c>
      <c r="L1562">
        <v>119782.25</v>
      </c>
      <c r="M1562">
        <v>9520.4599999999991</v>
      </c>
      <c r="N1562">
        <v>0</v>
      </c>
      <c r="O1562">
        <v>110261.79</v>
      </c>
      <c r="P1562" t="s">
        <v>25</v>
      </c>
      <c r="Q1562" t="s">
        <v>26</v>
      </c>
    </row>
    <row r="1563" spans="1:17" x14ac:dyDescent="0.25">
      <c r="A1563" t="s">
        <v>1680</v>
      </c>
      <c r="B1563" s="1">
        <v>45960</v>
      </c>
      <c r="C1563" t="s">
        <v>79</v>
      </c>
      <c r="D1563" t="s">
        <v>101</v>
      </c>
      <c r="E1563" t="s">
        <v>49</v>
      </c>
      <c r="F1563" t="s">
        <v>50</v>
      </c>
      <c r="G1563" t="s">
        <v>43</v>
      </c>
      <c r="H1563" t="s">
        <v>23</v>
      </c>
      <c r="I1563" t="s">
        <v>99</v>
      </c>
      <c r="J1563">
        <v>9</v>
      </c>
      <c r="K1563">
        <v>44632.27</v>
      </c>
      <c r="L1563">
        <v>401690.43</v>
      </c>
      <c r="M1563">
        <v>0</v>
      </c>
      <c r="N1563">
        <v>0</v>
      </c>
      <c r="O1563">
        <v>401690.43</v>
      </c>
      <c r="P1563" t="s">
        <v>31</v>
      </c>
      <c r="Q1563" t="s">
        <v>32</v>
      </c>
    </row>
    <row r="1564" spans="1:17" x14ac:dyDescent="0.25">
      <c r="A1564" t="s">
        <v>1681</v>
      </c>
      <c r="B1564" s="1">
        <v>45966</v>
      </c>
      <c r="C1564" t="s">
        <v>47</v>
      </c>
      <c r="D1564" t="s">
        <v>127</v>
      </c>
      <c r="E1564" t="s">
        <v>41</v>
      </c>
      <c r="F1564" t="s">
        <v>71</v>
      </c>
      <c r="G1564" t="s">
        <v>81</v>
      </c>
      <c r="H1564" t="s">
        <v>67</v>
      </c>
      <c r="I1564" t="s">
        <v>170</v>
      </c>
      <c r="J1564">
        <v>6</v>
      </c>
      <c r="K1564">
        <v>21390.04</v>
      </c>
      <c r="L1564">
        <v>128340.24</v>
      </c>
      <c r="M1564">
        <v>0</v>
      </c>
      <c r="N1564">
        <v>0</v>
      </c>
      <c r="O1564">
        <v>128340.24</v>
      </c>
      <c r="P1564" t="s">
        <v>32</v>
      </c>
      <c r="Q1564" t="s">
        <v>32</v>
      </c>
    </row>
    <row r="1565" spans="1:17" x14ac:dyDescent="0.25">
      <c r="A1565" t="s">
        <v>1682</v>
      </c>
      <c r="B1565" s="1">
        <v>46033</v>
      </c>
      <c r="C1565" t="s">
        <v>54</v>
      </c>
      <c r="D1565" t="s">
        <v>55</v>
      </c>
      <c r="E1565" t="s">
        <v>41</v>
      </c>
      <c r="F1565" t="s">
        <v>36</v>
      </c>
      <c r="G1565" t="s">
        <v>102</v>
      </c>
      <c r="H1565" t="s">
        <v>23</v>
      </c>
      <c r="I1565" t="s">
        <v>30</v>
      </c>
      <c r="J1565">
        <v>29</v>
      </c>
      <c r="K1565">
        <v>39941.910000000003</v>
      </c>
      <c r="L1565">
        <v>1158315.3899999999</v>
      </c>
      <c r="M1565">
        <v>0</v>
      </c>
      <c r="N1565">
        <v>0</v>
      </c>
      <c r="O1565">
        <v>1158315.3899999999</v>
      </c>
      <c r="P1565" t="s">
        <v>73</v>
      </c>
      <c r="Q1565" t="s">
        <v>26</v>
      </c>
    </row>
    <row r="1566" spans="1:17" x14ac:dyDescent="0.25">
      <c r="A1566" t="s">
        <v>1683</v>
      </c>
      <c r="B1566" s="1">
        <v>45975</v>
      </c>
      <c r="C1566" t="s">
        <v>60</v>
      </c>
      <c r="D1566" t="s">
        <v>151</v>
      </c>
      <c r="E1566" t="s">
        <v>20</v>
      </c>
      <c r="F1566" t="s">
        <v>137</v>
      </c>
      <c r="G1566" t="s">
        <v>102</v>
      </c>
      <c r="H1566" t="s">
        <v>57</v>
      </c>
      <c r="I1566" t="s">
        <v>148</v>
      </c>
      <c r="J1566">
        <v>19</v>
      </c>
      <c r="K1566">
        <v>36624.35</v>
      </c>
      <c r="L1566">
        <v>695862.65</v>
      </c>
      <c r="M1566">
        <v>70023.350000000006</v>
      </c>
      <c r="N1566">
        <v>0</v>
      </c>
      <c r="O1566">
        <v>625839.30000000005</v>
      </c>
      <c r="P1566" t="s">
        <v>32</v>
      </c>
      <c r="Q1566" t="s">
        <v>26</v>
      </c>
    </row>
    <row r="1567" spans="1:17" x14ac:dyDescent="0.25">
      <c r="A1567" t="s">
        <v>1684</v>
      </c>
      <c r="B1567" s="1">
        <v>45956</v>
      </c>
      <c r="C1567" t="s">
        <v>54</v>
      </c>
      <c r="D1567" t="s">
        <v>55</v>
      </c>
      <c r="E1567" t="s">
        <v>49</v>
      </c>
      <c r="F1567" t="s">
        <v>112</v>
      </c>
      <c r="G1567" t="s">
        <v>63</v>
      </c>
      <c r="H1567" t="s">
        <v>23</v>
      </c>
      <c r="I1567" t="s">
        <v>99</v>
      </c>
      <c r="J1567">
        <v>23</v>
      </c>
      <c r="K1567">
        <v>13817.9</v>
      </c>
      <c r="L1567">
        <v>317811.7</v>
      </c>
      <c r="M1567">
        <v>0</v>
      </c>
      <c r="N1567">
        <v>0</v>
      </c>
      <c r="O1567">
        <v>317811.7</v>
      </c>
      <c r="P1567" t="s">
        <v>73</v>
      </c>
      <c r="Q1567" t="s">
        <v>26</v>
      </c>
    </row>
    <row r="1568" spans="1:17" x14ac:dyDescent="0.25">
      <c r="A1568" t="s">
        <v>1685</v>
      </c>
      <c r="B1568" s="1">
        <v>45977</v>
      </c>
      <c r="C1568" t="s">
        <v>54</v>
      </c>
      <c r="D1568" t="s">
        <v>70</v>
      </c>
      <c r="E1568" t="s">
        <v>41</v>
      </c>
      <c r="F1568" t="s">
        <v>137</v>
      </c>
      <c r="G1568" t="s">
        <v>22</v>
      </c>
      <c r="H1568" t="s">
        <v>44</v>
      </c>
      <c r="I1568" t="s">
        <v>135</v>
      </c>
      <c r="J1568">
        <v>14</v>
      </c>
      <c r="K1568">
        <v>9308.43</v>
      </c>
      <c r="L1568">
        <v>130318.02</v>
      </c>
      <c r="M1568">
        <v>2869.47</v>
      </c>
      <c r="N1568">
        <v>13275.11</v>
      </c>
      <c r="O1568">
        <v>114173.44</v>
      </c>
      <c r="P1568" t="s">
        <v>25</v>
      </c>
      <c r="Q1568" t="s">
        <v>26</v>
      </c>
    </row>
    <row r="1569" spans="1:17" x14ac:dyDescent="0.25">
      <c r="A1569" t="s">
        <v>1686</v>
      </c>
      <c r="B1569" s="1">
        <v>45979</v>
      </c>
      <c r="C1569" t="s">
        <v>60</v>
      </c>
      <c r="D1569" t="s">
        <v>123</v>
      </c>
      <c r="E1569" t="s">
        <v>20</v>
      </c>
      <c r="F1569" t="s">
        <v>71</v>
      </c>
      <c r="G1569" t="s">
        <v>89</v>
      </c>
      <c r="H1569" t="s">
        <v>44</v>
      </c>
      <c r="I1569" t="s">
        <v>152</v>
      </c>
      <c r="J1569">
        <v>42</v>
      </c>
      <c r="K1569">
        <v>41469.47</v>
      </c>
      <c r="L1569">
        <v>1741717.74</v>
      </c>
      <c r="M1569">
        <v>0</v>
      </c>
      <c r="N1569">
        <v>0</v>
      </c>
      <c r="O1569">
        <v>1741717.74</v>
      </c>
      <c r="P1569" t="s">
        <v>32</v>
      </c>
      <c r="Q1569" t="s">
        <v>32</v>
      </c>
    </row>
    <row r="1570" spans="1:17" x14ac:dyDescent="0.25">
      <c r="A1570" t="s">
        <v>1687</v>
      </c>
      <c r="B1570" s="1">
        <v>45958</v>
      </c>
      <c r="C1570" t="s">
        <v>18</v>
      </c>
      <c r="D1570" t="s">
        <v>19</v>
      </c>
      <c r="E1570" t="s">
        <v>41</v>
      </c>
      <c r="F1570" t="s">
        <v>105</v>
      </c>
      <c r="G1570" t="s">
        <v>81</v>
      </c>
      <c r="H1570" t="s">
        <v>67</v>
      </c>
      <c r="I1570" t="s">
        <v>68</v>
      </c>
      <c r="J1570">
        <v>8</v>
      </c>
      <c r="K1570">
        <v>32101.35</v>
      </c>
      <c r="L1570">
        <v>256810.8</v>
      </c>
      <c r="M1570">
        <v>46943.55</v>
      </c>
      <c r="N1570">
        <v>0</v>
      </c>
      <c r="O1570">
        <v>209867.25</v>
      </c>
      <c r="P1570" t="s">
        <v>32</v>
      </c>
      <c r="Q1570" t="s">
        <v>26</v>
      </c>
    </row>
    <row r="1571" spans="1:17" x14ac:dyDescent="0.25">
      <c r="A1571" t="s">
        <v>1688</v>
      </c>
      <c r="B1571" s="1">
        <v>45957</v>
      </c>
      <c r="C1571" t="s">
        <v>79</v>
      </c>
      <c r="D1571" t="s">
        <v>101</v>
      </c>
      <c r="E1571" t="s">
        <v>20</v>
      </c>
      <c r="F1571" t="s">
        <v>36</v>
      </c>
      <c r="G1571" t="s">
        <v>29</v>
      </c>
      <c r="H1571" t="s">
        <v>94</v>
      </c>
      <c r="I1571" t="s">
        <v>177</v>
      </c>
      <c r="J1571">
        <v>27</v>
      </c>
      <c r="K1571">
        <v>620.76</v>
      </c>
      <c r="L1571">
        <v>16760.52</v>
      </c>
      <c r="M1571">
        <v>0</v>
      </c>
      <c r="N1571">
        <v>0</v>
      </c>
      <c r="O1571">
        <v>16760.52</v>
      </c>
      <c r="P1571" t="s">
        <v>32</v>
      </c>
      <c r="Q1571" t="s">
        <v>32</v>
      </c>
    </row>
    <row r="1572" spans="1:17" x14ac:dyDescent="0.25">
      <c r="A1572" t="s">
        <v>1689</v>
      </c>
      <c r="B1572" s="1">
        <v>46008</v>
      </c>
      <c r="C1572" t="s">
        <v>18</v>
      </c>
      <c r="D1572" t="s">
        <v>34</v>
      </c>
      <c r="E1572" t="s">
        <v>49</v>
      </c>
      <c r="F1572" t="s">
        <v>36</v>
      </c>
      <c r="G1572" t="s">
        <v>140</v>
      </c>
      <c r="H1572" t="s">
        <v>94</v>
      </c>
      <c r="I1572" t="s">
        <v>193</v>
      </c>
      <c r="J1572">
        <v>49</v>
      </c>
      <c r="K1572">
        <v>4540.7</v>
      </c>
      <c r="L1572">
        <v>222494.3</v>
      </c>
      <c r="M1572">
        <v>0</v>
      </c>
      <c r="N1572">
        <v>0</v>
      </c>
      <c r="O1572">
        <v>222494.3</v>
      </c>
      <c r="P1572" t="s">
        <v>73</v>
      </c>
      <c r="Q1572" t="s">
        <v>26</v>
      </c>
    </row>
    <row r="1573" spans="1:17" x14ac:dyDescent="0.25">
      <c r="A1573" t="s">
        <v>1690</v>
      </c>
      <c r="B1573" s="1">
        <v>46028</v>
      </c>
      <c r="C1573" t="s">
        <v>79</v>
      </c>
      <c r="D1573" t="s">
        <v>107</v>
      </c>
      <c r="E1573" t="s">
        <v>20</v>
      </c>
      <c r="F1573" t="s">
        <v>36</v>
      </c>
      <c r="G1573" t="s">
        <v>85</v>
      </c>
      <c r="H1573" t="s">
        <v>38</v>
      </c>
      <c r="I1573" t="s">
        <v>120</v>
      </c>
      <c r="J1573">
        <v>46</v>
      </c>
      <c r="K1573">
        <v>7029.3</v>
      </c>
      <c r="L1573">
        <v>323347.8</v>
      </c>
      <c r="M1573">
        <v>37109.9</v>
      </c>
      <c r="N1573">
        <v>31543.69</v>
      </c>
      <c r="O1573">
        <v>254694.21</v>
      </c>
      <c r="P1573" t="s">
        <v>25</v>
      </c>
      <c r="Q1573" t="s">
        <v>26</v>
      </c>
    </row>
    <row r="1574" spans="1:17" x14ac:dyDescent="0.25">
      <c r="A1574" t="s">
        <v>1691</v>
      </c>
      <c r="B1574" s="1">
        <v>46034</v>
      </c>
      <c r="C1574" t="s">
        <v>54</v>
      </c>
      <c r="D1574" t="s">
        <v>133</v>
      </c>
      <c r="E1574" t="s">
        <v>35</v>
      </c>
      <c r="F1574" t="s">
        <v>42</v>
      </c>
      <c r="G1574" t="s">
        <v>81</v>
      </c>
      <c r="H1574" t="s">
        <v>67</v>
      </c>
      <c r="I1574" t="s">
        <v>170</v>
      </c>
      <c r="J1574">
        <v>44</v>
      </c>
      <c r="K1574">
        <v>835.96</v>
      </c>
      <c r="L1574">
        <v>36782.239999999998</v>
      </c>
      <c r="M1574">
        <v>7176.96</v>
      </c>
      <c r="N1574">
        <v>0</v>
      </c>
      <c r="O1574">
        <v>29605.279999999999</v>
      </c>
      <c r="P1574" t="s">
        <v>31</v>
      </c>
      <c r="Q1574" t="s">
        <v>32</v>
      </c>
    </row>
    <row r="1575" spans="1:17" x14ac:dyDescent="0.25">
      <c r="A1575" t="s">
        <v>1692</v>
      </c>
      <c r="B1575" s="1">
        <v>45971</v>
      </c>
      <c r="C1575" t="s">
        <v>47</v>
      </c>
      <c r="D1575" t="s">
        <v>114</v>
      </c>
      <c r="E1575" t="s">
        <v>49</v>
      </c>
      <c r="F1575" t="s">
        <v>112</v>
      </c>
      <c r="G1575" t="s">
        <v>22</v>
      </c>
      <c r="H1575" t="s">
        <v>94</v>
      </c>
      <c r="I1575" t="s">
        <v>95</v>
      </c>
      <c r="J1575">
        <v>16</v>
      </c>
      <c r="K1575">
        <v>11664.64</v>
      </c>
      <c r="L1575">
        <v>186634.23999999999</v>
      </c>
      <c r="M1575">
        <v>22975.91</v>
      </c>
      <c r="N1575">
        <v>0</v>
      </c>
      <c r="O1575">
        <v>163658.32999999999</v>
      </c>
      <c r="P1575" t="s">
        <v>32</v>
      </c>
      <c r="Q1575" t="s">
        <v>26</v>
      </c>
    </row>
    <row r="1576" spans="1:17" x14ac:dyDescent="0.25">
      <c r="A1576" t="s">
        <v>1693</v>
      </c>
      <c r="B1576" s="1">
        <v>45987</v>
      </c>
      <c r="C1576" t="s">
        <v>60</v>
      </c>
      <c r="D1576" t="s">
        <v>151</v>
      </c>
      <c r="E1576" t="s">
        <v>49</v>
      </c>
      <c r="F1576" t="s">
        <v>84</v>
      </c>
      <c r="G1576" t="s">
        <v>66</v>
      </c>
      <c r="H1576" t="s">
        <v>57</v>
      </c>
      <c r="I1576" t="s">
        <v>92</v>
      </c>
      <c r="J1576">
        <v>13</v>
      </c>
      <c r="K1576">
        <v>41171.39</v>
      </c>
      <c r="L1576">
        <v>535228.06999999995</v>
      </c>
      <c r="M1576">
        <v>19654.830000000002</v>
      </c>
      <c r="N1576">
        <v>0</v>
      </c>
      <c r="O1576">
        <v>515573.24</v>
      </c>
      <c r="P1576" t="s">
        <v>31</v>
      </c>
      <c r="Q1576" t="s">
        <v>32</v>
      </c>
    </row>
    <row r="1577" spans="1:17" x14ac:dyDescent="0.25">
      <c r="A1577" t="s">
        <v>1694</v>
      </c>
      <c r="B1577" s="1">
        <v>46040</v>
      </c>
      <c r="C1577" t="s">
        <v>47</v>
      </c>
      <c r="D1577" t="s">
        <v>88</v>
      </c>
      <c r="E1577" t="s">
        <v>35</v>
      </c>
      <c r="F1577" t="s">
        <v>62</v>
      </c>
      <c r="G1577" t="s">
        <v>37</v>
      </c>
      <c r="H1577" t="s">
        <v>57</v>
      </c>
      <c r="I1577" t="s">
        <v>72</v>
      </c>
      <c r="J1577">
        <v>24</v>
      </c>
      <c r="K1577">
        <v>41566.61</v>
      </c>
      <c r="L1577">
        <v>997598.64</v>
      </c>
      <c r="M1577">
        <v>90785.22</v>
      </c>
      <c r="N1577">
        <v>0</v>
      </c>
      <c r="O1577">
        <v>906813.42</v>
      </c>
      <c r="P1577" t="s">
        <v>25</v>
      </c>
      <c r="Q1577" t="s">
        <v>26</v>
      </c>
    </row>
    <row r="1578" spans="1:17" x14ac:dyDescent="0.25">
      <c r="A1578" t="s">
        <v>1695</v>
      </c>
      <c r="B1578" s="1">
        <v>46015</v>
      </c>
      <c r="C1578" t="s">
        <v>60</v>
      </c>
      <c r="D1578" t="s">
        <v>123</v>
      </c>
      <c r="E1578" t="s">
        <v>41</v>
      </c>
      <c r="F1578" t="s">
        <v>62</v>
      </c>
      <c r="G1578" t="s">
        <v>51</v>
      </c>
      <c r="H1578" t="s">
        <v>38</v>
      </c>
      <c r="I1578" t="s">
        <v>175</v>
      </c>
      <c r="J1578">
        <v>40</v>
      </c>
      <c r="K1578">
        <v>32384.17</v>
      </c>
      <c r="L1578">
        <v>1295366.8</v>
      </c>
      <c r="M1578">
        <v>45086.07</v>
      </c>
      <c r="N1578">
        <v>0</v>
      </c>
      <c r="O1578">
        <v>1250280.73</v>
      </c>
      <c r="P1578" t="s">
        <v>32</v>
      </c>
      <c r="Q1578" t="s">
        <v>26</v>
      </c>
    </row>
    <row r="1579" spans="1:17" x14ac:dyDescent="0.25">
      <c r="A1579" t="s">
        <v>1696</v>
      </c>
      <c r="B1579" s="1">
        <v>45956</v>
      </c>
      <c r="C1579" t="s">
        <v>18</v>
      </c>
      <c r="D1579" t="s">
        <v>28</v>
      </c>
      <c r="E1579" t="s">
        <v>20</v>
      </c>
      <c r="F1579" t="s">
        <v>21</v>
      </c>
      <c r="G1579" t="s">
        <v>138</v>
      </c>
      <c r="H1579" t="s">
        <v>38</v>
      </c>
      <c r="I1579" t="s">
        <v>108</v>
      </c>
      <c r="J1579">
        <v>49</v>
      </c>
      <c r="K1579">
        <v>39804.01</v>
      </c>
      <c r="L1579">
        <v>1950396.49</v>
      </c>
      <c r="M1579">
        <v>0</v>
      </c>
      <c r="N1579">
        <v>0</v>
      </c>
      <c r="O1579">
        <v>1950396.49</v>
      </c>
      <c r="P1579" t="s">
        <v>25</v>
      </c>
      <c r="Q1579" t="s">
        <v>26</v>
      </c>
    </row>
    <row r="1580" spans="1:17" x14ac:dyDescent="0.25">
      <c r="A1580" t="s">
        <v>1697</v>
      </c>
      <c r="B1580" s="1">
        <v>46045</v>
      </c>
      <c r="C1580" t="s">
        <v>54</v>
      </c>
      <c r="D1580" t="s">
        <v>97</v>
      </c>
      <c r="E1580" t="s">
        <v>35</v>
      </c>
      <c r="F1580" t="s">
        <v>50</v>
      </c>
      <c r="G1580" t="s">
        <v>89</v>
      </c>
      <c r="H1580" t="s">
        <v>38</v>
      </c>
      <c r="I1580" t="s">
        <v>82</v>
      </c>
      <c r="J1580">
        <v>36</v>
      </c>
      <c r="K1580">
        <v>24228.71</v>
      </c>
      <c r="L1580">
        <v>872233.56</v>
      </c>
      <c r="M1580">
        <v>75010.509999999995</v>
      </c>
      <c r="N1580">
        <v>0</v>
      </c>
      <c r="O1580">
        <v>797223.05</v>
      </c>
      <c r="P1580" t="s">
        <v>25</v>
      </c>
      <c r="Q1580" t="s">
        <v>26</v>
      </c>
    </row>
    <row r="1581" spans="1:17" x14ac:dyDescent="0.25">
      <c r="A1581" t="s">
        <v>1698</v>
      </c>
      <c r="B1581" s="1">
        <v>45958</v>
      </c>
      <c r="C1581" t="s">
        <v>60</v>
      </c>
      <c r="D1581" t="s">
        <v>123</v>
      </c>
      <c r="E1581" t="s">
        <v>35</v>
      </c>
      <c r="F1581" t="s">
        <v>105</v>
      </c>
      <c r="G1581" t="s">
        <v>81</v>
      </c>
      <c r="H1581" t="s">
        <v>57</v>
      </c>
      <c r="I1581" t="s">
        <v>148</v>
      </c>
      <c r="J1581">
        <v>28</v>
      </c>
      <c r="K1581">
        <v>27692.560000000001</v>
      </c>
      <c r="L1581">
        <v>775391.68</v>
      </c>
      <c r="M1581">
        <v>67828.28</v>
      </c>
      <c r="N1581">
        <v>0</v>
      </c>
      <c r="O1581">
        <v>707563.4</v>
      </c>
      <c r="P1581" t="s">
        <v>31</v>
      </c>
      <c r="Q1581" t="s">
        <v>32</v>
      </c>
    </row>
    <row r="1582" spans="1:17" x14ac:dyDescent="0.25">
      <c r="A1582" t="s">
        <v>1699</v>
      </c>
      <c r="B1582" s="1">
        <v>45957</v>
      </c>
      <c r="C1582" t="s">
        <v>79</v>
      </c>
      <c r="D1582" t="s">
        <v>80</v>
      </c>
      <c r="E1582" t="s">
        <v>41</v>
      </c>
      <c r="F1582" t="s">
        <v>36</v>
      </c>
      <c r="G1582" t="s">
        <v>102</v>
      </c>
      <c r="H1582" t="s">
        <v>94</v>
      </c>
      <c r="I1582" t="s">
        <v>177</v>
      </c>
      <c r="J1582">
        <v>35</v>
      </c>
      <c r="K1582">
        <v>25336.34</v>
      </c>
      <c r="L1582">
        <v>886771.9</v>
      </c>
      <c r="M1582">
        <v>74028.3</v>
      </c>
      <c r="N1582">
        <v>0</v>
      </c>
      <c r="O1582">
        <v>812743.6</v>
      </c>
      <c r="P1582" t="s">
        <v>25</v>
      </c>
      <c r="Q1582" t="s">
        <v>26</v>
      </c>
    </row>
    <row r="1583" spans="1:17" x14ac:dyDescent="0.25">
      <c r="A1583" t="s">
        <v>1700</v>
      </c>
      <c r="B1583" s="1">
        <v>46010</v>
      </c>
      <c r="C1583" t="s">
        <v>47</v>
      </c>
      <c r="D1583" t="s">
        <v>127</v>
      </c>
      <c r="E1583" t="s">
        <v>35</v>
      </c>
      <c r="F1583" t="s">
        <v>21</v>
      </c>
      <c r="G1583" t="s">
        <v>43</v>
      </c>
      <c r="H1583" t="s">
        <v>23</v>
      </c>
      <c r="I1583" t="s">
        <v>30</v>
      </c>
      <c r="J1583">
        <v>37</v>
      </c>
      <c r="K1583">
        <v>915.08</v>
      </c>
      <c r="L1583">
        <v>33857.96</v>
      </c>
      <c r="M1583">
        <v>24.48</v>
      </c>
      <c r="N1583">
        <v>0</v>
      </c>
      <c r="O1583">
        <v>33833.480000000003</v>
      </c>
      <c r="P1583" t="s">
        <v>32</v>
      </c>
      <c r="Q1583" t="s">
        <v>26</v>
      </c>
    </row>
    <row r="1584" spans="1:17" x14ac:dyDescent="0.25">
      <c r="A1584" t="s">
        <v>1701</v>
      </c>
      <c r="B1584" s="1">
        <v>45968</v>
      </c>
      <c r="C1584" t="s">
        <v>54</v>
      </c>
      <c r="D1584" t="s">
        <v>55</v>
      </c>
      <c r="E1584" t="s">
        <v>35</v>
      </c>
      <c r="F1584" t="s">
        <v>36</v>
      </c>
      <c r="G1584" t="s">
        <v>89</v>
      </c>
      <c r="H1584" t="s">
        <v>44</v>
      </c>
      <c r="I1584" t="s">
        <v>152</v>
      </c>
      <c r="J1584">
        <v>23</v>
      </c>
      <c r="K1584">
        <v>23599.47</v>
      </c>
      <c r="L1584">
        <v>542787.81000000006</v>
      </c>
      <c r="M1584">
        <v>33623.879999999997</v>
      </c>
      <c r="N1584">
        <v>0</v>
      </c>
      <c r="O1584">
        <v>509163.93</v>
      </c>
      <c r="P1584" t="s">
        <v>32</v>
      </c>
      <c r="Q1584" t="s">
        <v>26</v>
      </c>
    </row>
    <row r="1585" spans="1:17" x14ac:dyDescent="0.25">
      <c r="A1585" t="s">
        <v>1702</v>
      </c>
      <c r="B1585" s="1">
        <v>45959</v>
      </c>
      <c r="C1585" t="s">
        <v>47</v>
      </c>
      <c r="D1585" t="s">
        <v>88</v>
      </c>
      <c r="E1585" t="s">
        <v>20</v>
      </c>
      <c r="F1585" t="s">
        <v>137</v>
      </c>
      <c r="G1585" t="s">
        <v>102</v>
      </c>
      <c r="H1585" t="s">
        <v>38</v>
      </c>
      <c r="I1585" t="s">
        <v>175</v>
      </c>
      <c r="J1585">
        <v>44</v>
      </c>
      <c r="K1585">
        <v>20898.66</v>
      </c>
      <c r="L1585">
        <v>919541.04</v>
      </c>
      <c r="M1585">
        <v>0</v>
      </c>
      <c r="N1585">
        <v>0</v>
      </c>
      <c r="O1585">
        <v>919541.04</v>
      </c>
      <c r="P1585" t="s">
        <v>73</v>
      </c>
      <c r="Q1585" t="s">
        <v>32</v>
      </c>
    </row>
    <row r="1586" spans="1:17" x14ac:dyDescent="0.25">
      <c r="A1586" t="s">
        <v>1703</v>
      </c>
      <c r="B1586" s="1">
        <v>45976</v>
      </c>
      <c r="C1586" t="s">
        <v>54</v>
      </c>
      <c r="D1586" t="s">
        <v>55</v>
      </c>
      <c r="E1586" t="s">
        <v>49</v>
      </c>
      <c r="F1586" t="s">
        <v>137</v>
      </c>
      <c r="G1586" t="s">
        <v>56</v>
      </c>
      <c r="H1586" t="s">
        <v>57</v>
      </c>
      <c r="I1586" t="s">
        <v>72</v>
      </c>
      <c r="J1586">
        <v>25</v>
      </c>
      <c r="K1586">
        <v>48147.44</v>
      </c>
      <c r="L1586">
        <v>1203686</v>
      </c>
      <c r="M1586">
        <v>0</v>
      </c>
      <c r="N1586">
        <v>0</v>
      </c>
      <c r="O1586">
        <v>1203686</v>
      </c>
      <c r="P1586" t="s">
        <v>32</v>
      </c>
      <c r="Q1586" t="s">
        <v>32</v>
      </c>
    </row>
    <row r="1587" spans="1:17" x14ac:dyDescent="0.25">
      <c r="A1587" t="s">
        <v>1704</v>
      </c>
      <c r="B1587" s="1">
        <v>46041</v>
      </c>
      <c r="C1587" t="s">
        <v>79</v>
      </c>
      <c r="D1587" t="s">
        <v>80</v>
      </c>
      <c r="E1587" t="s">
        <v>35</v>
      </c>
      <c r="F1587" t="s">
        <v>21</v>
      </c>
      <c r="G1587" t="s">
        <v>102</v>
      </c>
      <c r="H1587" t="s">
        <v>57</v>
      </c>
      <c r="I1587" t="s">
        <v>58</v>
      </c>
      <c r="J1587">
        <v>16</v>
      </c>
      <c r="K1587">
        <v>18855.37</v>
      </c>
      <c r="L1587">
        <v>301685.92</v>
      </c>
      <c r="M1587">
        <v>0</v>
      </c>
      <c r="N1587">
        <v>0</v>
      </c>
      <c r="O1587">
        <v>301685.92</v>
      </c>
      <c r="P1587" t="s">
        <v>32</v>
      </c>
      <c r="Q1587" t="s">
        <v>26</v>
      </c>
    </row>
    <row r="1588" spans="1:17" x14ac:dyDescent="0.25">
      <c r="A1588" t="s">
        <v>1705</v>
      </c>
      <c r="B1588" s="1">
        <v>45954</v>
      </c>
      <c r="C1588" t="s">
        <v>47</v>
      </c>
      <c r="D1588" t="s">
        <v>88</v>
      </c>
      <c r="E1588" t="s">
        <v>41</v>
      </c>
      <c r="F1588" t="s">
        <v>21</v>
      </c>
      <c r="G1588" t="s">
        <v>140</v>
      </c>
      <c r="H1588" t="s">
        <v>44</v>
      </c>
      <c r="I1588" t="s">
        <v>135</v>
      </c>
      <c r="J1588">
        <v>47</v>
      </c>
      <c r="K1588">
        <v>26110.77</v>
      </c>
      <c r="L1588">
        <v>1227206.19</v>
      </c>
      <c r="M1588">
        <v>47478.39</v>
      </c>
      <c r="N1588">
        <v>0</v>
      </c>
      <c r="O1588">
        <v>1179727.8</v>
      </c>
      <c r="P1588" t="s">
        <v>73</v>
      </c>
      <c r="Q1588" t="s">
        <v>32</v>
      </c>
    </row>
    <row r="1589" spans="1:17" x14ac:dyDescent="0.25">
      <c r="A1589" t="s">
        <v>1706</v>
      </c>
      <c r="B1589" s="1">
        <v>45955</v>
      </c>
      <c r="C1589" t="s">
        <v>18</v>
      </c>
      <c r="D1589" t="s">
        <v>19</v>
      </c>
      <c r="E1589" t="s">
        <v>41</v>
      </c>
      <c r="F1589" t="s">
        <v>42</v>
      </c>
      <c r="G1589" t="s">
        <v>56</v>
      </c>
      <c r="H1589" t="s">
        <v>44</v>
      </c>
      <c r="I1589" t="s">
        <v>281</v>
      </c>
      <c r="J1589">
        <v>48</v>
      </c>
      <c r="K1589">
        <v>26121.29</v>
      </c>
      <c r="L1589">
        <v>1253821.92</v>
      </c>
      <c r="M1589">
        <v>41215.1</v>
      </c>
      <c r="N1589">
        <v>0</v>
      </c>
      <c r="O1589">
        <v>1212606.82</v>
      </c>
      <c r="P1589" t="s">
        <v>25</v>
      </c>
      <c r="Q1589" t="s">
        <v>26</v>
      </c>
    </row>
    <row r="1590" spans="1:17" x14ac:dyDescent="0.25">
      <c r="A1590" t="s">
        <v>1707</v>
      </c>
      <c r="B1590" s="1">
        <v>45972</v>
      </c>
      <c r="C1590" t="s">
        <v>18</v>
      </c>
      <c r="D1590" t="s">
        <v>28</v>
      </c>
      <c r="E1590" t="s">
        <v>20</v>
      </c>
      <c r="F1590" t="s">
        <v>71</v>
      </c>
      <c r="G1590" t="s">
        <v>85</v>
      </c>
      <c r="H1590" t="s">
        <v>67</v>
      </c>
      <c r="I1590" t="s">
        <v>77</v>
      </c>
      <c r="J1590">
        <v>1</v>
      </c>
      <c r="K1590">
        <v>26211.87</v>
      </c>
      <c r="L1590">
        <v>26211.87</v>
      </c>
      <c r="M1590">
        <v>0</v>
      </c>
      <c r="N1590">
        <v>0</v>
      </c>
      <c r="O1590">
        <v>26211.87</v>
      </c>
      <c r="P1590" t="s">
        <v>32</v>
      </c>
      <c r="Q1590" t="s">
        <v>32</v>
      </c>
    </row>
    <row r="1591" spans="1:17" x14ac:dyDescent="0.25">
      <c r="A1591" t="s">
        <v>1708</v>
      </c>
      <c r="B1591" s="1">
        <v>46045</v>
      </c>
      <c r="C1591" t="s">
        <v>54</v>
      </c>
      <c r="D1591" t="s">
        <v>97</v>
      </c>
      <c r="E1591" t="s">
        <v>20</v>
      </c>
      <c r="F1591" t="s">
        <v>36</v>
      </c>
      <c r="G1591" t="s">
        <v>138</v>
      </c>
      <c r="H1591" t="s">
        <v>67</v>
      </c>
      <c r="I1591" t="s">
        <v>201</v>
      </c>
      <c r="J1591">
        <v>46</v>
      </c>
      <c r="K1591">
        <v>2899.31</v>
      </c>
      <c r="L1591">
        <v>133368.26</v>
      </c>
      <c r="M1591">
        <v>20009.580000000002</v>
      </c>
      <c r="N1591">
        <v>0</v>
      </c>
      <c r="O1591">
        <v>113358.68</v>
      </c>
      <c r="P1591" t="s">
        <v>31</v>
      </c>
      <c r="Q1591" t="s">
        <v>32</v>
      </c>
    </row>
    <row r="1592" spans="1:17" x14ac:dyDescent="0.25">
      <c r="A1592" t="s">
        <v>1709</v>
      </c>
      <c r="B1592" s="1">
        <v>45979</v>
      </c>
      <c r="C1592" t="s">
        <v>60</v>
      </c>
      <c r="D1592" t="s">
        <v>65</v>
      </c>
      <c r="E1592" t="s">
        <v>35</v>
      </c>
      <c r="F1592" t="s">
        <v>50</v>
      </c>
      <c r="G1592" t="s">
        <v>43</v>
      </c>
      <c r="H1592" t="s">
        <v>94</v>
      </c>
      <c r="I1592" t="s">
        <v>144</v>
      </c>
      <c r="J1592">
        <v>11</v>
      </c>
      <c r="K1592">
        <v>30989.61</v>
      </c>
      <c r="L1592">
        <v>340885.71</v>
      </c>
      <c r="M1592">
        <v>5503.69</v>
      </c>
      <c r="N1592">
        <v>0</v>
      </c>
      <c r="O1592">
        <v>335382.02</v>
      </c>
      <c r="P1592" t="s">
        <v>32</v>
      </c>
      <c r="Q1592" t="s">
        <v>26</v>
      </c>
    </row>
    <row r="1593" spans="1:17" x14ac:dyDescent="0.25">
      <c r="A1593" t="s">
        <v>1710</v>
      </c>
      <c r="B1593" s="1">
        <v>45978</v>
      </c>
      <c r="C1593" t="s">
        <v>54</v>
      </c>
      <c r="D1593" t="s">
        <v>133</v>
      </c>
      <c r="E1593" t="s">
        <v>35</v>
      </c>
      <c r="F1593" t="s">
        <v>112</v>
      </c>
      <c r="G1593" t="s">
        <v>37</v>
      </c>
      <c r="H1593" t="s">
        <v>38</v>
      </c>
      <c r="I1593" t="s">
        <v>108</v>
      </c>
      <c r="J1593">
        <v>50</v>
      </c>
      <c r="K1593">
        <v>21856.51</v>
      </c>
      <c r="L1593">
        <v>1092825.5</v>
      </c>
      <c r="M1593">
        <v>0</v>
      </c>
      <c r="N1593">
        <v>0</v>
      </c>
      <c r="O1593">
        <v>1092825.5</v>
      </c>
      <c r="P1593" t="s">
        <v>73</v>
      </c>
      <c r="Q1593" t="s">
        <v>32</v>
      </c>
    </row>
    <row r="1594" spans="1:17" x14ac:dyDescent="0.25">
      <c r="A1594" t="s">
        <v>1711</v>
      </c>
      <c r="B1594" s="1">
        <v>45954</v>
      </c>
      <c r="C1594" t="s">
        <v>47</v>
      </c>
      <c r="D1594" t="s">
        <v>114</v>
      </c>
      <c r="E1594" t="s">
        <v>35</v>
      </c>
      <c r="F1594" t="s">
        <v>50</v>
      </c>
      <c r="G1594" t="s">
        <v>102</v>
      </c>
      <c r="H1594" t="s">
        <v>38</v>
      </c>
      <c r="I1594" t="s">
        <v>82</v>
      </c>
      <c r="J1594">
        <v>26</v>
      </c>
      <c r="K1594">
        <v>5647.38</v>
      </c>
      <c r="L1594">
        <v>146831.88</v>
      </c>
      <c r="M1594">
        <v>14897.12</v>
      </c>
      <c r="N1594">
        <v>0</v>
      </c>
      <c r="O1594">
        <v>131934.76</v>
      </c>
      <c r="P1594" t="s">
        <v>31</v>
      </c>
      <c r="Q1594" t="s">
        <v>32</v>
      </c>
    </row>
    <row r="1595" spans="1:17" x14ac:dyDescent="0.25">
      <c r="A1595" t="s">
        <v>1712</v>
      </c>
      <c r="B1595" s="1">
        <v>46018</v>
      </c>
      <c r="C1595" t="s">
        <v>47</v>
      </c>
      <c r="D1595" t="s">
        <v>114</v>
      </c>
      <c r="E1595" t="s">
        <v>20</v>
      </c>
      <c r="F1595" t="s">
        <v>84</v>
      </c>
      <c r="G1595" t="s">
        <v>140</v>
      </c>
      <c r="H1595" t="s">
        <v>23</v>
      </c>
      <c r="I1595" t="s">
        <v>52</v>
      </c>
      <c r="J1595">
        <v>38</v>
      </c>
      <c r="K1595">
        <v>40101.78</v>
      </c>
      <c r="L1595">
        <v>1523867.64</v>
      </c>
      <c r="M1595">
        <v>0</v>
      </c>
      <c r="N1595">
        <v>0</v>
      </c>
      <c r="O1595">
        <v>1523867.64</v>
      </c>
      <c r="P1595" t="s">
        <v>31</v>
      </c>
      <c r="Q1595" t="s">
        <v>32</v>
      </c>
    </row>
    <row r="1596" spans="1:17" x14ac:dyDescent="0.25">
      <c r="A1596" t="s">
        <v>1713</v>
      </c>
      <c r="B1596" s="1">
        <v>46021</v>
      </c>
      <c r="C1596" t="s">
        <v>79</v>
      </c>
      <c r="D1596" t="s">
        <v>80</v>
      </c>
      <c r="E1596" t="s">
        <v>35</v>
      </c>
      <c r="F1596" t="s">
        <v>42</v>
      </c>
      <c r="G1596" t="s">
        <v>89</v>
      </c>
      <c r="H1596" t="s">
        <v>38</v>
      </c>
      <c r="I1596" t="s">
        <v>175</v>
      </c>
      <c r="J1596">
        <v>49</v>
      </c>
      <c r="K1596">
        <v>27651.37</v>
      </c>
      <c r="L1596">
        <v>1354917.13</v>
      </c>
      <c r="M1596">
        <v>0</v>
      </c>
      <c r="N1596">
        <v>328465.81</v>
      </c>
      <c r="O1596">
        <v>1026451.32</v>
      </c>
      <c r="P1596" t="s">
        <v>25</v>
      </c>
      <c r="Q1596" t="s">
        <v>26</v>
      </c>
    </row>
    <row r="1597" spans="1:17" x14ac:dyDescent="0.25">
      <c r="A1597" t="s">
        <v>1714</v>
      </c>
      <c r="B1597" s="1">
        <v>46033</v>
      </c>
      <c r="C1597" t="s">
        <v>79</v>
      </c>
      <c r="D1597" t="s">
        <v>80</v>
      </c>
      <c r="E1597" t="s">
        <v>49</v>
      </c>
      <c r="F1597" t="s">
        <v>71</v>
      </c>
      <c r="G1597" t="s">
        <v>85</v>
      </c>
      <c r="H1597" t="s">
        <v>94</v>
      </c>
      <c r="I1597" t="s">
        <v>144</v>
      </c>
      <c r="J1597">
        <v>20</v>
      </c>
      <c r="K1597">
        <v>40540.769999999997</v>
      </c>
      <c r="L1597">
        <v>810815.4</v>
      </c>
      <c r="M1597">
        <v>0</v>
      </c>
      <c r="N1597">
        <v>0</v>
      </c>
      <c r="O1597">
        <v>810815.4</v>
      </c>
      <c r="P1597" t="s">
        <v>73</v>
      </c>
      <c r="Q1597" t="s">
        <v>32</v>
      </c>
    </row>
    <row r="1598" spans="1:17" x14ac:dyDescent="0.25">
      <c r="A1598" t="s">
        <v>1715</v>
      </c>
      <c r="B1598" s="1">
        <v>45973</v>
      </c>
      <c r="C1598" t="s">
        <v>47</v>
      </c>
      <c r="D1598" t="s">
        <v>114</v>
      </c>
      <c r="E1598" t="s">
        <v>49</v>
      </c>
      <c r="F1598" t="s">
        <v>71</v>
      </c>
      <c r="G1598" t="s">
        <v>22</v>
      </c>
      <c r="H1598" t="s">
        <v>44</v>
      </c>
      <c r="I1598" t="s">
        <v>45</v>
      </c>
      <c r="J1598">
        <v>40</v>
      </c>
      <c r="K1598">
        <v>32359.73</v>
      </c>
      <c r="L1598">
        <v>1294389.2</v>
      </c>
      <c r="M1598">
        <v>0</v>
      </c>
      <c r="N1598">
        <v>0</v>
      </c>
      <c r="O1598">
        <v>1294389.2</v>
      </c>
      <c r="P1598" t="s">
        <v>73</v>
      </c>
      <c r="Q1598" t="s">
        <v>26</v>
      </c>
    </row>
    <row r="1599" spans="1:17" x14ac:dyDescent="0.25">
      <c r="A1599" t="s">
        <v>1716</v>
      </c>
      <c r="B1599" s="1">
        <v>45990</v>
      </c>
      <c r="C1599" t="s">
        <v>79</v>
      </c>
      <c r="D1599" t="s">
        <v>91</v>
      </c>
      <c r="E1599" t="s">
        <v>49</v>
      </c>
      <c r="F1599" t="s">
        <v>62</v>
      </c>
      <c r="G1599" t="s">
        <v>81</v>
      </c>
      <c r="H1599" t="s">
        <v>23</v>
      </c>
      <c r="I1599" t="s">
        <v>110</v>
      </c>
      <c r="J1599">
        <v>15</v>
      </c>
      <c r="K1599">
        <v>47081.2</v>
      </c>
      <c r="L1599">
        <v>706218</v>
      </c>
      <c r="M1599">
        <v>30032.67</v>
      </c>
      <c r="N1599">
        <v>0</v>
      </c>
      <c r="O1599">
        <v>676185.33</v>
      </c>
      <c r="P1599" t="s">
        <v>32</v>
      </c>
      <c r="Q1599" t="s">
        <v>32</v>
      </c>
    </row>
    <row r="1600" spans="1:17" x14ac:dyDescent="0.25">
      <c r="A1600" t="s">
        <v>1717</v>
      </c>
      <c r="B1600" s="1">
        <v>46043</v>
      </c>
      <c r="C1600" t="s">
        <v>79</v>
      </c>
      <c r="D1600" t="s">
        <v>80</v>
      </c>
      <c r="E1600" t="s">
        <v>41</v>
      </c>
      <c r="F1600" t="s">
        <v>84</v>
      </c>
      <c r="G1600" t="s">
        <v>63</v>
      </c>
      <c r="H1600" t="s">
        <v>38</v>
      </c>
      <c r="I1600" t="s">
        <v>120</v>
      </c>
      <c r="J1600">
        <v>49</v>
      </c>
      <c r="K1600">
        <v>21921.33</v>
      </c>
      <c r="L1600">
        <v>1074145.17</v>
      </c>
      <c r="M1600">
        <v>69301.13</v>
      </c>
      <c r="N1600">
        <v>0</v>
      </c>
      <c r="O1600">
        <v>1004844.04</v>
      </c>
      <c r="P1600" t="s">
        <v>25</v>
      </c>
      <c r="Q1600" t="s">
        <v>32</v>
      </c>
    </row>
    <row r="1601" spans="1:17" x14ac:dyDescent="0.25">
      <c r="A1601" t="s">
        <v>1718</v>
      </c>
      <c r="B1601" s="1">
        <v>45989</v>
      </c>
      <c r="C1601" t="s">
        <v>54</v>
      </c>
      <c r="D1601" t="s">
        <v>133</v>
      </c>
      <c r="E1601" t="s">
        <v>35</v>
      </c>
      <c r="F1601" t="s">
        <v>36</v>
      </c>
      <c r="G1601" t="s">
        <v>22</v>
      </c>
      <c r="H1601" t="s">
        <v>38</v>
      </c>
      <c r="I1601" t="s">
        <v>86</v>
      </c>
      <c r="J1601">
        <v>37</v>
      </c>
      <c r="K1601">
        <v>5562.35</v>
      </c>
      <c r="L1601">
        <v>205806.95</v>
      </c>
      <c r="M1601">
        <v>31486.99</v>
      </c>
      <c r="N1601">
        <v>0</v>
      </c>
      <c r="O1601">
        <v>174319.96</v>
      </c>
      <c r="P1601" t="s">
        <v>32</v>
      </c>
      <c r="Q1601" t="s">
        <v>32</v>
      </c>
    </row>
    <row r="1602" spans="1:17" x14ac:dyDescent="0.25">
      <c r="A1602" t="s">
        <v>1719</v>
      </c>
      <c r="B1602" s="1">
        <v>45978</v>
      </c>
      <c r="C1602" t="s">
        <v>18</v>
      </c>
      <c r="D1602" t="s">
        <v>19</v>
      </c>
      <c r="E1602" t="s">
        <v>35</v>
      </c>
      <c r="F1602" t="s">
        <v>105</v>
      </c>
      <c r="G1602" t="s">
        <v>51</v>
      </c>
      <c r="H1602" t="s">
        <v>23</v>
      </c>
      <c r="I1602" t="s">
        <v>52</v>
      </c>
      <c r="J1602">
        <v>40</v>
      </c>
      <c r="K1602">
        <v>22020.39</v>
      </c>
      <c r="L1602">
        <v>880815.6</v>
      </c>
      <c r="M1602">
        <v>144836.62</v>
      </c>
      <c r="N1602">
        <v>0</v>
      </c>
      <c r="O1602">
        <v>735978.98</v>
      </c>
      <c r="P1602" t="s">
        <v>31</v>
      </c>
      <c r="Q1602" t="s">
        <v>32</v>
      </c>
    </row>
    <row r="1603" spans="1:17" x14ac:dyDescent="0.25">
      <c r="A1603" t="s">
        <v>1720</v>
      </c>
      <c r="B1603" s="1">
        <v>45978</v>
      </c>
      <c r="C1603" t="s">
        <v>60</v>
      </c>
      <c r="D1603" t="s">
        <v>61</v>
      </c>
      <c r="E1603" t="s">
        <v>41</v>
      </c>
      <c r="F1603" t="s">
        <v>36</v>
      </c>
      <c r="G1603" t="s">
        <v>37</v>
      </c>
      <c r="H1603" t="s">
        <v>57</v>
      </c>
      <c r="I1603" t="s">
        <v>118</v>
      </c>
      <c r="J1603">
        <v>22</v>
      </c>
      <c r="K1603">
        <v>24654.13</v>
      </c>
      <c r="L1603">
        <v>542390.86</v>
      </c>
      <c r="M1603">
        <v>49949.55</v>
      </c>
      <c r="N1603">
        <v>0</v>
      </c>
      <c r="O1603">
        <v>492441.31</v>
      </c>
      <c r="P1603" t="s">
        <v>25</v>
      </c>
      <c r="Q1603" t="s">
        <v>26</v>
      </c>
    </row>
    <row r="1604" spans="1:17" x14ac:dyDescent="0.25">
      <c r="A1604" t="s">
        <v>1721</v>
      </c>
      <c r="B1604" s="1">
        <v>45968</v>
      </c>
      <c r="C1604" t="s">
        <v>79</v>
      </c>
      <c r="D1604" t="s">
        <v>80</v>
      </c>
      <c r="E1604" t="s">
        <v>20</v>
      </c>
      <c r="F1604" t="s">
        <v>105</v>
      </c>
      <c r="G1604" t="s">
        <v>98</v>
      </c>
      <c r="H1604" t="s">
        <v>57</v>
      </c>
      <c r="I1604" t="s">
        <v>160</v>
      </c>
      <c r="J1604">
        <v>22</v>
      </c>
      <c r="K1604">
        <v>40599.74</v>
      </c>
      <c r="L1604">
        <v>893194.28</v>
      </c>
      <c r="M1604">
        <v>30390.73</v>
      </c>
      <c r="N1604">
        <v>0</v>
      </c>
      <c r="O1604">
        <v>862803.55</v>
      </c>
      <c r="P1604" t="s">
        <v>31</v>
      </c>
      <c r="Q1604" t="s">
        <v>32</v>
      </c>
    </row>
    <row r="1605" spans="1:17" x14ac:dyDescent="0.25">
      <c r="A1605" t="s">
        <v>1722</v>
      </c>
      <c r="B1605" s="1">
        <v>46037</v>
      </c>
      <c r="C1605" t="s">
        <v>47</v>
      </c>
      <c r="D1605" t="s">
        <v>114</v>
      </c>
      <c r="E1605" t="s">
        <v>49</v>
      </c>
      <c r="F1605" t="s">
        <v>112</v>
      </c>
      <c r="G1605" t="s">
        <v>138</v>
      </c>
      <c r="H1605" t="s">
        <v>23</v>
      </c>
      <c r="I1605" t="s">
        <v>131</v>
      </c>
      <c r="J1605">
        <v>43</v>
      </c>
      <c r="K1605">
        <v>37358.99</v>
      </c>
      <c r="L1605">
        <v>1606436.57</v>
      </c>
      <c r="M1605">
        <v>0</v>
      </c>
      <c r="N1605">
        <v>0</v>
      </c>
      <c r="O1605">
        <v>1606436.57</v>
      </c>
      <c r="P1605" t="s">
        <v>31</v>
      </c>
      <c r="Q1605" t="s">
        <v>32</v>
      </c>
    </row>
    <row r="1606" spans="1:17" x14ac:dyDescent="0.25">
      <c r="A1606" t="s">
        <v>1723</v>
      </c>
      <c r="B1606" s="1">
        <v>46018</v>
      </c>
      <c r="C1606" t="s">
        <v>60</v>
      </c>
      <c r="D1606" t="s">
        <v>123</v>
      </c>
      <c r="E1606" t="s">
        <v>41</v>
      </c>
      <c r="F1606" t="s">
        <v>62</v>
      </c>
      <c r="G1606" t="s">
        <v>63</v>
      </c>
      <c r="H1606" t="s">
        <v>94</v>
      </c>
      <c r="I1606" t="s">
        <v>115</v>
      </c>
      <c r="J1606">
        <v>46</v>
      </c>
      <c r="K1606">
        <v>22418.07</v>
      </c>
      <c r="L1606">
        <v>1031231.22</v>
      </c>
      <c r="M1606">
        <v>0</v>
      </c>
      <c r="N1606">
        <v>0</v>
      </c>
      <c r="O1606">
        <v>1031231.22</v>
      </c>
      <c r="P1606" t="s">
        <v>31</v>
      </c>
      <c r="Q1606" t="s">
        <v>32</v>
      </c>
    </row>
    <row r="1607" spans="1:17" x14ac:dyDescent="0.25">
      <c r="A1607" t="s">
        <v>1724</v>
      </c>
      <c r="B1607" s="1">
        <v>46006</v>
      </c>
      <c r="C1607" t="s">
        <v>47</v>
      </c>
      <c r="D1607" t="s">
        <v>88</v>
      </c>
      <c r="E1607" t="s">
        <v>41</v>
      </c>
      <c r="F1607" t="s">
        <v>105</v>
      </c>
      <c r="G1607" t="s">
        <v>56</v>
      </c>
      <c r="H1607" t="s">
        <v>94</v>
      </c>
      <c r="I1607" t="s">
        <v>115</v>
      </c>
      <c r="J1607">
        <v>10</v>
      </c>
      <c r="K1607">
        <v>31858.13</v>
      </c>
      <c r="L1607">
        <v>318581.3</v>
      </c>
      <c r="M1607">
        <v>35294.199999999997</v>
      </c>
      <c r="N1607">
        <v>0</v>
      </c>
      <c r="O1607">
        <v>283287.09999999998</v>
      </c>
      <c r="P1607" t="s">
        <v>32</v>
      </c>
      <c r="Q1607" t="s">
        <v>32</v>
      </c>
    </row>
    <row r="1608" spans="1:17" x14ac:dyDescent="0.25">
      <c r="A1608" t="s">
        <v>1725</v>
      </c>
      <c r="B1608" s="1">
        <v>45986</v>
      </c>
      <c r="C1608" t="s">
        <v>47</v>
      </c>
      <c r="D1608" t="s">
        <v>114</v>
      </c>
      <c r="E1608" t="s">
        <v>41</v>
      </c>
      <c r="F1608" t="s">
        <v>137</v>
      </c>
      <c r="G1608" t="s">
        <v>89</v>
      </c>
      <c r="H1608" t="s">
        <v>67</v>
      </c>
      <c r="I1608" t="s">
        <v>77</v>
      </c>
      <c r="J1608">
        <v>18</v>
      </c>
      <c r="K1608">
        <v>38691.769999999997</v>
      </c>
      <c r="L1608">
        <v>696451.86</v>
      </c>
      <c r="M1608">
        <v>5042.2700000000004</v>
      </c>
      <c r="N1608">
        <v>0</v>
      </c>
      <c r="O1608">
        <v>691409.59</v>
      </c>
      <c r="P1608" t="s">
        <v>32</v>
      </c>
      <c r="Q1608" t="s">
        <v>32</v>
      </c>
    </row>
    <row r="1609" spans="1:17" x14ac:dyDescent="0.25">
      <c r="A1609" t="s">
        <v>1726</v>
      </c>
      <c r="B1609" s="1">
        <v>46036</v>
      </c>
      <c r="C1609" t="s">
        <v>47</v>
      </c>
      <c r="D1609" t="s">
        <v>127</v>
      </c>
      <c r="E1609" t="s">
        <v>35</v>
      </c>
      <c r="F1609" t="s">
        <v>71</v>
      </c>
      <c r="G1609" t="s">
        <v>85</v>
      </c>
      <c r="H1609" t="s">
        <v>57</v>
      </c>
      <c r="I1609" t="s">
        <v>160</v>
      </c>
      <c r="J1609">
        <v>36</v>
      </c>
      <c r="K1609">
        <v>13012.64</v>
      </c>
      <c r="L1609">
        <v>468455.04</v>
      </c>
      <c r="M1609">
        <v>0</v>
      </c>
      <c r="N1609">
        <v>0</v>
      </c>
      <c r="O1609">
        <v>468455.04</v>
      </c>
      <c r="P1609" t="s">
        <v>73</v>
      </c>
      <c r="Q1609" t="s">
        <v>26</v>
      </c>
    </row>
    <row r="1610" spans="1:17" x14ac:dyDescent="0.25">
      <c r="A1610" t="s">
        <v>1727</v>
      </c>
      <c r="B1610" s="1">
        <v>46037</v>
      </c>
      <c r="C1610" t="s">
        <v>60</v>
      </c>
      <c r="D1610" t="s">
        <v>123</v>
      </c>
      <c r="E1610" t="s">
        <v>41</v>
      </c>
      <c r="F1610" t="s">
        <v>137</v>
      </c>
      <c r="G1610" t="s">
        <v>98</v>
      </c>
      <c r="H1610" t="s">
        <v>23</v>
      </c>
      <c r="I1610" t="s">
        <v>110</v>
      </c>
      <c r="J1610">
        <v>8</v>
      </c>
      <c r="K1610">
        <v>29666.400000000001</v>
      </c>
      <c r="L1610">
        <v>237331.20000000001</v>
      </c>
      <c r="M1610">
        <v>0</v>
      </c>
      <c r="N1610">
        <v>0</v>
      </c>
      <c r="O1610">
        <v>237331.20000000001</v>
      </c>
      <c r="P1610" t="s">
        <v>73</v>
      </c>
      <c r="Q1610" t="s">
        <v>26</v>
      </c>
    </row>
    <row r="1611" spans="1:17" x14ac:dyDescent="0.25">
      <c r="A1611" t="s">
        <v>1728</v>
      </c>
      <c r="B1611" s="1">
        <v>46045</v>
      </c>
      <c r="C1611" t="s">
        <v>60</v>
      </c>
      <c r="D1611" t="s">
        <v>61</v>
      </c>
      <c r="E1611" t="s">
        <v>35</v>
      </c>
      <c r="F1611" t="s">
        <v>36</v>
      </c>
      <c r="G1611" t="s">
        <v>43</v>
      </c>
      <c r="H1611" t="s">
        <v>94</v>
      </c>
      <c r="I1611" t="s">
        <v>95</v>
      </c>
      <c r="J1611">
        <v>27</v>
      </c>
      <c r="K1611">
        <v>47339.67</v>
      </c>
      <c r="L1611">
        <v>1278171.0900000001</v>
      </c>
      <c r="M1611">
        <v>0</v>
      </c>
      <c r="N1611">
        <v>0</v>
      </c>
      <c r="O1611">
        <v>1278171.0900000001</v>
      </c>
      <c r="P1611" t="s">
        <v>73</v>
      </c>
      <c r="Q1611" t="s">
        <v>32</v>
      </c>
    </row>
    <row r="1612" spans="1:17" x14ac:dyDescent="0.25">
      <c r="A1612" t="s">
        <v>1729</v>
      </c>
      <c r="B1612" s="1">
        <v>45955</v>
      </c>
      <c r="C1612" t="s">
        <v>79</v>
      </c>
      <c r="D1612" t="s">
        <v>107</v>
      </c>
      <c r="E1612" t="s">
        <v>49</v>
      </c>
      <c r="F1612" t="s">
        <v>36</v>
      </c>
      <c r="G1612" t="s">
        <v>138</v>
      </c>
      <c r="H1612" t="s">
        <v>23</v>
      </c>
      <c r="I1612" t="s">
        <v>110</v>
      </c>
      <c r="J1612">
        <v>5</v>
      </c>
      <c r="K1612">
        <v>8942.7099999999991</v>
      </c>
      <c r="L1612">
        <v>44713.55</v>
      </c>
      <c r="M1612">
        <v>0</v>
      </c>
      <c r="N1612">
        <v>0</v>
      </c>
      <c r="O1612">
        <v>44713.55</v>
      </c>
      <c r="P1612" t="s">
        <v>25</v>
      </c>
      <c r="Q1612" t="s">
        <v>26</v>
      </c>
    </row>
    <row r="1613" spans="1:17" x14ac:dyDescent="0.25">
      <c r="A1613" t="s">
        <v>1730</v>
      </c>
      <c r="B1613" s="1">
        <v>46044</v>
      </c>
      <c r="C1613" t="s">
        <v>47</v>
      </c>
      <c r="D1613" t="s">
        <v>48</v>
      </c>
      <c r="E1613" t="s">
        <v>41</v>
      </c>
      <c r="F1613" t="s">
        <v>50</v>
      </c>
      <c r="G1613" t="s">
        <v>102</v>
      </c>
      <c r="H1613" t="s">
        <v>44</v>
      </c>
      <c r="I1613" t="s">
        <v>45</v>
      </c>
      <c r="J1613">
        <v>16</v>
      </c>
      <c r="K1613">
        <v>39986.33</v>
      </c>
      <c r="L1613">
        <v>639781.28</v>
      </c>
      <c r="M1613">
        <v>105566.58</v>
      </c>
      <c r="N1613">
        <v>0</v>
      </c>
      <c r="O1613">
        <v>534214.69999999995</v>
      </c>
      <c r="P1613" t="s">
        <v>31</v>
      </c>
      <c r="Q1613" t="s">
        <v>32</v>
      </c>
    </row>
    <row r="1614" spans="1:17" x14ac:dyDescent="0.25">
      <c r="A1614" t="s">
        <v>1731</v>
      </c>
      <c r="B1614" s="1">
        <v>45976</v>
      </c>
      <c r="C1614" t="s">
        <v>54</v>
      </c>
      <c r="D1614" t="s">
        <v>55</v>
      </c>
      <c r="E1614" t="s">
        <v>41</v>
      </c>
      <c r="F1614" t="s">
        <v>137</v>
      </c>
      <c r="G1614" t="s">
        <v>81</v>
      </c>
      <c r="H1614" t="s">
        <v>23</v>
      </c>
      <c r="I1614" t="s">
        <v>30</v>
      </c>
      <c r="J1614">
        <v>29</v>
      </c>
      <c r="K1614">
        <v>37466.15</v>
      </c>
      <c r="L1614">
        <v>1086518.3500000001</v>
      </c>
      <c r="M1614">
        <v>60348.22</v>
      </c>
      <c r="N1614">
        <v>0</v>
      </c>
      <c r="O1614">
        <v>1026170.13</v>
      </c>
      <c r="P1614" t="s">
        <v>31</v>
      </c>
      <c r="Q1614" t="s">
        <v>32</v>
      </c>
    </row>
    <row r="1615" spans="1:17" x14ac:dyDescent="0.25">
      <c r="A1615" t="s">
        <v>1732</v>
      </c>
      <c r="B1615" s="1">
        <v>46022</v>
      </c>
      <c r="C1615" t="s">
        <v>79</v>
      </c>
      <c r="D1615" t="s">
        <v>80</v>
      </c>
      <c r="E1615" t="s">
        <v>41</v>
      </c>
      <c r="F1615" t="s">
        <v>84</v>
      </c>
      <c r="G1615" t="s">
        <v>37</v>
      </c>
      <c r="H1615" t="s">
        <v>67</v>
      </c>
      <c r="I1615" t="s">
        <v>68</v>
      </c>
      <c r="J1615">
        <v>50</v>
      </c>
      <c r="K1615">
        <v>43293.75</v>
      </c>
      <c r="L1615">
        <v>2164687.5</v>
      </c>
      <c r="M1615">
        <v>279979.94</v>
      </c>
      <c r="N1615">
        <v>0</v>
      </c>
      <c r="O1615">
        <v>1884707.56</v>
      </c>
      <c r="P1615" t="s">
        <v>73</v>
      </c>
      <c r="Q1615" t="s">
        <v>32</v>
      </c>
    </row>
    <row r="1616" spans="1:17" x14ac:dyDescent="0.25">
      <c r="A1616" t="s">
        <v>1733</v>
      </c>
      <c r="B1616" s="1">
        <v>46023</v>
      </c>
      <c r="C1616" t="s">
        <v>79</v>
      </c>
      <c r="D1616" t="s">
        <v>101</v>
      </c>
      <c r="E1616" t="s">
        <v>35</v>
      </c>
      <c r="F1616" t="s">
        <v>50</v>
      </c>
      <c r="G1616" t="s">
        <v>37</v>
      </c>
      <c r="H1616" t="s">
        <v>44</v>
      </c>
      <c r="I1616" t="s">
        <v>152</v>
      </c>
      <c r="J1616">
        <v>23</v>
      </c>
      <c r="K1616">
        <v>10691.65</v>
      </c>
      <c r="L1616">
        <v>245907.95</v>
      </c>
      <c r="M1616">
        <v>0</v>
      </c>
      <c r="N1616">
        <v>0</v>
      </c>
      <c r="O1616">
        <v>245907.95</v>
      </c>
      <c r="P1616" t="s">
        <v>32</v>
      </c>
      <c r="Q1616" t="s">
        <v>26</v>
      </c>
    </row>
    <row r="1617" spans="1:17" x14ac:dyDescent="0.25">
      <c r="A1617" t="s">
        <v>1734</v>
      </c>
      <c r="B1617" s="1">
        <v>45968</v>
      </c>
      <c r="C1617" t="s">
        <v>18</v>
      </c>
      <c r="D1617" t="s">
        <v>75</v>
      </c>
      <c r="E1617" t="s">
        <v>49</v>
      </c>
      <c r="F1617" t="s">
        <v>42</v>
      </c>
      <c r="G1617" t="s">
        <v>63</v>
      </c>
      <c r="H1617" t="s">
        <v>94</v>
      </c>
      <c r="I1617" t="s">
        <v>115</v>
      </c>
      <c r="J1617">
        <v>19</v>
      </c>
      <c r="K1617">
        <v>24702</v>
      </c>
      <c r="L1617">
        <v>469338</v>
      </c>
      <c r="M1617">
        <v>59109.08</v>
      </c>
      <c r="N1617">
        <v>312.43</v>
      </c>
      <c r="O1617">
        <v>409916.49</v>
      </c>
      <c r="P1617" t="s">
        <v>31</v>
      </c>
      <c r="Q1617" t="s">
        <v>32</v>
      </c>
    </row>
    <row r="1618" spans="1:17" x14ac:dyDescent="0.25">
      <c r="A1618" t="s">
        <v>1735</v>
      </c>
      <c r="B1618" s="1">
        <v>46032</v>
      </c>
      <c r="C1618" t="s">
        <v>47</v>
      </c>
      <c r="D1618" t="s">
        <v>114</v>
      </c>
      <c r="E1618" t="s">
        <v>20</v>
      </c>
      <c r="F1618" t="s">
        <v>42</v>
      </c>
      <c r="G1618" t="s">
        <v>81</v>
      </c>
      <c r="H1618" t="s">
        <v>94</v>
      </c>
      <c r="I1618" t="s">
        <v>95</v>
      </c>
      <c r="J1618">
        <v>41</v>
      </c>
      <c r="K1618">
        <v>25101.85</v>
      </c>
      <c r="L1618">
        <v>1029175.85</v>
      </c>
      <c r="M1618">
        <v>103883.58</v>
      </c>
      <c r="N1618">
        <v>0</v>
      </c>
      <c r="O1618">
        <v>925292.27</v>
      </c>
      <c r="P1618" t="s">
        <v>32</v>
      </c>
      <c r="Q1618" t="s">
        <v>32</v>
      </c>
    </row>
    <row r="1619" spans="1:17" x14ac:dyDescent="0.25">
      <c r="A1619" t="s">
        <v>1736</v>
      </c>
      <c r="B1619" s="1">
        <v>45997</v>
      </c>
      <c r="C1619" t="s">
        <v>79</v>
      </c>
      <c r="D1619" t="s">
        <v>91</v>
      </c>
      <c r="E1619" t="s">
        <v>35</v>
      </c>
      <c r="F1619" t="s">
        <v>36</v>
      </c>
      <c r="G1619" t="s">
        <v>37</v>
      </c>
      <c r="H1619" t="s">
        <v>44</v>
      </c>
      <c r="I1619" t="s">
        <v>281</v>
      </c>
      <c r="J1619">
        <v>19</v>
      </c>
      <c r="K1619">
        <v>37962.79</v>
      </c>
      <c r="L1619">
        <v>721293.01</v>
      </c>
      <c r="M1619">
        <v>0</v>
      </c>
      <c r="N1619">
        <v>0</v>
      </c>
      <c r="O1619">
        <v>721293.01</v>
      </c>
      <c r="P1619" t="s">
        <v>73</v>
      </c>
      <c r="Q1619" t="s">
        <v>32</v>
      </c>
    </row>
    <row r="1620" spans="1:17" x14ac:dyDescent="0.25">
      <c r="A1620" t="s">
        <v>1737</v>
      </c>
      <c r="B1620" s="1">
        <v>46011</v>
      </c>
      <c r="C1620" t="s">
        <v>18</v>
      </c>
      <c r="D1620" t="s">
        <v>75</v>
      </c>
      <c r="E1620" t="s">
        <v>20</v>
      </c>
      <c r="F1620" t="s">
        <v>62</v>
      </c>
      <c r="G1620" t="s">
        <v>102</v>
      </c>
      <c r="H1620" t="s">
        <v>44</v>
      </c>
      <c r="I1620" t="s">
        <v>152</v>
      </c>
      <c r="J1620">
        <v>47</v>
      </c>
      <c r="K1620">
        <v>48401.57</v>
      </c>
      <c r="L1620">
        <v>2274873.79</v>
      </c>
      <c r="M1620">
        <v>0</v>
      </c>
      <c r="N1620">
        <v>0</v>
      </c>
      <c r="O1620">
        <v>2274873.79</v>
      </c>
      <c r="P1620" t="s">
        <v>25</v>
      </c>
      <c r="Q1620" t="s">
        <v>26</v>
      </c>
    </row>
    <row r="1621" spans="1:17" x14ac:dyDescent="0.25">
      <c r="A1621" t="s">
        <v>1738</v>
      </c>
      <c r="B1621" s="1">
        <v>45961</v>
      </c>
      <c r="C1621" t="s">
        <v>54</v>
      </c>
      <c r="D1621" t="s">
        <v>70</v>
      </c>
      <c r="E1621" t="s">
        <v>41</v>
      </c>
      <c r="F1621" t="s">
        <v>137</v>
      </c>
      <c r="G1621" t="s">
        <v>22</v>
      </c>
      <c r="H1621" t="s">
        <v>38</v>
      </c>
      <c r="I1621" t="s">
        <v>39</v>
      </c>
      <c r="J1621">
        <v>43</v>
      </c>
      <c r="K1621">
        <v>23428.57</v>
      </c>
      <c r="L1621">
        <v>1007428.51</v>
      </c>
      <c r="M1621">
        <v>0</v>
      </c>
      <c r="N1621">
        <v>0</v>
      </c>
      <c r="O1621">
        <v>1007428.51</v>
      </c>
      <c r="P1621" t="s">
        <v>25</v>
      </c>
      <c r="Q1621" t="s">
        <v>32</v>
      </c>
    </row>
    <row r="1622" spans="1:17" x14ac:dyDescent="0.25">
      <c r="A1622" t="s">
        <v>1739</v>
      </c>
      <c r="B1622" s="1">
        <v>45978</v>
      </c>
      <c r="C1622" t="s">
        <v>60</v>
      </c>
      <c r="D1622" t="s">
        <v>61</v>
      </c>
      <c r="E1622" t="s">
        <v>49</v>
      </c>
      <c r="F1622" t="s">
        <v>71</v>
      </c>
      <c r="G1622" t="s">
        <v>102</v>
      </c>
      <c r="H1622" t="s">
        <v>23</v>
      </c>
      <c r="I1622" t="s">
        <v>30</v>
      </c>
      <c r="J1622">
        <v>4</v>
      </c>
      <c r="K1622">
        <v>20968.150000000001</v>
      </c>
      <c r="L1622">
        <v>83872.600000000006</v>
      </c>
      <c r="M1622">
        <v>0</v>
      </c>
      <c r="N1622">
        <v>0</v>
      </c>
      <c r="O1622">
        <v>83872.600000000006</v>
      </c>
      <c r="P1622" t="s">
        <v>73</v>
      </c>
      <c r="Q1622" t="s">
        <v>32</v>
      </c>
    </row>
    <row r="1623" spans="1:17" x14ac:dyDescent="0.25">
      <c r="A1623" t="s">
        <v>1740</v>
      </c>
      <c r="B1623" s="1">
        <v>45980</v>
      </c>
      <c r="C1623" t="s">
        <v>54</v>
      </c>
      <c r="D1623" t="s">
        <v>55</v>
      </c>
      <c r="E1623" t="s">
        <v>20</v>
      </c>
      <c r="F1623" t="s">
        <v>112</v>
      </c>
      <c r="G1623" t="s">
        <v>51</v>
      </c>
      <c r="H1623" t="s">
        <v>67</v>
      </c>
      <c r="I1623" t="s">
        <v>68</v>
      </c>
      <c r="J1623">
        <v>33</v>
      </c>
      <c r="K1623">
        <v>27583.91</v>
      </c>
      <c r="L1623">
        <v>910269.03</v>
      </c>
      <c r="M1623">
        <v>111135.33</v>
      </c>
      <c r="N1623">
        <v>0</v>
      </c>
      <c r="O1623">
        <v>799133.7</v>
      </c>
      <c r="P1623" t="s">
        <v>25</v>
      </c>
      <c r="Q1623" t="s">
        <v>26</v>
      </c>
    </row>
    <row r="1624" spans="1:17" x14ac:dyDescent="0.25">
      <c r="A1624" t="s">
        <v>1741</v>
      </c>
      <c r="B1624" s="1">
        <v>46030</v>
      </c>
      <c r="C1624" t="s">
        <v>18</v>
      </c>
      <c r="D1624" t="s">
        <v>75</v>
      </c>
      <c r="E1624" t="s">
        <v>41</v>
      </c>
      <c r="F1624" t="s">
        <v>112</v>
      </c>
      <c r="G1624" t="s">
        <v>29</v>
      </c>
      <c r="H1624" t="s">
        <v>44</v>
      </c>
      <c r="I1624" t="s">
        <v>152</v>
      </c>
      <c r="J1624">
        <v>4</v>
      </c>
      <c r="K1624">
        <v>24842.79</v>
      </c>
      <c r="L1624">
        <v>99371.16</v>
      </c>
      <c r="M1624">
        <v>0</v>
      </c>
      <c r="N1624">
        <v>0</v>
      </c>
      <c r="O1624">
        <v>99371.16</v>
      </c>
      <c r="P1624" t="s">
        <v>25</v>
      </c>
      <c r="Q1624" t="s">
        <v>26</v>
      </c>
    </row>
    <row r="1625" spans="1:17" x14ac:dyDescent="0.25">
      <c r="A1625" t="s">
        <v>1742</v>
      </c>
      <c r="B1625" s="1">
        <v>45962</v>
      </c>
      <c r="C1625" t="s">
        <v>54</v>
      </c>
      <c r="D1625" t="s">
        <v>55</v>
      </c>
      <c r="E1625" t="s">
        <v>20</v>
      </c>
      <c r="F1625" t="s">
        <v>62</v>
      </c>
      <c r="G1625" t="s">
        <v>22</v>
      </c>
      <c r="H1625" t="s">
        <v>67</v>
      </c>
      <c r="I1625" t="s">
        <v>77</v>
      </c>
      <c r="J1625">
        <v>8</v>
      </c>
      <c r="K1625">
        <v>11875.93</v>
      </c>
      <c r="L1625">
        <v>95007.44</v>
      </c>
      <c r="M1625">
        <v>1384.81</v>
      </c>
      <c r="N1625">
        <v>0</v>
      </c>
      <c r="O1625">
        <v>93622.63</v>
      </c>
      <c r="P1625" t="s">
        <v>73</v>
      </c>
      <c r="Q1625" t="s">
        <v>32</v>
      </c>
    </row>
    <row r="1626" spans="1:17" x14ac:dyDescent="0.25">
      <c r="A1626" t="s">
        <v>1743</v>
      </c>
      <c r="B1626" s="1">
        <v>46001</v>
      </c>
      <c r="C1626" t="s">
        <v>60</v>
      </c>
      <c r="D1626" t="s">
        <v>65</v>
      </c>
      <c r="E1626" t="s">
        <v>35</v>
      </c>
      <c r="F1626" t="s">
        <v>36</v>
      </c>
      <c r="G1626" t="s">
        <v>22</v>
      </c>
      <c r="H1626" t="s">
        <v>44</v>
      </c>
      <c r="I1626" t="s">
        <v>141</v>
      </c>
      <c r="J1626">
        <v>22</v>
      </c>
      <c r="K1626">
        <v>45028.73</v>
      </c>
      <c r="L1626">
        <v>990632.06</v>
      </c>
      <c r="M1626">
        <v>160694.79</v>
      </c>
      <c r="N1626">
        <v>0</v>
      </c>
      <c r="O1626">
        <v>829937.27</v>
      </c>
      <c r="P1626" t="s">
        <v>31</v>
      </c>
      <c r="Q1626" t="s">
        <v>32</v>
      </c>
    </row>
    <row r="1627" spans="1:17" x14ac:dyDescent="0.25">
      <c r="A1627" t="s">
        <v>1744</v>
      </c>
      <c r="B1627" s="1">
        <v>46024</v>
      </c>
      <c r="C1627" t="s">
        <v>47</v>
      </c>
      <c r="D1627" t="s">
        <v>127</v>
      </c>
      <c r="E1627" t="s">
        <v>41</v>
      </c>
      <c r="F1627" t="s">
        <v>21</v>
      </c>
      <c r="G1627" t="s">
        <v>85</v>
      </c>
      <c r="H1627" t="s">
        <v>67</v>
      </c>
      <c r="I1627" t="s">
        <v>170</v>
      </c>
      <c r="J1627">
        <v>39</v>
      </c>
      <c r="K1627">
        <v>25625.34</v>
      </c>
      <c r="L1627">
        <v>999388.26</v>
      </c>
      <c r="M1627">
        <v>138917.85</v>
      </c>
      <c r="N1627">
        <v>41356.26</v>
      </c>
      <c r="O1627">
        <v>819114.15</v>
      </c>
      <c r="P1627" t="s">
        <v>31</v>
      </c>
      <c r="Q1627" t="s">
        <v>32</v>
      </c>
    </row>
    <row r="1628" spans="1:17" x14ac:dyDescent="0.25">
      <c r="A1628" t="s">
        <v>1745</v>
      </c>
      <c r="B1628" s="1">
        <v>46023</v>
      </c>
      <c r="C1628" t="s">
        <v>47</v>
      </c>
      <c r="D1628" t="s">
        <v>114</v>
      </c>
      <c r="E1628" t="s">
        <v>35</v>
      </c>
      <c r="F1628" t="s">
        <v>105</v>
      </c>
      <c r="G1628" t="s">
        <v>138</v>
      </c>
      <c r="H1628" t="s">
        <v>57</v>
      </c>
      <c r="I1628" t="s">
        <v>160</v>
      </c>
      <c r="J1628">
        <v>13</v>
      </c>
      <c r="K1628">
        <v>14207.27</v>
      </c>
      <c r="L1628">
        <v>184694.51</v>
      </c>
      <c r="M1628">
        <v>0</v>
      </c>
      <c r="N1628">
        <v>53804.74</v>
      </c>
      <c r="O1628">
        <v>130889.77</v>
      </c>
      <c r="P1628" t="s">
        <v>73</v>
      </c>
      <c r="Q1628" t="s">
        <v>26</v>
      </c>
    </row>
    <row r="1629" spans="1:17" x14ac:dyDescent="0.25">
      <c r="A1629" t="s">
        <v>1746</v>
      </c>
      <c r="B1629" s="1">
        <v>46000</v>
      </c>
      <c r="C1629" t="s">
        <v>79</v>
      </c>
      <c r="D1629" t="s">
        <v>107</v>
      </c>
      <c r="E1629" t="s">
        <v>35</v>
      </c>
      <c r="F1629" t="s">
        <v>71</v>
      </c>
      <c r="G1629" t="s">
        <v>140</v>
      </c>
      <c r="H1629" t="s">
        <v>44</v>
      </c>
      <c r="I1629" t="s">
        <v>281</v>
      </c>
      <c r="J1629">
        <v>22</v>
      </c>
      <c r="K1629">
        <v>30128.15</v>
      </c>
      <c r="L1629">
        <v>662819.30000000005</v>
      </c>
      <c r="M1629">
        <v>75239.8</v>
      </c>
      <c r="N1629">
        <v>0</v>
      </c>
      <c r="O1629">
        <v>587579.5</v>
      </c>
      <c r="P1629" t="s">
        <v>73</v>
      </c>
      <c r="Q1629" t="s">
        <v>26</v>
      </c>
    </row>
    <row r="1630" spans="1:17" x14ac:dyDescent="0.25">
      <c r="A1630" t="s">
        <v>1747</v>
      </c>
      <c r="B1630" s="1">
        <v>46037</v>
      </c>
      <c r="C1630" t="s">
        <v>79</v>
      </c>
      <c r="D1630" t="s">
        <v>91</v>
      </c>
      <c r="E1630" t="s">
        <v>49</v>
      </c>
      <c r="F1630" t="s">
        <v>71</v>
      </c>
      <c r="G1630" t="s">
        <v>140</v>
      </c>
      <c r="H1630" t="s">
        <v>67</v>
      </c>
      <c r="I1630" t="s">
        <v>170</v>
      </c>
      <c r="J1630">
        <v>16</v>
      </c>
      <c r="K1630">
        <v>13098.82</v>
      </c>
      <c r="L1630">
        <v>209581.12</v>
      </c>
      <c r="M1630">
        <v>509.37</v>
      </c>
      <c r="N1630">
        <v>0</v>
      </c>
      <c r="O1630">
        <v>209071.75</v>
      </c>
      <c r="P1630" t="s">
        <v>25</v>
      </c>
      <c r="Q1630" t="s">
        <v>26</v>
      </c>
    </row>
    <row r="1631" spans="1:17" x14ac:dyDescent="0.25">
      <c r="A1631" t="s">
        <v>1748</v>
      </c>
      <c r="B1631" s="1">
        <v>45962</v>
      </c>
      <c r="C1631" t="s">
        <v>47</v>
      </c>
      <c r="D1631" t="s">
        <v>48</v>
      </c>
      <c r="E1631" t="s">
        <v>41</v>
      </c>
      <c r="F1631" t="s">
        <v>71</v>
      </c>
      <c r="G1631" t="s">
        <v>43</v>
      </c>
      <c r="H1631" t="s">
        <v>67</v>
      </c>
      <c r="I1631" t="s">
        <v>68</v>
      </c>
      <c r="J1631">
        <v>37</v>
      </c>
      <c r="K1631">
        <v>5397.41</v>
      </c>
      <c r="L1631">
        <v>199704.17</v>
      </c>
      <c r="M1631">
        <v>0</v>
      </c>
      <c r="N1631">
        <v>0</v>
      </c>
      <c r="O1631">
        <v>199704.17</v>
      </c>
      <c r="P1631" t="s">
        <v>32</v>
      </c>
      <c r="Q1631" t="s">
        <v>32</v>
      </c>
    </row>
    <row r="1632" spans="1:17" x14ac:dyDescent="0.25">
      <c r="A1632" t="s">
        <v>1749</v>
      </c>
      <c r="B1632" s="1">
        <v>45984</v>
      </c>
      <c r="C1632" t="s">
        <v>47</v>
      </c>
      <c r="D1632" t="s">
        <v>88</v>
      </c>
      <c r="E1632" t="s">
        <v>49</v>
      </c>
      <c r="F1632" t="s">
        <v>50</v>
      </c>
      <c r="G1632" t="s">
        <v>66</v>
      </c>
      <c r="H1632" t="s">
        <v>94</v>
      </c>
      <c r="I1632" t="s">
        <v>95</v>
      </c>
      <c r="J1632">
        <v>36</v>
      </c>
      <c r="K1632">
        <v>18669.22</v>
      </c>
      <c r="L1632">
        <v>672091.92</v>
      </c>
      <c r="M1632">
        <v>89137.94</v>
      </c>
      <c r="N1632">
        <v>0</v>
      </c>
      <c r="O1632">
        <v>582953.98</v>
      </c>
      <c r="P1632" t="s">
        <v>73</v>
      </c>
      <c r="Q1632" t="s">
        <v>32</v>
      </c>
    </row>
    <row r="1633" spans="1:17" x14ac:dyDescent="0.25">
      <c r="A1633" t="s">
        <v>1750</v>
      </c>
      <c r="B1633" s="1">
        <v>46042</v>
      </c>
      <c r="C1633" t="s">
        <v>60</v>
      </c>
      <c r="D1633" t="s">
        <v>65</v>
      </c>
      <c r="E1633" t="s">
        <v>49</v>
      </c>
      <c r="F1633" t="s">
        <v>36</v>
      </c>
      <c r="G1633" t="s">
        <v>102</v>
      </c>
      <c r="H1633" t="s">
        <v>44</v>
      </c>
      <c r="I1633" t="s">
        <v>152</v>
      </c>
      <c r="J1633">
        <v>50</v>
      </c>
      <c r="K1633">
        <v>33718.1</v>
      </c>
      <c r="L1633">
        <v>1685905</v>
      </c>
      <c r="M1633">
        <v>224532.04</v>
      </c>
      <c r="N1633">
        <v>0</v>
      </c>
      <c r="O1633">
        <v>1461372.96</v>
      </c>
      <c r="P1633" t="s">
        <v>32</v>
      </c>
      <c r="Q1633" t="s">
        <v>26</v>
      </c>
    </row>
    <row r="1634" spans="1:17" x14ac:dyDescent="0.25">
      <c r="A1634" t="s">
        <v>1751</v>
      </c>
      <c r="B1634" s="1">
        <v>45979</v>
      </c>
      <c r="C1634" t="s">
        <v>18</v>
      </c>
      <c r="D1634" t="s">
        <v>34</v>
      </c>
      <c r="E1634" t="s">
        <v>35</v>
      </c>
      <c r="F1634" t="s">
        <v>21</v>
      </c>
      <c r="G1634" t="s">
        <v>85</v>
      </c>
      <c r="H1634" t="s">
        <v>23</v>
      </c>
      <c r="I1634" t="s">
        <v>52</v>
      </c>
      <c r="J1634">
        <v>16</v>
      </c>
      <c r="K1634">
        <v>10844.14</v>
      </c>
      <c r="L1634">
        <v>173506.24</v>
      </c>
      <c r="M1634">
        <v>0</v>
      </c>
      <c r="N1634">
        <v>0</v>
      </c>
      <c r="O1634">
        <v>173506.24</v>
      </c>
      <c r="P1634" t="s">
        <v>31</v>
      </c>
      <c r="Q1634" t="s">
        <v>32</v>
      </c>
    </row>
    <row r="1635" spans="1:17" x14ac:dyDescent="0.25">
      <c r="A1635" t="s">
        <v>1752</v>
      </c>
      <c r="B1635" s="1">
        <v>45997</v>
      </c>
      <c r="C1635" t="s">
        <v>60</v>
      </c>
      <c r="D1635" t="s">
        <v>61</v>
      </c>
      <c r="E1635" t="s">
        <v>49</v>
      </c>
      <c r="F1635" t="s">
        <v>50</v>
      </c>
      <c r="G1635" t="s">
        <v>85</v>
      </c>
      <c r="H1635" t="s">
        <v>94</v>
      </c>
      <c r="I1635" t="s">
        <v>115</v>
      </c>
      <c r="J1635">
        <v>44</v>
      </c>
      <c r="K1635">
        <v>42397.56</v>
      </c>
      <c r="L1635">
        <v>1865492.64</v>
      </c>
      <c r="M1635">
        <v>95250.98</v>
      </c>
      <c r="N1635">
        <v>0</v>
      </c>
      <c r="O1635">
        <v>1770241.66</v>
      </c>
      <c r="P1635" t="s">
        <v>31</v>
      </c>
      <c r="Q1635" t="s">
        <v>32</v>
      </c>
    </row>
    <row r="1636" spans="1:17" x14ac:dyDescent="0.25">
      <c r="A1636" t="s">
        <v>1753</v>
      </c>
      <c r="B1636" s="1">
        <v>45972</v>
      </c>
      <c r="C1636" t="s">
        <v>47</v>
      </c>
      <c r="D1636" t="s">
        <v>127</v>
      </c>
      <c r="E1636" t="s">
        <v>35</v>
      </c>
      <c r="F1636" t="s">
        <v>50</v>
      </c>
      <c r="G1636" t="s">
        <v>85</v>
      </c>
      <c r="H1636" t="s">
        <v>67</v>
      </c>
      <c r="I1636" t="s">
        <v>170</v>
      </c>
      <c r="J1636">
        <v>9</v>
      </c>
      <c r="K1636">
        <v>12140.18</v>
      </c>
      <c r="L1636">
        <v>109261.62</v>
      </c>
      <c r="M1636">
        <v>12546.71</v>
      </c>
      <c r="N1636">
        <v>0</v>
      </c>
      <c r="O1636">
        <v>96714.91</v>
      </c>
      <c r="P1636" t="s">
        <v>32</v>
      </c>
      <c r="Q1636" t="s">
        <v>32</v>
      </c>
    </row>
    <row r="1637" spans="1:17" x14ac:dyDescent="0.25">
      <c r="A1637" t="s">
        <v>1754</v>
      </c>
      <c r="B1637" s="1">
        <v>45960</v>
      </c>
      <c r="C1637" t="s">
        <v>60</v>
      </c>
      <c r="D1637" t="s">
        <v>61</v>
      </c>
      <c r="E1637" t="s">
        <v>49</v>
      </c>
      <c r="F1637" t="s">
        <v>112</v>
      </c>
      <c r="G1637" t="s">
        <v>81</v>
      </c>
      <c r="H1637" t="s">
        <v>67</v>
      </c>
      <c r="I1637" t="s">
        <v>154</v>
      </c>
      <c r="J1637">
        <v>5</v>
      </c>
      <c r="K1637">
        <v>48780.08</v>
      </c>
      <c r="L1637">
        <v>243900.4</v>
      </c>
      <c r="M1637">
        <v>42279.1</v>
      </c>
      <c r="N1637">
        <v>0</v>
      </c>
      <c r="O1637">
        <v>201621.3</v>
      </c>
      <c r="P1637" t="s">
        <v>25</v>
      </c>
      <c r="Q1637" t="s">
        <v>26</v>
      </c>
    </row>
    <row r="1638" spans="1:17" x14ac:dyDescent="0.25">
      <c r="A1638" t="s">
        <v>1755</v>
      </c>
      <c r="B1638" s="1">
        <v>46033</v>
      </c>
      <c r="C1638" t="s">
        <v>18</v>
      </c>
      <c r="D1638" t="s">
        <v>19</v>
      </c>
      <c r="E1638" t="s">
        <v>49</v>
      </c>
      <c r="F1638" t="s">
        <v>42</v>
      </c>
      <c r="G1638" t="s">
        <v>51</v>
      </c>
      <c r="H1638" t="s">
        <v>94</v>
      </c>
      <c r="I1638" t="s">
        <v>95</v>
      </c>
      <c r="J1638">
        <v>29</v>
      </c>
      <c r="K1638">
        <v>15818.75</v>
      </c>
      <c r="L1638">
        <v>458743.75</v>
      </c>
      <c r="M1638">
        <v>2644.28</v>
      </c>
      <c r="N1638">
        <v>0</v>
      </c>
      <c r="O1638">
        <v>456099.47</v>
      </c>
      <c r="P1638" t="s">
        <v>32</v>
      </c>
      <c r="Q1638" t="s">
        <v>32</v>
      </c>
    </row>
    <row r="1639" spans="1:17" x14ac:dyDescent="0.25">
      <c r="A1639" t="s">
        <v>1756</v>
      </c>
      <c r="B1639" s="1">
        <v>45996</v>
      </c>
      <c r="C1639" t="s">
        <v>60</v>
      </c>
      <c r="D1639" t="s">
        <v>151</v>
      </c>
      <c r="E1639" t="s">
        <v>49</v>
      </c>
      <c r="F1639" t="s">
        <v>112</v>
      </c>
      <c r="G1639" t="s">
        <v>51</v>
      </c>
      <c r="H1639" t="s">
        <v>23</v>
      </c>
      <c r="I1639" t="s">
        <v>30</v>
      </c>
      <c r="J1639">
        <v>48</v>
      </c>
      <c r="K1639">
        <v>18118.8</v>
      </c>
      <c r="L1639">
        <v>869702.4</v>
      </c>
      <c r="M1639">
        <v>0</v>
      </c>
      <c r="N1639">
        <v>0</v>
      </c>
      <c r="O1639">
        <v>869702.4</v>
      </c>
      <c r="P1639" t="s">
        <v>25</v>
      </c>
      <c r="Q1639" t="s">
        <v>128</v>
      </c>
    </row>
    <row r="1640" spans="1:17" x14ac:dyDescent="0.25">
      <c r="A1640" t="s">
        <v>1757</v>
      </c>
      <c r="B1640" s="1">
        <v>46010</v>
      </c>
      <c r="C1640" t="s">
        <v>47</v>
      </c>
      <c r="D1640" t="s">
        <v>48</v>
      </c>
      <c r="E1640" t="s">
        <v>20</v>
      </c>
      <c r="F1640" t="s">
        <v>105</v>
      </c>
      <c r="G1640" t="s">
        <v>140</v>
      </c>
      <c r="H1640" t="s">
        <v>67</v>
      </c>
      <c r="I1640" t="s">
        <v>68</v>
      </c>
      <c r="J1640">
        <v>41</v>
      </c>
      <c r="K1640">
        <v>46654.96</v>
      </c>
      <c r="L1640">
        <v>1912853.36</v>
      </c>
      <c r="M1640">
        <v>229329.49</v>
      </c>
      <c r="N1640">
        <v>0</v>
      </c>
      <c r="O1640">
        <v>1683523.87</v>
      </c>
      <c r="P1640" t="s">
        <v>25</v>
      </c>
      <c r="Q1640" t="s">
        <v>26</v>
      </c>
    </row>
    <row r="1641" spans="1:17" x14ac:dyDescent="0.25">
      <c r="A1641" t="s">
        <v>1758</v>
      </c>
      <c r="B1641" s="1">
        <v>45963</v>
      </c>
      <c r="C1641" t="s">
        <v>18</v>
      </c>
      <c r="D1641" t="s">
        <v>19</v>
      </c>
      <c r="E1641" t="s">
        <v>35</v>
      </c>
      <c r="F1641" t="s">
        <v>50</v>
      </c>
      <c r="G1641" t="s">
        <v>37</v>
      </c>
      <c r="H1641" t="s">
        <v>38</v>
      </c>
      <c r="I1641" t="s">
        <v>120</v>
      </c>
      <c r="J1641">
        <v>10</v>
      </c>
      <c r="K1641">
        <v>10494.56</v>
      </c>
      <c r="L1641">
        <v>104945.60000000001</v>
      </c>
      <c r="M1641">
        <v>5420.83</v>
      </c>
      <c r="N1641">
        <v>6279.64</v>
      </c>
      <c r="O1641">
        <v>93245.13</v>
      </c>
      <c r="P1641" t="s">
        <v>32</v>
      </c>
      <c r="Q1641" t="s">
        <v>26</v>
      </c>
    </row>
    <row r="1642" spans="1:17" x14ac:dyDescent="0.25">
      <c r="A1642" t="s">
        <v>1759</v>
      </c>
      <c r="B1642" s="1">
        <v>46001</v>
      </c>
      <c r="C1642" t="s">
        <v>60</v>
      </c>
      <c r="D1642" t="s">
        <v>151</v>
      </c>
      <c r="E1642" t="s">
        <v>41</v>
      </c>
      <c r="F1642" t="s">
        <v>62</v>
      </c>
      <c r="G1642" t="s">
        <v>98</v>
      </c>
      <c r="H1642" t="s">
        <v>23</v>
      </c>
      <c r="I1642" t="s">
        <v>131</v>
      </c>
      <c r="J1642">
        <v>10</v>
      </c>
      <c r="K1642">
        <v>24569.37</v>
      </c>
      <c r="L1642">
        <v>245693.7</v>
      </c>
      <c r="M1642">
        <v>38607.14</v>
      </c>
      <c r="N1642">
        <v>0</v>
      </c>
      <c r="O1642">
        <v>207086.56</v>
      </c>
      <c r="P1642" t="s">
        <v>73</v>
      </c>
      <c r="Q1642" t="s">
        <v>26</v>
      </c>
    </row>
    <row r="1643" spans="1:17" x14ac:dyDescent="0.25">
      <c r="A1643" t="s">
        <v>1760</v>
      </c>
      <c r="B1643" s="1">
        <v>45964</v>
      </c>
      <c r="C1643" t="s">
        <v>79</v>
      </c>
      <c r="D1643" t="s">
        <v>80</v>
      </c>
      <c r="E1643" t="s">
        <v>41</v>
      </c>
      <c r="F1643" t="s">
        <v>21</v>
      </c>
      <c r="G1643" t="s">
        <v>98</v>
      </c>
      <c r="H1643" t="s">
        <v>23</v>
      </c>
      <c r="I1643" t="s">
        <v>30</v>
      </c>
      <c r="J1643">
        <v>9</v>
      </c>
      <c r="K1643">
        <v>38495.11</v>
      </c>
      <c r="L1643">
        <v>346455.99</v>
      </c>
      <c r="M1643">
        <v>24779.99</v>
      </c>
      <c r="N1643">
        <v>0</v>
      </c>
      <c r="O1643">
        <v>321676</v>
      </c>
      <c r="P1643" t="s">
        <v>73</v>
      </c>
      <c r="Q1643" t="s">
        <v>26</v>
      </c>
    </row>
    <row r="1644" spans="1:17" x14ac:dyDescent="0.25">
      <c r="A1644" t="s">
        <v>1761</v>
      </c>
      <c r="B1644" s="1">
        <v>46043</v>
      </c>
      <c r="C1644" t="s">
        <v>79</v>
      </c>
      <c r="D1644" t="s">
        <v>80</v>
      </c>
      <c r="E1644" t="s">
        <v>41</v>
      </c>
      <c r="F1644" t="s">
        <v>42</v>
      </c>
      <c r="G1644" t="s">
        <v>85</v>
      </c>
      <c r="H1644" t="s">
        <v>57</v>
      </c>
      <c r="I1644" t="s">
        <v>72</v>
      </c>
      <c r="J1644">
        <v>3</v>
      </c>
      <c r="K1644">
        <v>43877.46</v>
      </c>
      <c r="L1644">
        <v>131632.38</v>
      </c>
      <c r="M1644">
        <v>81.5</v>
      </c>
      <c r="N1644">
        <v>28865.74</v>
      </c>
      <c r="O1644">
        <v>102685.14</v>
      </c>
      <c r="P1644" t="s">
        <v>31</v>
      </c>
      <c r="Q1644" t="s">
        <v>32</v>
      </c>
    </row>
    <row r="1645" spans="1:17" x14ac:dyDescent="0.25">
      <c r="A1645" t="s">
        <v>1762</v>
      </c>
      <c r="B1645" s="1">
        <v>45987</v>
      </c>
      <c r="C1645" t="s">
        <v>18</v>
      </c>
      <c r="D1645" t="s">
        <v>28</v>
      </c>
      <c r="E1645" t="s">
        <v>20</v>
      </c>
      <c r="F1645" t="s">
        <v>50</v>
      </c>
      <c r="G1645" t="s">
        <v>89</v>
      </c>
      <c r="H1645" t="s">
        <v>57</v>
      </c>
      <c r="I1645" t="s">
        <v>160</v>
      </c>
      <c r="J1645">
        <v>33</v>
      </c>
      <c r="K1645">
        <v>34213.1</v>
      </c>
      <c r="L1645">
        <v>1129032.3</v>
      </c>
      <c r="M1645">
        <v>0</v>
      </c>
      <c r="N1645">
        <v>0</v>
      </c>
      <c r="O1645">
        <v>1129032.3</v>
      </c>
      <c r="P1645" t="s">
        <v>32</v>
      </c>
      <c r="Q1645" t="s">
        <v>32</v>
      </c>
    </row>
    <row r="1646" spans="1:17" x14ac:dyDescent="0.25">
      <c r="A1646" t="s">
        <v>1763</v>
      </c>
      <c r="B1646" s="1">
        <v>46006</v>
      </c>
      <c r="C1646" t="s">
        <v>47</v>
      </c>
      <c r="D1646" t="s">
        <v>48</v>
      </c>
      <c r="E1646" t="s">
        <v>35</v>
      </c>
      <c r="F1646" t="s">
        <v>42</v>
      </c>
      <c r="G1646" t="s">
        <v>22</v>
      </c>
      <c r="H1646" t="s">
        <v>57</v>
      </c>
      <c r="I1646" t="s">
        <v>58</v>
      </c>
      <c r="J1646">
        <v>50</v>
      </c>
      <c r="K1646">
        <v>32245.99</v>
      </c>
      <c r="L1646">
        <v>1612299.5</v>
      </c>
      <c r="M1646">
        <v>0</v>
      </c>
      <c r="N1646">
        <v>0</v>
      </c>
      <c r="O1646">
        <v>1612299.5</v>
      </c>
      <c r="P1646" t="s">
        <v>25</v>
      </c>
      <c r="Q1646" t="s">
        <v>26</v>
      </c>
    </row>
    <row r="1647" spans="1:17" x14ac:dyDescent="0.25">
      <c r="A1647" t="s">
        <v>1764</v>
      </c>
      <c r="B1647" s="1">
        <v>46037</v>
      </c>
      <c r="C1647" t="s">
        <v>18</v>
      </c>
      <c r="D1647" t="s">
        <v>19</v>
      </c>
      <c r="E1647" t="s">
        <v>41</v>
      </c>
      <c r="F1647" t="s">
        <v>50</v>
      </c>
      <c r="G1647" t="s">
        <v>43</v>
      </c>
      <c r="H1647" t="s">
        <v>23</v>
      </c>
      <c r="I1647" t="s">
        <v>52</v>
      </c>
      <c r="J1647">
        <v>19</v>
      </c>
      <c r="K1647">
        <v>16204.82</v>
      </c>
      <c r="L1647">
        <v>307891.58</v>
      </c>
      <c r="M1647">
        <v>0</v>
      </c>
      <c r="N1647">
        <v>0</v>
      </c>
      <c r="O1647">
        <v>307891.58</v>
      </c>
      <c r="P1647" t="s">
        <v>31</v>
      </c>
      <c r="Q1647" t="s">
        <v>32</v>
      </c>
    </row>
    <row r="1648" spans="1:17" x14ac:dyDescent="0.25">
      <c r="A1648" t="s">
        <v>1765</v>
      </c>
      <c r="B1648" s="1">
        <v>45994</v>
      </c>
      <c r="C1648" t="s">
        <v>18</v>
      </c>
      <c r="D1648" t="s">
        <v>28</v>
      </c>
      <c r="E1648" t="s">
        <v>49</v>
      </c>
      <c r="F1648" t="s">
        <v>42</v>
      </c>
      <c r="G1648" t="s">
        <v>22</v>
      </c>
      <c r="H1648" t="s">
        <v>94</v>
      </c>
      <c r="I1648" t="s">
        <v>163</v>
      </c>
      <c r="J1648">
        <v>50</v>
      </c>
      <c r="K1648">
        <v>36571.519999999997</v>
      </c>
      <c r="L1648">
        <v>1828576</v>
      </c>
      <c r="M1648">
        <v>0</v>
      </c>
      <c r="N1648">
        <v>0</v>
      </c>
      <c r="O1648">
        <v>1828576</v>
      </c>
      <c r="P1648" t="s">
        <v>32</v>
      </c>
      <c r="Q1648" t="s">
        <v>32</v>
      </c>
    </row>
    <row r="1649" spans="1:17" x14ac:dyDescent="0.25">
      <c r="A1649" t="s">
        <v>1766</v>
      </c>
      <c r="B1649" s="1">
        <v>46016</v>
      </c>
      <c r="C1649" t="s">
        <v>54</v>
      </c>
      <c r="D1649" t="s">
        <v>55</v>
      </c>
      <c r="E1649" t="s">
        <v>35</v>
      </c>
      <c r="F1649" t="s">
        <v>137</v>
      </c>
      <c r="G1649" t="s">
        <v>22</v>
      </c>
      <c r="H1649" t="s">
        <v>38</v>
      </c>
      <c r="I1649" t="s">
        <v>120</v>
      </c>
      <c r="J1649">
        <v>2</v>
      </c>
      <c r="K1649">
        <v>41133.82</v>
      </c>
      <c r="L1649">
        <v>82267.64</v>
      </c>
      <c r="M1649">
        <v>0</v>
      </c>
      <c r="N1649">
        <v>0</v>
      </c>
      <c r="O1649">
        <v>82267.64</v>
      </c>
      <c r="P1649" t="s">
        <v>25</v>
      </c>
      <c r="Q1649" t="s">
        <v>128</v>
      </c>
    </row>
    <row r="1650" spans="1:17" x14ac:dyDescent="0.25">
      <c r="A1650" t="s">
        <v>1767</v>
      </c>
      <c r="B1650" s="1">
        <v>46013</v>
      </c>
      <c r="C1650" t="s">
        <v>60</v>
      </c>
      <c r="D1650" t="s">
        <v>61</v>
      </c>
      <c r="E1650" t="s">
        <v>49</v>
      </c>
      <c r="F1650" t="s">
        <v>50</v>
      </c>
      <c r="G1650" t="s">
        <v>81</v>
      </c>
      <c r="H1650" t="s">
        <v>67</v>
      </c>
      <c r="I1650" t="s">
        <v>77</v>
      </c>
      <c r="J1650">
        <v>1</v>
      </c>
      <c r="K1650">
        <v>18794.97</v>
      </c>
      <c r="L1650">
        <v>18794.97</v>
      </c>
      <c r="M1650">
        <v>3031.99</v>
      </c>
      <c r="N1650">
        <v>0</v>
      </c>
      <c r="O1650">
        <v>15762.98</v>
      </c>
      <c r="P1650" t="s">
        <v>31</v>
      </c>
      <c r="Q1650" t="s">
        <v>32</v>
      </c>
    </row>
    <row r="1651" spans="1:17" x14ac:dyDescent="0.25">
      <c r="A1651" t="s">
        <v>1768</v>
      </c>
      <c r="B1651" s="1">
        <v>46037</v>
      </c>
      <c r="C1651" t="s">
        <v>79</v>
      </c>
      <c r="D1651" t="s">
        <v>107</v>
      </c>
      <c r="E1651" t="s">
        <v>20</v>
      </c>
      <c r="F1651" t="s">
        <v>71</v>
      </c>
      <c r="G1651" t="s">
        <v>29</v>
      </c>
      <c r="H1651" t="s">
        <v>23</v>
      </c>
      <c r="I1651" t="s">
        <v>131</v>
      </c>
      <c r="J1651">
        <v>36</v>
      </c>
      <c r="K1651">
        <v>33659.22</v>
      </c>
      <c r="L1651">
        <v>1211731.92</v>
      </c>
      <c r="M1651">
        <v>134430.15</v>
      </c>
      <c r="N1651">
        <v>0</v>
      </c>
      <c r="O1651">
        <v>1077301.77</v>
      </c>
      <c r="P1651" t="s">
        <v>25</v>
      </c>
      <c r="Q1651" t="s">
        <v>128</v>
      </c>
    </row>
    <row r="1652" spans="1:17" x14ac:dyDescent="0.25">
      <c r="A1652" t="s">
        <v>1769</v>
      </c>
      <c r="B1652" s="1">
        <v>45962</v>
      </c>
      <c r="C1652" t="s">
        <v>18</v>
      </c>
      <c r="D1652" t="s">
        <v>28</v>
      </c>
      <c r="E1652" t="s">
        <v>35</v>
      </c>
      <c r="F1652" t="s">
        <v>84</v>
      </c>
      <c r="G1652" t="s">
        <v>56</v>
      </c>
      <c r="H1652" t="s">
        <v>94</v>
      </c>
      <c r="I1652" t="s">
        <v>177</v>
      </c>
      <c r="J1652">
        <v>22</v>
      </c>
      <c r="K1652">
        <v>9116.48</v>
      </c>
      <c r="L1652">
        <v>200562.56</v>
      </c>
      <c r="M1652">
        <v>36220.61</v>
      </c>
      <c r="N1652">
        <v>0</v>
      </c>
      <c r="O1652">
        <v>164341.95000000001</v>
      </c>
      <c r="P1652" t="s">
        <v>31</v>
      </c>
      <c r="Q1652" t="s">
        <v>32</v>
      </c>
    </row>
    <row r="1653" spans="1:17" x14ac:dyDescent="0.25">
      <c r="A1653" t="s">
        <v>1770</v>
      </c>
      <c r="B1653" s="1">
        <v>45973</v>
      </c>
      <c r="C1653" t="s">
        <v>18</v>
      </c>
      <c r="D1653" t="s">
        <v>28</v>
      </c>
      <c r="E1653" t="s">
        <v>20</v>
      </c>
      <c r="F1653" t="s">
        <v>84</v>
      </c>
      <c r="G1653" t="s">
        <v>89</v>
      </c>
      <c r="H1653" t="s">
        <v>57</v>
      </c>
      <c r="I1653" t="s">
        <v>92</v>
      </c>
      <c r="J1653">
        <v>40</v>
      </c>
      <c r="K1653">
        <v>42970.15</v>
      </c>
      <c r="L1653">
        <v>1718806</v>
      </c>
      <c r="M1653">
        <v>19213.169999999998</v>
      </c>
      <c r="N1653">
        <v>256336.57</v>
      </c>
      <c r="O1653">
        <v>1443256.26</v>
      </c>
      <c r="P1653" t="s">
        <v>32</v>
      </c>
      <c r="Q1653" t="s">
        <v>32</v>
      </c>
    </row>
    <row r="1654" spans="1:17" x14ac:dyDescent="0.25">
      <c r="A1654" t="s">
        <v>1771</v>
      </c>
      <c r="B1654" s="1">
        <v>45998</v>
      </c>
      <c r="C1654" t="s">
        <v>60</v>
      </c>
      <c r="D1654" t="s">
        <v>61</v>
      </c>
      <c r="E1654" t="s">
        <v>20</v>
      </c>
      <c r="F1654" t="s">
        <v>21</v>
      </c>
      <c r="G1654" t="s">
        <v>37</v>
      </c>
      <c r="H1654" t="s">
        <v>94</v>
      </c>
      <c r="I1654" t="s">
        <v>115</v>
      </c>
      <c r="J1654">
        <v>27</v>
      </c>
      <c r="K1654">
        <v>12185.76</v>
      </c>
      <c r="L1654">
        <v>329015.52</v>
      </c>
      <c r="M1654">
        <v>21335.439999999999</v>
      </c>
      <c r="N1654">
        <v>0</v>
      </c>
      <c r="O1654">
        <v>307680.08</v>
      </c>
      <c r="P1654" t="s">
        <v>31</v>
      </c>
      <c r="Q1654" t="s">
        <v>32</v>
      </c>
    </row>
    <row r="1655" spans="1:17" x14ac:dyDescent="0.25">
      <c r="A1655" t="s">
        <v>1772</v>
      </c>
      <c r="B1655" s="1">
        <v>45993</v>
      </c>
      <c r="C1655" t="s">
        <v>54</v>
      </c>
      <c r="D1655" t="s">
        <v>55</v>
      </c>
      <c r="E1655" t="s">
        <v>49</v>
      </c>
      <c r="F1655" t="s">
        <v>21</v>
      </c>
      <c r="G1655" t="s">
        <v>98</v>
      </c>
      <c r="H1655" t="s">
        <v>23</v>
      </c>
      <c r="I1655" t="s">
        <v>52</v>
      </c>
      <c r="J1655">
        <v>48</v>
      </c>
      <c r="K1655">
        <v>25778.799999999999</v>
      </c>
      <c r="L1655">
        <v>1237382.3999999999</v>
      </c>
      <c r="M1655">
        <v>98602.43</v>
      </c>
      <c r="N1655">
        <v>305922.82</v>
      </c>
      <c r="O1655">
        <v>832857.15</v>
      </c>
      <c r="P1655" t="s">
        <v>31</v>
      </c>
      <c r="Q1655" t="s">
        <v>32</v>
      </c>
    </row>
    <row r="1656" spans="1:17" x14ac:dyDescent="0.25">
      <c r="A1656" t="s">
        <v>1773</v>
      </c>
      <c r="B1656" s="1">
        <v>46028</v>
      </c>
      <c r="C1656" t="s">
        <v>79</v>
      </c>
      <c r="D1656" t="s">
        <v>101</v>
      </c>
      <c r="E1656" t="s">
        <v>49</v>
      </c>
      <c r="F1656" t="s">
        <v>62</v>
      </c>
      <c r="G1656" t="s">
        <v>51</v>
      </c>
      <c r="H1656" t="s">
        <v>67</v>
      </c>
      <c r="I1656" t="s">
        <v>103</v>
      </c>
      <c r="J1656">
        <v>8</v>
      </c>
      <c r="K1656">
        <v>46543.59</v>
      </c>
      <c r="L1656">
        <v>372348.72</v>
      </c>
      <c r="M1656">
        <v>57272.46</v>
      </c>
      <c r="N1656">
        <v>0</v>
      </c>
      <c r="O1656">
        <v>315076.26</v>
      </c>
      <c r="P1656" t="s">
        <v>31</v>
      </c>
      <c r="Q1656" t="s">
        <v>32</v>
      </c>
    </row>
    <row r="1657" spans="1:17" x14ac:dyDescent="0.25">
      <c r="A1657" t="s">
        <v>1774</v>
      </c>
      <c r="B1657" s="1">
        <v>45974</v>
      </c>
      <c r="C1657" t="s">
        <v>47</v>
      </c>
      <c r="D1657" t="s">
        <v>127</v>
      </c>
      <c r="E1657" t="s">
        <v>49</v>
      </c>
      <c r="F1657" t="s">
        <v>137</v>
      </c>
      <c r="G1657" t="s">
        <v>85</v>
      </c>
      <c r="H1657" t="s">
        <v>57</v>
      </c>
      <c r="I1657" t="s">
        <v>160</v>
      </c>
      <c r="J1657">
        <v>47</v>
      </c>
      <c r="K1657">
        <v>26535.33</v>
      </c>
      <c r="L1657">
        <v>1247160.51</v>
      </c>
      <c r="M1657">
        <v>109696.15</v>
      </c>
      <c r="N1657">
        <v>0</v>
      </c>
      <c r="O1657">
        <v>1137464.3600000001</v>
      </c>
      <c r="P1657" t="s">
        <v>32</v>
      </c>
      <c r="Q1657" t="s">
        <v>26</v>
      </c>
    </row>
    <row r="1658" spans="1:17" x14ac:dyDescent="0.25">
      <c r="A1658" t="s">
        <v>1775</v>
      </c>
      <c r="B1658" s="1">
        <v>46018</v>
      </c>
      <c r="C1658" t="s">
        <v>79</v>
      </c>
      <c r="D1658" t="s">
        <v>91</v>
      </c>
      <c r="E1658" t="s">
        <v>49</v>
      </c>
      <c r="F1658" t="s">
        <v>50</v>
      </c>
      <c r="G1658" t="s">
        <v>51</v>
      </c>
      <c r="H1658" t="s">
        <v>94</v>
      </c>
      <c r="I1658" t="s">
        <v>177</v>
      </c>
      <c r="J1658">
        <v>18</v>
      </c>
      <c r="K1658">
        <v>1038.8900000000001</v>
      </c>
      <c r="L1658">
        <v>18700.02</v>
      </c>
      <c r="M1658">
        <v>0</v>
      </c>
      <c r="N1658">
        <v>590.51</v>
      </c>
      <c r="O1658">
        <v>18109.509999999998</v>
      </c>
      <c r="P1658" t="s">
        <v>31</v>
      </c>
      <c r="Q1658" t="s">
        <v>32</v>
      </c>
    </row>
    <row r="1659" spans="1:17" x14ac:dyDescent="0.25">
      <c r="A1659" t="s">
        <v>1776</v>
      </c>
      <c r="B1659" s="1">
        <v>46027</v>
      </c>
      <c r="C1659" t="s">
        <v>18</v>
      </c>
      <c r="D1659" t="s">
        <v>75</v>
      </c>
      <c r="E1659" t="s">
        <v>35</v>
      </c>
      <c r="F1659" t="s">
        <v>42</v>
      </c>
      <c r="G1659" t="s">
        <v>66</v>
      </c>
      <c r="H1659" t="s">
        <v>67</v>
      </c>
      <c r="I1659" t="s">
        <v>170</v>
      </c>
      <c r="J1659">
        <v>13</v>
      </c>
      <c r="K1659">
        <v>24686.97</v>
      </c>
      <c r="L1659">
        <v>320930.61</v>
      </c>
      <c r="M1659">
        <v>16417.03</v>
      </c>
      <c r="N1659">
        <v>0</v>
      </c>
      <c r="O1659">
        <v>304513.58</v>
      </c>
      <c r="P1659" t="s">
        <v>73</v>
      </c>
      <c r="Q1659" t="s">
        <v>32</v>
      </c>
    </row>
    <row r="1660" spans="1:17" x14ac:dyDescent="0.25">
      <c r="A1660" t="s">
        <v>1777</v>
      </c>
      <c r="B1660" s="1">
        <v>45967</v>
      </c>
      <c r="C1660" t="s">
        <v>47</v>
      </c>
      <c r="D1660" t="s">
        <v>114</v>
      </c>
      <c r="E1660" t="s">
        <v>20</v>
      </c>
      <c r="F1660" t="s">
        <v>62</v>
      </c>
      <c r="G1660" t="s">
        <v>56</v>
      </c>
      <c r="H1660" t="s">
        <v>57</v>
      </c>
      <c r="I1660" t="s">
        <v>92</v>
      </c>
      <c r="J1660">
        <v>21</v>
      </c>
      <c r="K1660">
        <v>10818.41</v>
      </c>
      <c r="L1660">
        <v>227186.61</v>
      </c>
      <c r="M1660">
        <v>0</v>
      </c>
      <c r="N1660">
        <v>0</v>
      </c>
      <c r="O1660">
        <v>227186.61</v>
      </c>
      <c r="P1660" t="s">
        <v>32</v>
      </c>
      <c r="Q1660" t="s">
        <v>26</v>
      </c>
    </row>
    <row r="1661" spans="1:17" x14ac:dyDescent="0.25">
      <c r="A1661" t="s">
        <v>1778</v>
      </c>
      <c r="B1661" s="1">
        <v>45977</v>
      </c>
      <c r="C1661" t="s">
        <v>60</v>
      </c>
      <c r="D1661" t="s">
        <v>61</v>
      </c>
      <c r="E1661" t="s">
        <v>49</v>
      </c>
      <c r="F1661" t="s">
        <v>42</v>
      </c>
      <c r="G1661" t="s">
        <v>56</v>
      </c>
      <c r="H1661" t="s">
        <v>44</v>
      </c>
      <c r="I1661" t="s">
        <v>152</v>
      </c>
      <c r="J1661">
        <v>21</v>
      </c>
      <c r="K1661">
        <v>40959.26</v>
      </c>
      <c r="L1661">
        <v>860144.46</v>
      </c>
      <c r="M1661">
        <v>0</v>
      </c>
      <c r="N1661">
        <v>0</v>
      </c>
      <c r="O1661">
        <v>860144.46</v>
      </c>
      <c r="P1661" t="s">
        <v>73</v>
      </c>
      <c r="Q1661" t="s">
        <v>32</v>
      </c>
    </row>
    <row r="1662" spans="1:17" x14ac:dyDescent="0.25">
      <c r="A1662" t="s">
        <v>1779</v>
      </c>
      <c r="B1662" s="1">
        <v>45978</v>
      </c>
      <c r="C1662" t="s">
        <v>54</v>
      </c>
      <c r="D1662" t="s">
        <v>133</v>
      </c>
      <c r="E1662" t="s">
        <v>20</v>
      </c>
      <c r="F1662" t="s">
        <v>112</v>
      </c>
      <c r="G1662" t="s">
        <v>138</v>
      </c>
      <c r="H1662" t="s">
        <v>23</v>
      </c>
      <c r="I1662" t="s">
        <v>30</v>
      </c>
      <c r="J1662">
        <v>25</v>
      </c>
      <c r="K1662">
        <v>40899.11</v>
      </c>
      <c r="L1662">
        <v>1022477.75</v>
      </c>
      <c r="M1662">
        <v>0</v>
      </c>
      <c r="N1662">
        <v>0</v>
      </c>
      <c r="O1662">
        <v>1022477.75</v>
      </c>
      <c r="P1662" t="s">
        <v>31</v>
      </c>
      <c r="Q1662" t="s">
        <v>32</v>
      </c>
    </row>
    <row r="1663" spans="1:17" x14ac:dyDescent="0.25">
      <c r="A1663" t="s">
        <v>1780</v>
      </c>
      <c r="B1663" s="1">
        <v>45958</v>
      </c>
      <c r="C1663" t="s">
        <v>54</v>
      </c>
      <c r="D1663" t="s">
        <v>133</v>
      </c>
      <c r="E1663" t="s">
        <v>35</v>
      </c>
      <c r="F1663" t="s">
        <v>137</v>
      </c>
      <c r="G1663" t="s">
        <v>51</v>
      </c>
      <c r="H1663" t="s">
        <v>67</v>
      </c>
      <c r="I1663" t="s">
        <v>103</v>
      </c>
      <c r="J1663">
        <v>11</v>
      </c>
      <c r="K1663">
        <v>44498.34</v>
      </c>
      <c r="L1663">
        <v>489481.74</v>
      </c>
      <c r="M1663">
        <v>0</v>
      </c>
      <c r="N1663">
        <v>74572.94</v>
      </c>
      <c r="O1663">
        <v>414908.8</v>
      </c>
      <c r="P1663" t="s">
        <v>31</v>
      </c>
      <c r="Q1663" t="s">
        <v>32</v>
      </c>
    </row>
    <row r="1664" spans="1:17" x14ac:dyDescent="0.25">
      <c r="A1664" t="s">
        <v>1781</v>
      </c>
      <c r="B1664" s="1">
        <v>45973</v>
      </c>
      <c r="C1664" t="s">
        <v>47</v>
      </c>
      <c r="D1664" t="s">
        <v>48</v>
      </c>
      <c r="E1664" t="s">
        <v>41</v>
      </c>
      <c r="F1664" t="s">
        <v>105</v>
      </c>
      <c r="G1664" t="s">
        <v>37</v>
      </c>
      <c r="H1664" t="s">
        <v>94</v>
      </c>
      <c r="I1664" t="s">
        <v>144</v>
      </c>
      <c r="J1664">
        <v>44</v>
      </c>
      <c r="K1664">
        <v>21801.23</v>
      </c>
      <c r="L1664">
        <v>959254.12</v>
      </c>
      <c r="M1664">
        <v>0</v>
      </c>
      <c r="N1664">
        <v>0</v>
      </c>
      <c r="O1664">
        <v>959254.12</v>
      </c>
      <c r="P1664" t="s">
        <v>32</v>
      </c>
      <c r="Q1664" t="s">
        <v>26</v>
      </c>
    </row>
    <row r="1665" spans="1:17" x14ac:dyDescent="0.25">
      <c r="A1665" t="s">
        <v>1782</v>
      </c>
      <c r="B1665" s="1">
        <v>45994</v>
      </c>
      <c r="C1665" t="s">
        <v>54</v>
      </c>
      <c r="D1665" t="s">
        <v>55</v>
      </c>
      <c r="E1665" t="s">
        <v>41</v>
      </c>
      <c r="F1665" t="s">
        <v>62</v>
      </c>
      <c r="G1665" t="s">
        <v>98</v>
      </c>
      <c r="H1665" t="s">
        <v>23</v>
      </c>
      <c r="I1665" t="s">
        <v>52</v>
      </c>
      <c r="J1665">
        <v>26</v>
      </c>
      <c r="K1665">
        <v>9682.7999999999993</v>
      </c>
      <c r="L1665">
        <v>251752.8</v>
      </c>
      <c r="M1665">
        <v>14580.73</v>
      </c>
      <c r="N1665">
        <v>0</v>
      </c>
      <c r="O1665">
        <v>237172.07</v>
      </c>
      <c r="P1665" t="s">
        <v>25</v>
      </c>
      <c r="Q1665" t="s">
        <v>26</v>
      </c>
    </row>
    <row r="1666" spans="1:17" x14ac:dyDescent="0.25">
      <c r="A1666" t="s">
        <v>1783</v>
      </c>
      <c r="B1666" s="1">
        <v>46019</v>
      </c>
      <c r="C1666" t="s">
        <v>54</v>
      </c>
      <c r="D1666" t="s">
        <v>133</v>
      </c>
      <c r="E1666" t="s">
        <v>20</v>
      </c>
      <c r="F1666" t="s">
        <v>62</v>
      </c>
      <c r="G1666" t="s">
        <v>56</v>
      </c>
      <c r="H1666" t="s">
        <v>44</v>
      </c>
      <c r="I1666" t="s">
        <v>281</v>
      </c>
      <c r="J1666">
        <v>40</v>
      </c>
      <c r="K1666">
        <v>20007.849999999999</v>
      </c>
      <c r="L1666">
        <v>800314</v>
      </c>
      <c r="M1666">
        <v>0</v>
      </c>
      <c r="N1666">
        <v>0</v>
      </c>
      <c r="O1666">
        <v>800314</v>
      </c>
      <c r="P1666" t="s">
        <v>32</v>
      </c>
      <c r="Q1666" t="s">
        <v>26</v>
      </c>
    </row>
    <row r="1667" spans="1:17" x14ac:dyDescent="0.25">
      <c r="A1667" t="s">
        <v>1784</v>
      </c>
      <c r="B1667" s="1">
        <v>45981</v>
      </c>
      <c r="C1667" t="s">
        <v>54</v>
      </c>
      <c r="D1667" t="s">
        <v>97</v>
      </c>
      <c r="E1667" t="s">
        <v>35</v>
      </c>
      <c r="F1667" t="s">
        <v>50</v>
      </c>
      <c r="G1667" t="s">
        <v>140</v>
      </c>
      <c r="H1667" t="s">
        <v>23</v>
      </c>
      <c r="I1667" t="s">
        <v>24</v>
      </c>
      <c r="J1667">
        <v>8</v>
      </c>
      <c r="K1667">
        <v>7565.9</v>
      </c>
      <c r="L1667">
        <v>60527.199999999997</v>
      </c>
      <c r="M1667">
        <v>4521.57</v>
      </c>
      <c r="N1667">
        <v>0</v>
      </c>
      <c r="O1667">
        <v>56005.63</v>
      </c>
      <c r="P1667" t="s">
        <v>31</v>
      </c>
      <c r="Q1667" t="s">
        <v>32</v>
      </c>
    </row>
    <row r="1668" spans="1:17" x14ac:dyDescent="0.25">
      <c r="A1668" t="s">
        <v>1785</v>
      </c>
      <c r="B1668" s="1">
        <v>45976</v>
      </c>
      <c r="C1668" t="s">
        <v>47</v>
      </c>
      <c r="D1668" t="s">
        <v>127</v>
      </c>
      <c r="E1668" t="s">
        <v>20</v>
      </c>
      <c r="F1668" t="s">
        <v>84</v>
      </c>
      <c r="G1668" t="s">
        <v>51</v>
      </c>
      <c r="H1668" t="s">
        <v>44</v>
      </c>
      <c r="I1668" t="s">
        <v>135</v>
      </c>
      <c r="J1668">
        <v>6</v>
      </c>
      <c r="K1668">
        <v>48924.06</v>
      </c>
      <c r="L1668">
        <v>293544.36</v>
      </c>
      <c r="M1668">
        <v>531.75</v>
      </c>
      <c r="N1668">
        <v>0</v>
      </c>
      <c r="O1668">
        <v>293012.61</v>
      </c>
      <c r="P1668" t="s">
        <v>31</v>
      </c>
      <c r="Q1668" t="s">
        <v>32</v>
      </c>
    </row>
    <row r="1669" spans="1:17" x14ac:dyDescent="0.25">
      <c r="A1669" t="s">
        <v>1786</v>
      </c>
      <c r="B1669" s="1">
        <v>46017</v>
      </c>
      <c r="C1669" t="s">
        <v>60</v>
      </c>
      <c r="D1669" t="s">
        <v>123</v>
      </c>
      <c r="E1669" t="s">
        <v>49</v>
      </c>
      <c r="F1669" t="s">
        <v>21</v>
      </c>
      <c r="G1669" t="s">
        <v>43</v>
      </c>
      <c r="H1669" t="s">
        <v>23</v>
      </c>
      <c r="I1669" t="s">
        <v>52</v>
      </c>
      <c r="J1669">
        <v>16</v>
      </c>
      <c r="K1669">
        <v>21018.720000000001</v>
      </c>
      <c r="L1669">
        <v>336299.52000000002</v>
      </c>
      <c r="M1669">
        <v>19701.78</v>
      </c>
      <c r="N1669">
        <v>32269.08</v>
      </c>
      <c r="O1669">
        <v>284328.65999999997</v>
      </c>
      <c r="P1669" t="s">
        <v>25</v>
      </c>
      <c r="Q1669" t="s">
        <v>26</v>
      </c>
    </row>
    <row r="1670" spans="1:17" x14ac:dyDescent="0.25">
      <c r="A1670" t="s">
        <v>1787</v>
      </c>
      <c r="B1670" s="1">
        <v>45986</v>
      </c>
      <c r="C1670" t="s">
        <v>54</v>
      </c>
      <c r="D1670" t="s">
        <v>133</v>
      </c>
      <c r="E1670" t="s">
        <v>41</v>
      </c>
      <c r="F1670" t="s">
        <v>50</v>
      </c>
      <c r="G1670" t="s">
        <v>140</v>
      </c>
      <c r="H1670" t="s">
        <v>38</v>
      </c>
      <c r="I1670" t="s">
        <v>120</v>
      </c>
      <c r="J1670">
        <v>44</v>
      </c>
      <c r="K1670">
        <v>44915.81</v>
      </c>
      <c r="L1670">
        <v>1976295.64</v>
      </c>
      <c r="M1670">
        <v>109228.27</v>
      </c>
      <c r="N1670">
        <v>0</v>
      </c>
      <c r="O1670">
        <v>1867067.37</v>
      </c>
      <c r="P1670" t="s">
        <v>73</v>
      </c>
      <c r="Q1670" t="s">
        <v>32</v>
      </c>
    </row>
    <row r="1671" spans="1:17" x14ac:dyDescent="0.25">
      <c r="A1671" t="s">
        <v>1788</v>
      </c>
      <c r="B1671" s="1">
        <v>46005</v>
      </c>
      <c r="C1671" t="s">
        <v>18</v>
      </c>
      <c r="D1671" t="s">
        <v>34</v>
      </c>
      <c r="E1671" t="s">
        <v>35</v>
      </c>
      <c r="F1671" t="s">
        <v>42</v>
      </c>
      <c r="G1671" t="s">
        <v>29</v>
      </c>
      <c r="H1671" t="s">
        <v>67</v>
      </c>
      <c r="I1671" t="s">
        <v>154</v>
      </c>
      <c r="J1671">
        <v>37</v>
      </c>
      <c r="K1671">
        <v>15887.35</v>
      </c>
      <c r="L1671">
        <v>587831.94999999995</v>
      </c>
      <c r="M1671">
        <v>0</v>
      </c>
      <c r="N1671">
        <v>0</v>
      </c>
      <c r="O1671">
        <v>587831.94999999995</v>
      </c>
      <c r="P1671" t="s">
        <v>31</v>
      </c>
      <c r="Q1671" t="s">
        <v>32</v>
      </c>
    </row>
    <row r="1672" spans="1:17" x14ac:dyDescent="0.25">
      <c r="A1672" t="s">
        <v>1789</v>
      </c>
      <c r="B1672" s="1">
        <v>46039</v>
      </c>
      <c r="C1672" t="s">
        <v>79</v>
      </c>
      <c r="D1672" t="s">
        <v>107</v>
      </c>
      <c r="E1672" t="s">
        <v>41</v>
      </c>
      <c r="F1672" t="s">
        <v>71</v>
      </c>
      <c r="G1672" t="s">
        <v>51</v>
      </c>
      <c r="H1672" t="s">
        <v>23</v>
      </c>
      <c r="I1672" t="s">
        <v>131</v>
      </c>
      <c r="J1672">
        <v>4</v>
      </c>
      <c r="K1672">
        <v>9033.2800000000007</v>
      </c>
      <c r="L1672">
        <v>36133.120000000003</v>
      </c>
      <c r="M1672">
        <v>0</v>
      </c>
      <c r="N1672">
        <v>0</v>
      </c>
      <c r="O1672">
        <v>36133.120000000003</v>
      </c>
      <c r="P1672" t="s">
        <v>31</v>
      </c>
      <c r="Q1672" t="s">
        <v>32</v>
      </c>
    </row>
    <row r="1673" spans="1:17" x14ac:dyDescent="0.25">
      <c r="A1673" t="s">
        <v>1790</v>
      </c>
      <c r="B1673" s="1">
        <v>45995</v>
      </c>
      <c r="C1673" t="s">
        <v>47</v>
      </c>
      <c r="D1673" t="s">
        <v>127</v>
      </c>
      <c r="E1673" t="s">
        <v>49</v>
      </c>
      <c r="F1673" t="s">
        <v>21</v>
      </c>
      <c r="G1673" t="s">
        <v>98</v>
      </c>
      <c r="H1673" t="s">
        <v>94</v>
      </c>
      <c r="I1673" t="s">
        <v>163</v>
      </c>
      <c r="J1673">
        <v>24</v>
      </c>
      <c r="K1673">
        <v>26123.05</v>
      </c>
      <c r="L1673">
        <v>626953.19999999995</v>
      </c>
      <c r="M1673">
        <v>101513.45</v>
      </c>
      <c r="N1673">
        <v>122206.64</v>
      </c>
      <c r="O1673">
        <v>403233.11</v>
      </c>
      <c r="P1673" t="s">
        <v>32</v>
      </c>
      <c r="Q1673" t="s">
        <v>32</v>
      </c>
    </row>
    <row r="1674" spans="1:17" x14ac:dyDescent="0.25">
      <c r="A1674" t="s">
        <v>1791</v>
      </c>
      <c r="B1674" s="1">
        <v>46007</v>
      </c>
      <c r="C1674" t="s">
        <v>47</v>
      </c>
      <c r="D1674" t="s">
        <v>88</v>
      </c>
      <c r="E1674" t="s">
        <v>41</v>
      </c>
      <c r="F1674" t="s">
        <v>50</v>
      </c>
      <c r="G1674" t="s">
        <v>89</v>
      </c>
      <c r="H1674" t="s">
        <v>38</v>
      </c>
      <c r="I1674" t="s">
        <v>82</v>
      </c>
      <c r="J1674">
        <v>38</v>
      </c>
      <c r="K1674">
        <v>44822.73</v>
      </c>
      <c r="L1674">
        <v>1703263.74</v>
      </c>
      <c r="M1674">
        <v>280659.09000000003</v>
      </c>
      <c r="N1674">
        <v>0</v>
      </c>
      <c r="O1674">
        <v>1422604.65</v>
      </c>
      <c r="P1674" t="s">
        <v>25</v>
      </c>
      <c r="Q1674" t="s">
        <v>32</v>
      </c>
    </row>
    <row r="1675" spans="1:17" x14ac:dyDescent="0.25">
      <c r="A1675" t="s">
        <v>1792</v>
      </c>
      <c r="B1675" s="1">
        <v>46029</v>
      </c>
      <c r="C1675" t="s">
        <v>54</v>
      </c>
      <c r="D1675" t="s">
        <v>70</v>
      </c>
      <c r="E1675" t="s">
        <v>20</v>
      </c>
      <c r="F1675" t="s">
        <v>21</v>
      </c>
      <c r="G1675" t="s">
        <v>89</v>
      </c>
      <c r="H1675" t="s">
        <v>23</v>
      </c>
      <c r="I1675" t="s">
        <v>30</v>
      </c>
      <c r="J1675">
        <v>20</v>
      </c>
      <c r="K1675">
        <v>9717.41</v>
      </c>
      <c r="L1675">
        <v>194348.2</v>
      </c>
      <c r="M1675">
        <v>0</v>
      </c>
      <c r="N1675">
        <v>0</v>
      </c>
      <c r="O1675">
        <v>194348.2</v>
      </c>
      <c r="P1675" t="s">
        <v>31</v>
      </c>
      <c r="Q1675" t="s">
        <v>32</v>
      </c>
    </row>
    <row r="1676" spans="1:17" x14ac:dyDescent="0.25">
      <c r="A1676" t="s">
        <v>1793</v>
      </c>
      <c r="B1676" s="1">
        <v>45998</v>
      </c>
      <c r="C1676" t="s">
        <v>79</v>
      </c>
      <c r="D1676" t="s">
        <v>80</v>
      </c>
      <c r="E1676" t="s">
        <v>35</v>
      </c>
      <c r="F1676" t="s">
        <v>137</v>
      </c>
      <c r="G1676" t="s">
        <v>63</v>
      </c>
      <c r="H1676" t="s">
        <v>94</v>
      </c>
      <c r="I1676" t="s">
        <v>144</v>
      </c>
      <c r="J1676">
        <v>6</v>
      </c>
      <c r="K1676">
        <v>9800.3799999999992</v>
      </c>
      <c r="L1676">
        <v>58802.28</v>
      </c>
      <c r="M1676">
        <v>3449.09</v>
      </c>
      <c r="N1676">
        <v>0</v>
      </c>
      <c r="O1676">
        <v>55353.19</v>
      </c>
      <c r="P1676" t="s">
        <v>73</v>
      </c>
      <c r="Q1676" t="s">
        <v>32</v>
      </c>
    </row>
    <row r="1677" spans="1:17" x14ac:dyDescent="0.25">
      <c r="A1677" t="s">
        <v>1794</v>
      </c>
      <c r="B1677" s="1">
        <v>45995</v>
      </c>
      <c r="C1677" t="s">
        <v>60</v>
      </c>
      <c r="D1677" t="s">
        <v>151</v>
      </c>
      <c r="E1677" t="s">
        <v>49</v>
      </c>
      <c r="F1677" t="s">
        <v>21</v>
      </c>
      <c r="G1677" t="s">
        <v>89</v>
      </c>
      <c r="H1677" t="s">
        <v>23</v>
      </c>
      <c r="I1677" t="s">
        <v>24</v>
      </c>
      <c r="J1677">
        <v>41</v>
      </c>
      <c r="K1677">
        <v>12161.86</v>
      </c>
      <c r="L1677">
        <v>498636.26</v>
      </c>
      <c r="M1677">
        <v>0</v>
      </c>
      <c r="N1677">
        <v>115232.16</v>
      </c>
      <c r="O1677">
        <v>383404.1</v>
      </c>
      <c r="P1677" t="s">
        <v>32</v>
      </c>
      <c r="Q1677" t="s">
        <v>26</v>
      </c>
    </row>
    <row r="1678" spans="1:17" x14ac:dyDescent="0.25">
      <c r="A1678" t="s">
        <v>1795</v>
      </c>
      <c r="B1678" s="1">
        <v>46041</v>
      </c>
      <c r="C1678" t="s">
        <v>18</v>
      </c>
      <c r="D1678" t="s">
        <v>28</v>
      </c>
      <c r="E1678" t="s">
        <v>35</v>
      </c>
      <c r="F1678" t="s">
        <v>21</v>
      </c>
      <c r="G1678" t="s">
        <v>63</v>
      </c>
      <c r="H1678" t="s">
        <v>57</v>
      </c>
      <c r="I1678" t="s">
        <v>72</v>
      </c>
      <c r="J1678">
        <v>1</v>
      </c>
      <c r="K1678">
        <v>5795.04</v>
      </c>
      <c r="L1678">
        <v>5795.04</v>
      </c>
      <c r="M1678">
        <v>265.2</v>
      </c>
      <c r="N1678">
        <v>1001.1</v>
      </c>
      <c r="O1678">
        <v>4528.74</v>
      </c>
      <c r="P1678" t="s">
        <v>31</v>
      </c>
      <c r="Q1678" t="s">
        <v>32</v>
      </c>
    </row>
    <row r="1679" spans="1:17" x14ac:dyDescent="0.25">
      <c r="A1679" t="s">
        <v>1796</v>
      </c>
      <c r="B1679" s="1">
        <v>45970</v>
      </c>
      <c r="C1679" t="s">
        <v>18</v>
      </c>
      <c r="D1679" t="s">
        <v>28</v>
      </c>
      <c r="E1679" t="s">
        <v>20</v>
      </c>
      <c r="F1679" t="s">
        <v>62</v>
      </c>
      <c r="G1679" t="s">
        <v>37</v>
      </c>
      <c r="H1679" t="s">
        <v>94</v>
      </c>
      <c r="I1679" t="s">
        <v>163</v>
      </c>
      <c r="J1679">
        <v>5</v>
      </c>
      <c r="K1679">
        <v>46598.93</v>
      </c>
      <c r="L1679">
        <v>232994.65</v>
      </c>
      <c r="M1679">
        <v>0</v>
      </c>
      <c r="N1679">
        <v>0</v>
      </c>
      <c r="O1679">
        <v>232994.65</v>
      </c>
      <c r="P1679" t="s">
        <v>73</v>
      </c>
      <c r="Q1679" t="s">
        <v>32</v>
      </c>
    </row>
    <row r="1680" spans="1:17" x14ac:dyDescent="0.25">
      <c r="A1680" t="s">
        <v>1797</v>
      </c>
      <c r="B1680" s="1">
        <v>46008</v>
      </c>
      <c r="C1680" t="s">
        <v>18</v>
      </c>
      <c r="D1680" t="s">
        <v>34</v>
      </c>
      <c r="E1680" t="s">
        <v>41</v>
      </c>
      <c r="F1680" t="s">
        <v>84</v>
      </c>
      <c r="G1680" t="s">
        <v>89</v>
      </c>
      <c r="H1680" t="s">
        <v>44</v>
      </c>
      <c r="I1680" t="s">
        <v>281</v>
      </c>
      <c r="J1680">
        <v>28</v>
      </c>
      <c r="K1680">
        <v>49784.3</v>
      </c>
      <c r="L1680">
        <v>1393960.4</v>
      </c>
      <c r="M1680">
        <v>0</v>
      </c>
      <c r="N1680">
        <v>0</v>
      </c>
      <c r="O1680">
        <v>1393960.4</v>
      </c>
      <c r="P1680" t="s">
        <v>31</v>
      </c>
      <c r="Q1680" t="s">
        <v>32</v>
      </c>
    </row>
    <row r="1681" spans="1:17" x14ac:dyDescent="0.25">
      <c r="A1681" t="s">
        <v>1798</v>
      </c>
      <c r="B1681" s="1">
        <v>46034</v>
      </c>
      <c r="C1681" t="s">
        <v>79</v>
      </c>
      <c r="D1681" t="s">
        <v>107</v>
      </c>
      <c r="E1681" t="s">
        <v>35</v>
      </c>
      <c r="F1681" t="s">
        <v>36</v>
      </c>
      <c r="G1681" t="s">
        <v>140</v>
      </c>
      <c r="H1681" t="s">
        <v>38</v>
      </c>
      <c r="I1681" t="s">
        <v>108</v>
      </c>
      <c r="J1681">
        <v>50</v>
      </c>
      <c r="K1681">
        <v>24440.639999999999</v>
      </c>
      <c r="L1681">
        <v>1222032</v>
      </c>
      <c r="M1681">
        <v>227276.97</v>
      </c>
      <c r="N1681">
        <v>0</v>
      </c>
      <c r="O1681">
        <v>994755.03</v>
      </c>
      <c r="P1681" t="s">
        <v>25</v>
      </c>
      <c r="Q1681" t="s">
        <v>26</v>
      </c>
    </row>
    <row r="1682" spans="1:17" x14ac:dyDescent="0.25">
      <c r="A1682" t="s">
        <v>1799</v>
      </c>
      <c r="B1682" s="1">
        <v>46045</v>
      </c>
      <c r="C1682" t="s">
        <v>47</v>
      </c>
      <c r="D1682" t="s">
        <v>127</v>
      </c>
      <c r="E1682" t="s">
        <v>49</v>
      </c>
      <c r="F1682" t="s">
        <v>62</v>
      </c>
      <c r="G1682" t="s">
        <v>22</v>
      </c>
      <c r="H1682" t="s">
        <v>38</v>
      </c>
      <c r="I1682" t="s">
        <v>108</v>
      </c>
      <c r="J1682">
        <v>40</v>
      </c>
      <c r="K1682">
        <v>27233</v>
      </c>
      <c r="L1682">
        <v>1089320</v>
      </c>
      <c r="M1682">
        <v>149973.63</v>
      </c>
      <c r="N1682">
        <v>0</v>
      </c>
      <c r="O1682">
        <v>939346.37</v>
      </c>
      <c r="P1682" t="s">
        <v>25</v>
      </c>
      <c r="Q1682" t="s">
        <v>128</v>
      </c>
    </row>
    <row r="1683" spans="1:17" x14ac:dyDescent="0.25">
      <c r="A1683" t="s">
        <v>1800</v>
      </c>
      <c r="B1683" s="1">
        <v>45973</v>
      </c>
      <c r="C1683" t="s">
        <v>18</v>
      </c>
      <c r="D1683" t="s">
        <v>19</v>
      </c>
      <c r="E1683" t="s">
        <v>35</v>
      </c>
      <c r="F1683" t="s">
        <v>71</v>
      </c>
      <c r="G1683" t="s">
        <v>81</v>
      </c>
      <c r="H1683" t="s">
        <v>57</v>
      </c>
      <c r="I1683" t="s">
        <v>160</v>
      </c>
      <c r="J1683">
        <v>21</v>
      </c>
      <c r="K1683">
        <v>36958.69</v>
      </c>
      <c r="L1683">
        <v>776132.49</v>
      </c>
      <c r="M1683">
        <v>122884.5</v>
      </c>
      <c r="N1683">
        <v>0</v>
      </c>
      <c r="O1683">
        <v>653247.99</v>
      </c>
      <c r="P1683" t="s">
        <v>32</v>
      </c>
      <c r="Q1683" t="s">
        <v>26</v>
      </c>
    </row>
    <row r="1684" spans="1:17" x14ac:dyDescent="0.25">
      <c r="A1684" t="s">
        <v>1801</v>
      </c>
      <c r="B1684" s="1">
        <v>46012</v>
      </c>
      <c r="C1684" t="s">
        <v>54</v>
      </c>
      <c r="D1684" t="s">
        <v>133</v>
      </c>
      <c r="E1684" t="s">
        <v>20</v>
      </c>
      <c r="F1684" t="s">
        <v>62</v>
      </c>
      <c r="G1684" t="s">
        <v>51</v>
      </c>
      <c r="H1684" t="s">
        <v>94</v>
      </c>
      <c r="I1684" t="s">
        <v>177</v>
      </c>
      <c r="J1684">
        <v>37</v>
      </c>
      <c r="K1684">
        <v>13651.34</v>
      </c>
      <c r="L1684">
        <v>505099.58</v>
      </c>
      <c r="M1684">
        <v>21821.69</v>
      </c>
      <c r="N1684">
        <v>0</v>
      </c>
      <c r="O1684">
        <v>483277.89</v>
      </c>
      <c r="P1684" t="s">
        <v>73</v>
      </c>
      <c r="Q1684" t="s">
        <v>32</v>
      </c>
    </row>
    <row r="1685" spans="1:17" x14ac:dyDescent="0.25">
      <c r="A1685" t="s">
        <v>1802</v>
      </c>
      <c r="B1685" s="1">
        <v>46042</v>
      </c>
      <c r="C1685" t="s">
        <v>18</v>
      </c>
      <c r="D1685" t="s">
        <v>75</v>
      </c>
      <c r="E1685" t="s">
        <v>49</v>
      </c>
      <c r="F1685" t="s">
        <v>71</v>
      </c>
      <c r="G1685" t="s">
        <v>43</v>
      </c>
      <c r="H1685" t="s">
        <v>94</v>
      </c>
      <c r="I1685" t="s">
        <v>163</v>
      </c>
      <c r="J1685">
        <v>17</v>
      </c>
      <c r="K1685">
        <v>30104.97</v>
      </c>
      <c r="L1685">
        <v>511784.49</v>
      </c>
      <c r="M1685">
        <v>0</v>
      </c>
      <c r="N1685">
        <v>64177.65</v>
      </c>
      <c r="O1685">
        <v>447606.84</v>
      </c>
      <c r="P1685" t="s">
        <v>73</v>
      </c>
      <c r="Q1685" t="s">
        <v>32</v>
      </c>
    </row>
    <row r="1686" spans="1:17" x14ac:dyDescent="0.25">
      <c r="A1686" t="s">
        <v>1803</v>
      </c>
      <c r="B1686" s="1">
        <v>45973</v>
      </c>
      <c r="C1686" t="s">
        <v>47</v>
      </c>
      <c r="D1686" t="s">
        <v>48</v>
      </c>
      <c r="E1686" t="s">
        <v>41</v>
      </c>
      <c r="F1686" t="s">
        <v>21</v>
      </c>
      <c r="G1686" t="s">
        <v>102</v>
      </c>
      <c r="H1686" t="s">
        <v>67</v>
      </c>
      <c r="I1686" t="s">
        <v>170</v>
      </c>
      <c r="J1686">
        <v>42</v>
      </c>
      <c r="K1686">
        <v>16392.330000000002</v>
      </c>
      <c r="L1686">
        <v>688477.86</v>
      </c>
      <c r="M1686">
        <v>88791.25</v>
      </c>
      <c r="N1686">
        <v>0</v>
      </c>
      <c r="O1686">
        <v>599686.61</v>
      </c>
      <c r="P1686" t="s">
        <v>32</v>
      </c>
      <c r="Q1686" t="s">
        <v>26</v>
      </c>
    </row>
    <row r="1687" spans="1:17" x14ac:dyDescent="0.25">
      <c r="A1687" t="s">
        <v>1804</v>
      </c>
      <c r="B1687" s="1">
        <v>45955</v>
      </c>
      <c r="C1687" t="s">
        <v>79</v>
      </c>
      <c r="D1687" t="s">
        <v>101</v>
      </c>
      <c r="E1687" t="s">
        <v>20</v>
      </c>
      <c r="F1687" t="s">
        <v>84</v>
      </c>
      <c r="G1687" t="s">
        <v>29</v>
      </c>
      <c r="H1687" t="s">
        <v>44</v>
      </c>
      <c r="I1687" t="s">
        <v>124</v>
      </c>
      <c r="J1687">
        <v>35</v>
      </c>
      <c r="K1687">
        <v>36166.58</v>
      </c>
      <c r="L1687">
        <v>1265830.3</v>
      </c>
      <c r="M1687">
        <v>0</v>
      </c>
      <c r="N1687">
        <v>0</v>
      </c>
      <c r="O1687">
        <v>1265830.3</v>
      </c>
      <c r="P1687" t="s">
        <v>32</v>
      </c>
      <c r="Q1687" t="s">
        <v>32</v>
      </c>
    </row>
    <row r="1688" spans="1:17" x14ac:dyDescent="0.25">
      <c r="A1688" t="s">
        <v>1805</v>
      </c>
      <c r="B1688" s="1">
        <v>46016</v>
      </c>
      <c r="C1688" t="s">
        <v>18</v>
      </c>
      <c r="D1688" t="s">
        <v>28</v>
      </c>
      <c r="E1688" t="s">
        <v>20</v>
      </c>
      <c r="F1688" t="s">
        <v>84</v>
      </c>
      <c r="G1688" t="s">
        <v>140</v>
      </c>
      <c r="H1688" t="s">
        <v>94</v>
      </c>
      <c r="I1688" t="s">
        <v>163</v>
      </c>
      <c r="J1688">
        <v>22</v>
      </c>
      <c r="K1688">
        <v>22594.84</v>
      </c>
      <c r="L1688">
        <v>497086.48</v>
      </c>
      <c r="M1688">
        <v>23849.279999999999</v>
      </c>
      <c r="N1688">
        <v>0</v>
      </c>
      <c r="O1688">
        <v>473237.2</v>
      </c>
      <c r="P1688" t="s">
        <v>32</v>
      </c>
      <c r="Q1688" t="s">
        <v>32</v>
      </c>
    </row>
    <row r="1689" spans="1:17" x14ac:dyDescent="0.25">
      <c r="A1689" t="s">
        <v>1806</v>
      </c>
      <c r="B1689" s="1">
        <v>45993</v>
      </c>
      <c r="C1689" t="s">
        <v>47</v>
      </c>
      <c r="D1689" t="s">
        <v>127</v>
      </c>
      <c r="E1689" t="s">
        <v>49</v>
      </c>
      <c r="F1689" t="s">
        <v>50</v>
      </c>
      <c r="G1689" t="s">
        <v>51</v>
      </c>
      <c r="H1689" t="s">
        <v>67</v>
      </c>
      <c r="I1689" t="s">
        <v>170</v>
      </c>
      <c r="J1689">
        <v>4</v>
      </c>
      <c r="K1689">
        <v>48813.42</v>
      </c>
      <c r="L1689">
        <v>195253.68</v>
      </c>
      <c r="M1689">
        <v>18648.23</v>
      </c>
      <c r="N1689">
        <v>0</v>
      </c>
      <c r="O1689">
        <v>176605.45</v>
      </c>
      <c r="P1689" t="s">
        <v>31</v>
      </c>
      <c r="Q1689" t="s">
        <v>32</v>
      </c>
    </row>
    <row r="1690" spans="1:17" x14ac:dyDescent="0.25">
      <c r="A1690" t="s">
        <v>1807</v>
      </c>
      <c r="B1690" s="1">
        <v>46001</v>
      </c>
      <c r="C1690" t="s">
        <v>54</v>
      </c>
      <c r="D1690" t="s">
        <v>133</v>
      </c>
      <c r="E1690" t="s">
        <v>49</v>
      </c>
      <c r="F1690" t="s">
        <v>50</v>
      </c>
      <c r="G1690" t="s">
        <v>140</v>
      </c>
      <c r="H1690" t="s">
        <v>38</v>
      </c>
      <c r="I1690" t="s">
        <v>175</v>
      </c>
      <c r="J1690">
        <v>18</v>
      </c>
      <c r="K1690">
        <v>1910.84</v>
      </c>
      <c r="L1690">
        <v>34395.120000000003</v>
      </c>
      <c r="M1690">
        <v>0</v>
      </c>
      <c r="N1690">
        <v>0</v>
      </c>
      <c r="O1690">
        <v>34395.120000000003</v>
      </c>
      <c r="P1690" t="s">
        <v>32</v>
      </c>
      <c r="Q1690" t="s">
        <v>32</v>
      </c>
    </row>
    <row r="1691" spans="1:17" x14ac:dyDescent="0.25">
      <c r="A1691" t="s">
        <v>1808</v>
      </c>
      <c r="B1691" s="1">
        <v>46005</v>
      </c>
      <c r="C1691" t="s">
        <v>18</v>
      </c>
      <c r="D1691" t="s">
        <v>28</v>
      </c>
      <c r="E1691" t="s">
        <v>20</v>
      </c>
      <c r="F1691" t="s">
        <v>84</v>
      </c>
      <c r="G1691" t="s">
        <v>63</v>
      </c>
      <c r="H1691" t="s">
        <v>44</v>
      </c>
      <c r="I1691" t="s">
        <v>281</v>
      </c>
      <c r="J1691">
        <v>31</v>
      </c>
      <c r="K1691">
        <v>23339.37</v>
      </c>
      <c r="L1691">
        <v>723520.47</v>
      </c>
      <c r="M1691">
        <v>23501.119999999999</v>
      </c>
      <c r="N1691">
        <v>0</v>
      </c>
      <c r="O1691">
        <v>700019.35</v>
      </c>
      <c r="P1691" t="s">
        <v>31</v>
      </c>
      <c r="Q1691" t="s">
        <v>32</v>
      </c>
    </row>
    <row r="1692" spans="1:17" x14ac:dyDescent="0.25">
      <c r="A1692" t="s">
        <v>1809</v>
      </c>
      <c r="B1692" s="1">
        <v>46005</v>
      </c>
      <c r="C1692" t="s">
        <v>54</v>
      </c>
      <c r="D1692" t="s">
        <v>55</v>
      </c>
      <c r="E1692" t="s">
        <v>41</v>
      </c>
      <c r="F1692" t="s">
        <v>21</v>
      </c>
      <c r="G1692" t="s">
        <v>102</v>
      </c>
      <c r="H1692" t="s">
        <v>94</v>
      </c>
      <c r="I1692" t="s">
        <v>115</v>
      </c>
      <c r="J1692">
        <v>38</v>
      </c>
      <c r="K1692">
        <v>45360.37</v>
      </c>
      <c r="L1692">
        <v>1723694.06</v>
      </c>
      <c r="M1692">
        <v>342635.26</v>
      </c>
      <c r="N1692">
        <v>0</v>
      </c>
      <c r="O1692">
        <v>1381058.8</v>
      </c>
      <c r="P1692" t="s">
        <v>31</v>
      </c>
      <c r="Q1692" t="s">
        <v>32</v>
      </c>
    </row>
    <row r="1693" spans="1:17" x14ac:dyDescent="0.25">
      <c r="A1693" t="s">
        <v>1810</v>
      </c>
      <c r="B1693" s="1">
        <v>46034</v>
      </c>
      <c r="C1693" t="s">
        <v>60</v>
      </c>
      <c r="D1693" t="s">
        <v>61</v>
      </c>
      <c r="E1693" t="s">
        <v>20</v>
      </c>
      <c r="F1693" t="s">
        <v>36</v>
      </c>
      <c r="G1693" t="s">
        <v>37</v>
      </c>
      <c r="H1693" t="s">
        <v>94</v>
      </c>
      <c r="I1693" t="s">
        <v>163</v>
      </c>
      <c r="J1693">
        <v>43</v>
      </c>
      <c r="K1693">
        <v>35928.44</v>
      </c>
      <c r="L1693">
        <v>1544922.92</v>
      </c>
      <c r="M1693">
        <v>249874.53</v>
      </c>
      <c r="N1693">
        <v>0</v>
      </c>
      <c r="O1693">
        <v>1295048.3899999999</v>
      </c>
      <c r="P1693" t="s">
        <v>25</v>
      </c>
      <c r="Q1693" t="s">
        <v>26</v>
      </c>
    </row>
    <row r="1694" spans="1:17" x14ac:dyDescent="0.25">
      <c r="A1694" t="s">
        <v>1811</v>
      </c>
      <c r="B1694" s="1">
        <v>45977</v>
      </c>
      <c r="C1694" t="s">
        <v>60</v>
      </c>
      <c r="D1694" t="s">
        <v>123</v>
      </c>
      <c r="E1694" t="s">
        <v>41</v>
      </c>
      <c r="F1694" t="s">
        <v>62</v>
      </c>
      <c r="G1694" t="s">
        <v>29</v>
      </c>
      <c r="H1694" t="s">
        <v>94</v>
      </c>
      <c r="I1694" t="s">
        <v>193</v>
      </c>
      <c r="J1694">
        <v>19</v>
      </c>
      <c r="K1694">
        <v>43716.19</v>
      </c>
      <c r="L1694">
        <v>830607.61</v>
      </c>
      <c r="M1694">
        <v>0</v>
      </c>
      <c r="N1694">
        <v>0</v>
      </c>
      <c r="O1694">
        <v>830607.61</v>
      </c>
      <c r="P1694" t="s">
        <v>31</v>
      </c>
      <c r="Q1694" t="s">
        <v>32</v>
      </c>
    </row>
    <row r="1695" spans="1:17" x14ac:dyDescent="0.25">
      <c r="A1695" t="s">
        <v>1812</v>
      </c>
      <c r="B1695" s="1">
        <v>46029</v>
      </c>
      <c r="C1695" t="s">
        <v>60</v>
      </c>
      <c r="D1695" t="s">
        <v>61</v>
      </c>
      <c r="E1695" t="s">
        <v>20</v>
      </c>
      <c r="F1695" t="s">
        <v>42</v>
      </c>
      <c r="G1695" t="s">
        <v>63</v>
      </c>
      <c r="H1695" t="s">
        <v>57</v>
      </c>
      <c r="I1695" t="s">
        <v>58</v>
      </c>
      <c r="J1695">
        <v>33</v>
      </c>
      <c r="K1695">
        <v>28229.119999999999</v>
      </c>
      <c r="L1695">
        <v>931560.95999999996</v>
      </c>
      <c r="M1695">
        <v>0</v>
      </c>
      <c r="N1695">
        <v>0</v>
      </c>
      <c r="O1695">
        <v>931560.95999999996</v>
      </c>
      <c r="P1695" t="s">
        <v>32</v>
      </c>
      <c r="Q1695" t="s">
        <v>32</v>
      </c>
    </row>
    <row r="1696" spans="1:17" x14ac:dyDescent="0.25">
      <c r="A1696" t="s">
        <v>1813</v>
      </c>
      <c r="B1696" s="1">
        <v>45969</v>
      </c>
      <c r="C1696" t="s">
        <v>54</v>
      </c>
      <c r="D1696" t="s">
        <v>97</v>
      </c>
      <c r="E1696" t="s">
        <v>41</v>
      </c>
      <c r="F1696" t="s">
        <v>71</v>
      </c>
      <c r="G1696" t="s">
        <v>63</v>
      </c>
      <c r="H1696" t="s">
        <v>67</v>
      </c>
      <c r="I1696" t="s">
        <v>154</v>
      </c>
      <c r="J1696">
        <v>25</v>
      </c>
      <c r="K1696">
        <v>36366.94</v>
      </c>
      <c r="L1696">
        <v>909173.5</v>
      </c>
      <c r="M1696">
        <v>0</v>
      </c>
      <c r="N1696">
        <v>0</v>
      </c>
      <c r="O1696">
        <v>909173.5</v>
      </c>
      <c r="P1696" t="s">
        <v>73</v>
      </c>
      <c r="Q1696" t="s">
        <v>32</v>
      </c>
    </row>
    <row r="1697" spans="1:17" x14ac:dyDescent="0.25">
      <c r="A1697" t="s">
        <v>1814</v>
      </c>
      <c r="B1697" s="1">
        <v>45959</v>
      </c>
      <c r="C1697" t="s">
        <v>60</v>
      </c>
      <c r="D1697" t="s">
        <v>65</v>
      </c>
      <c r="E1697" t="s">
        <v>49</v>
      </c>
      <c r="F1697" t="s">
        <v>71</v>
      </c>
      <c r="G1697" t="s">
        <v>56</v>
      </c>
      <c r="H1697" t="s">
        <v>57</v>
      </c>
      <c r="I1697" t="s">
        <v>58</v>
      </c>
      <c r="J1697">
        <v>44</v>
      </c>
      <c r="K1697">
        <v>24805.82</v>
      </c>
      <c r="L1697">
        <v>1091456.08</v>
      </c>
      <c r="M1697">
        <v>0</v>
      </c>
      <c r="N1697">
        <v>0</v>
      </c>
      <c r="O1697">
        <v>1091456.08</v>
      </c>
      <c r="P1697" t="s">
        <v>32</v>
      </c>
      <c r="Q1697" t="s">
        <v>26</v>
      </c>
    </row>
    <row r="1698" spans="1:17" x14ac:dyDescent="0.25">
      <c r="A1698" t="s">
        <v>1815</v>
      </c>
      <c r="B1698" s="1">
        <v>45987</v>
      </c>
      <c r="C1698" t="s">
        <v>79</v>
      </c>
      <c r="D1698" t="s">
        <v>107</v>
      </c>
      <c r="E1698" t="s">
        <v>20</v>
      </c>
      <c r="F1698" t="s">
        <v>21</v>
      </c>
      <c r="G1698" t="s">
        <v>37</v>
      </c>
      <c r="H1698" t="s">
        <v>94</v>
      </c>
      <c r="I1698" t="s">
        <v>144</v>
      </c>
      <c r="J1698">
        <v>3</v>
      </c>
      <c r="K1698">
        <v>36020.99</v>
      </c>
      <c r="L1698">
        <v>108062.97</v>
      </c>
      <c r="M1698">
        <v>3636.95</v>
      </c>
      <c r="N1698">
        <v>26028.53</v>
      </c>
      <c r="O1698">
        <v>78397.490000000005</v>
      </c>
      <c r="P1698" t="s">
        <v>32</v>
      </c>
      <c r="Q1698" t="s">
        <v>32</v>
      </c>
    </row>
    <row r="1699" spans="1:17" x14ac:dyDescent="0.25">
      <c r="A1699" t="s">
        <v>1816</v>
      </c>
      <c r="B1699" s="1">
        <v>46000</v>
      </c>
      <c r="C1699" t="s">
        <v>79</v>
      </c>
      <c r="D1699" t="s">
        <v>91</v>
      </c>
      <c r="E1699" t="s">
        <v>41</v>
      </c>
      <c r="F1699" t="s">
        <v>137</v>
      </c>
      <c r="G1699" t="s">
        <v>29</v>
      </c>
      <c r="H1699" t="s">
        <v>38</v>
      </c>
      <c r="I1699" t="s">
        <v>108</v>
      </c>
      <c r="J1699">
        <v>21</v>
      </c>
      <c r="K1699">
        <v>3502.7</v>
      </c>
      <c r="L1699">
        <v>73556.7</v>
      </c>
      <c r="M1699">
        <v>6961.53</v>
      </c>
      <c r="N1699">
        <v>0</v>
      </c>
      <c r="O1699">
        <v>66595.17</v>
      </c>
      <c r="P1699" t="s">
        <v>32</v>
      </c>
      <c r="Q1699" t="s">
        <v>32</v>
      </c>
    </row>
    <row r="1700" spans="1:17" x14ac:dyDescent="0.25">
      <c r="A1700" t="s">
        <v>1817</v>
      </c>
      <c r="B1700" s="1">
        <v>46005</v>
      </c>
      <c r="C1700" t="s">
        <v>79</v>
      </c>
      <c r="D1700" t="s">
        <v>91</v>
      </c>
      <c r="E1700" t="s">
        <v>41</v>
      </c>
      <c r="F1700" t="s">
        <v>105</v>
      </c>
      <c r="G1700" t="s">
        <v>81</v>
      </c>
      <c r="H1700" t="s">
        <v>57</v>
      </c>
      <c r="I1700" t="s">
        <v>160</v>
      </c>
      <c r="J1700">
        <v>44</v>
      </c>
      <c r="K1700">
        <v>40014.019999999997</v>
      </c>
      <c r="L1700">
        <v>1760616.88</v>
      </c>
      <c r="M1700">
        <v>0</v>
      </c>
      <c r="N1700">
        <v>0</v>
      </c>
      <c r="O1700">
        <v>1760616.88</v>
      </c>
      <c r="P1700" t="s">
        <v>73</v>
      </c>
      <c r="Q1700" t="s">
        <v>32</v>
      </c>
    </row>
    <row r="1701" spans="1:17" x14ac:dyDescent="0.25">
      <c r="A1701" t="s">
        <v>1818</v>
      </c>
      <c r="B1701" s="1">
        <v>45986</v>
      </c>
      <c r="C1701" t="s">
        <v>60</v>
      </c>
      <c r="D1701" t="s">
        <v>65</v>
      </c>
      <c r="E1701" t="s">
        <v>41</v>
      </c>
      <c r="F1701" t="s">
        <v>105</v>
      </c>
      <c r="G1701" t="s">
        <v>140</v>
      </c>
      <c r="H1701" t="s">
        <v>23</v>
      </c>
      <c r="I1701" t="s">
        <v>131</v>
      </c>
      <c r="J1701">
        <v>2</v>
      </c>
      <c r="K1701">
        <v>32010.51</v>
      </c>
      <c r="L1701">
        <v>64021.02</v>
      </c>
      <c r="M1701">
        <v>0</v>
      </c>
      <c r="N1701">
        <v>14975.76</v>
      </c>
      <c r="O1701">
        <v>49045.26</v>
      </c>
      <c r="P1701" t="s">
        <v>31</v>
      </c>
      <c r="Q1701" t="s">
        <v>32</v>
      </c>
    </row>
    <row r="1702" spans="1:17" x14ac:dyDescent="0.25">
      <c r="A1702" t="s">
        <v>1819</v>
      </c>
      <c r="B1702" s="1">
        <v>46040</v>
      </c>
      <c r="C1702" t="s">
        <v>79</v>
      </c>
      <c r="D1702" t="s">
        <v>80</v>
      </c>
      <c r="E1702" t="s">
        <v>41</v>
      </c>
      <c r="F1702" t="s">
        <v>84</v>
      </c>
      <c r="G1702" t="s">
        <v>140</v>
      </c>
      <c r="H1702" t="s">
        <v>67</v>
      </c>
      <c r="I1702" t="s">
        <v>77</v>
      </c>
      <c r="J1702">
        <v>23</v>
      </c>
      <c r="K1702">
        <v>14470.82</v>
      </c>
      <c r="L1702">
        <v>332828.86</v>
      </c>
      <c r="M1702">
        <v>50758.3</v>
      </c>
      <c r="N1702">
        <v>0</v>
      </c>
      <c r="O1702">
        <v>282070.56</v>
      </c>
      <c r="P1702" t="s">
        <v>32</v>
      </c>
      <c r="Q1702" t="s">
        <v>26</v>
      </c>
    </row>
    <row r="1703" spans="1:17" x14ac:dyDescent="0.25">
      <c r="A1703" t="s">
        <v>1820</v>
      </c>
      <c r="B1703" s="1">
        <v>46009</v>
      </c>
      <c r="C1703" t="s">
        <v>60</v>
      </c>
      <c r="D1703" t="s">
        <v>151</v>
      </c>
      <c r="E1703" t="s">
        <v>35</v>
      </c>
      <c r="F1703" t="s">
        <v>42</v>
      </c>
      <c r="G1703" t="s">
        <v>140</v>
      </c>
      <c r="H1703" t="s">
        <v>57</v>
      </c>
      <c r="I1703" t="s">
        <v>72</v>
      </c>
      <c r="J1703">
        <v>21</v>
      </c>
      <c r="K1703">
        <v>14274.33</v>
      </c>
      <c r="L1703">
        <v>299760.93</v>
      </c>
      <c r="M1703">
        <v>3115.06</v>
      </c>
      <c r="N1703">
        <v>0</v>
      </c>
      <c r="O1703">
        <v>296645.87</v>
      </c>
      <c r="P1703" t="s">
        <v>73</v>
      </c>
      <c r="Q1703" t="s">
        <v>32</v>
      </c>
    </row>
    <row r="1704" spans="1:17" x14ac:dyDescent="0.25">
      <c r="A1704" t="s">
        <v>1821</v>
      </c>
      <c r="B1704" s="1">
        <v>45986</v>
      </c>
      <c r="C1704" t="s">
        <v>54</v>
      </c>
      <c r="D1704" t="s">
        <v>55</v>
      </c>
      <c r="E1704" t="s">
        <v>35</v>
      </c>
      <c r="F1704" t="s">
        <v>21</v>
      </c>
      <c r="G1704" t="s">
        <v>37</v>
      </c>
      <c r="H1704" t="s">
        <v>38</v>
      </c>
      <c r="I1704" t="s">
        <v>39</v>
      </c>
      <c r="J1704">
        <v>17</v>
      </c>
      <c r="K1704">
        <v>47166.43</v>
      </c>
      <c r="L1704">
        <v>801829.31</v>
      </c>
      <c r="M1704">
        <v>0</v>
      </c>
      <c r="N1704">
        <v>0</v>
      </c>
      <c r="O1704">
        <v>801829.31</v>
      </c>
      <c r="P1704" t="s">
        <v>25</v>
      </c>
      <c r="Q1704" t="s">
        <v>26</v>
      </c>
    </row>
    <row r="1705" spans="1:17" x14ac:dyDescent="0.25">
      <c r="A1705" t="s">
        <v>1822</v>
      </c>
      <c r="B1705" s="1">
        <v>45977</v>
      </c>
      <c r="C1705" t="s">
        <v>79</v>
      </c>
      <c r="D1705" t="s">
        <v>107</v>
      </c>
      <c r="E1705" t="s">
        <v>49</v>
      </c>
      <c r="F1705" t="s">
        <v>137</v>
      </c>
      <c r="G1705" t="s">
        <v>51</v>
      </c>
      <c r="H1705" t="s">
        <v>94</v>
      </c>
      <c r="I1705" t="s">
        <v>95</v>
      </c>
      <c r="J1705">
        <v>33</v>
      </c>
      <c r="K1705">
        <v>36665.51</v>
      </c>
      <c r="L1705">
        <v>1209961.83</v>
      </c>
      <c r="M1705">
        <v>0</v>
      </c>
      <c r="N1705">
        <v>0</v>
      </c>
      <c r="O1705">
        <v>1209961.83</v>
      </c>
      <c r="P1705" t="s">
        <v>73</v>
      </c>
      <c r="Q1705" t="s">
        <v>26</v>
      </c>
    </row>
    <row r="1706" spans="1:17" x14ac:dyDescent="0.25">
      <c r="A1706" t="s">
        <v>1823</v>
      </c>
      <c r="B1706" s="1">
        <v>46034</v>
      </c>
      <c r="C1706" t="s">
        <v>18</v>
      </c>
      <c r="D1706" t="s">
        <v>28</v>
      </c>
      <c r="E1706" t="s">
        <v>35</v>
      </c>
      <c r="F1706" t="s">
        <v>50</v>
      </c>
      <c r="G1706" t="s">
        <v>51</v>
      </c>
      <c r="H1706" t="s">
        <v>44</v>
      </c>
      <c r="I1706" t="s">
        <v>152</v>
      </c>
      <c r="J1706">
        <v>8</v>
      </c>
      <c r="K1706">
        <v>21919.040000000001</v>
      </c>
      <c r="L1706">
        <v>175352.32000000001</v>
      </c>
      <c r="M1706">
        <v>24730.22</v>
      </c>
      <c r="N1706">
        <v>0</v>
      </c>
      <c r="O1706">
        <v>150622.1</v>
      </c>
      <c r="P1706" t="s">
        <v>73</v>
      </c>
      <c r="Q1706" t="s">
        <v>32</v>
      </c>
    </row>
    <row r="1707" spans="1:17" x14ac:dyDescent="0.25">
      <c r="A1707" t="s">
        <v>1824</v>
      </c>
      <c r="B1707" s="1">
        <v>46025</v>
      </c>
      <c r="C1707" t="s">
        <v>47</v>
      </c>
      <c r="D1707" t="s">
        <v>127</v>
      </c>
      <c r="E1707" t="s">
        <v>49</v>
      </c>
      <c r="F1707" t="s">
        <v>21</v>
      </c>
      <c r="G1707" t="s">
        <v>102</v>
      </c>
      <c r="H1707" t="s">
        <v>67</v>
      </c>
      <c r="I1707" t="s">
        <v>201</v>
      </c>
      <c r="J1707">
        <v>6</v>
      </c>
      <c r="K1707">
        <v>28575</v>
      </c>
      <c r="L1707">
        <v>171450</v>
      </c>
      <c r="M1707">
        <v>0</v>
      </c>
      <c r="N1707">
        <v>26685.3</v>
      </c>
      <c r="O1707">
        <v>144764.70000000001</v>
      </c>
      <c r="P1707" t="s">
        <v>25</v>
      </c>
      <c r="Q1707" t="s">
        <v>128</v>
      </c>
    </row>
    <row r="1708" spans="1:17" x14ac:dyDescent="0.25">
      <c r="A1708" t="s">
        <v>1825</v>
      </c>
      <c r="B1708" s="1">
        <v>45970</v>
      </c>
      <c r="C1708" t="s">
        <v>47</v>
      </c>
      <c r="D1708" t="s">
        <v>88</v>
      </c>
      <c r="E1708" t="s">
        <v>35</v>
      </c>
      <c r="F1708" t="s">
        <v>36</v>
      </c>
      <c r="G1708" t="s">
        <v>138</v>
      </c>
      <c r="H1708" t="s">
        <v>67</v>
      </c>
      <c r="I1708" t="s">
        <v>170</v>
      </c>
      <c r="J1708">
        <v>15</v>
      </c>
      <c r="K1708">
        <v>42393.65</v>
      </c>
      <c r="L1708">
        <v>635904.75</v>
      </c>
      <c r="M1708">
        <v>92350.07</v>
      </c>
      <c r="N1708">
        <v>0</v>
      </c>
      <c r="O1708">
        <v>543554.68000000005</v>
      </c>
      <c r="P1708" t="s">
        <v>31</v>
      </c>
      <c r="Q1708" t="s">
        <v>32</v>
      </c>
    </row>
    <row r="1709" spans="1:17" x14ac:dyDescent="0.25">
      <c r="A1709" t="s">
        <v>1826</v>
      </c>
      <c r="B1709" s="1">
        <v>45965</v>
      </c>
      <c r="C1709" t="s">
        <v>47</v>
      </c>
      <c r="D1709" t="s">
        <v>114</v>
      </c>
      <c r="E1709" t="s">
        <v>49</v>
      </c>
      <c r="F1709" t="s">
        <v>137</v>
      </c>
      <c r="G1709" t="s">
        <v>81</v>
      </c>
      <c r="H1709" t="s">
        <v>94</v>
      </c>
      <c r="I1709" t="s">
        <v>163</v>
      </c>
      <c r="J1709">
        <v>48</v>
      </c>
      <c r="K1709">
        <v>1011.94</v>
      </c>
      <c r="L1709">
        <v>48573.120000000003</v>
      </c>
      <c r="M1709">
        <v>396.09</v>
      </c>
      <c r="N1709">
        <v>0</v>
      </c>
      <c r="O1709">
        <v>48177.03</v>
      </c>
      <c r="P1709" t="s">
        <v>31</v>
      </c>
      <c r="Q1709" t="s">
        <v>32</v>
      </c>
    </row>
    <row r="1710" spans="1:17" x14ac:dyDescent="0.25">
      <c r="A1710" t="s">
        <v>1827</v>
      </c>
      <c r="B1710" s="1">
        <v>46025</v>
      </c>
      <c r="C1710" t="s">
        <v>18</v>
      </c>
      <c r="D1710" t="s">
        <v>19</v>
      </c>
      <c r="E1710" t="s">
        <v>49</v>
      </c>
      <c r="F1710" t="s">
        <v>21</v>
      </c>
      <c r="G1710" t="s">
        <v>102</v>
      </c>
      <c r="H1710" t="s">
        <v>67</v>
      </c>
      <c r="I1710" t="s">
        <v>103</v>
      </c>
      <c r="J1710">
        <v>8</v>
      </c>
      <c r="K1710">
        <v>24091.41</v>
      </c>
      <c r="L1710">
        <v>192731.28</v>
      </c>
      <c r="M1710">
        <v>6300.83</v>
      </c>
      <c r="N1710">
        <v>51781.05</v>
      </c>
      <c r="O1710">
        <v>134649.4</v>
      </c>
      <c r="P1710" t="s">
        <v>32</v>
      </c>
      <c r="Q1710" t="s">
        <v>32</v>
      </c>
    </row>
    <row r="1711" spans="1:17" x14ac:dyDescent="0.25">
      <c r="A1711" t="s">
        <v>1828</v>
      </c>
      <c r="B1711" s="1">
        <v>46015</v>
      </c>
      <c r="C1711" t="s">
        <v>54</v>
      </c>
      <c r="D1711" t="s">
        <v>97</v>
      </c>
      <c r="E1711" t="s">
        <v>20</v>
      </c>
      <c r="F1711" t="s">
        <v>105</v>
      </c>
      <c r="G1711" t="s">
        <v>56</v>
      </c>
      <c r="H1711" t="s">
        <v>23</v>
      </c>
      <c r="I1711" t="s">
        <v>99</v>
      </c>
      <c r="J1711">
        <v>5</v>
      </c>
      <c r="K1711">
        <v>19720.07</v>
      </c>
      <c r="L1711">
        <v>98600.35</v>
      </c>
      <c r="M1711">
        <v>18918.38</v>
      </c>
      <c r="N1711">
        <v>0</v>
      </c>
      <c r="O1711">
        <v>79681.97</v>
      </c>
      <c r="P1711" t="s">
        <v>32</v>
      </c>
      <c r="Q1711" t="s">
        <v>32</v>
      </c>
    </row>
    <row r="1712" spans="1:17" x14ac:dyDescent="0.25">
      <c r="A1712" t="s">
        <v>1829</v>
      </c>
      <c r="B1712" s="1">
        <v>45964</v>
      </c>
      <c r="C1712" t="s">
        <v>47</v>
      </c>
      <c r="D1712" t="s">
        <v>114</v>
      </c>
      <c r="E1712" t="s">
        <v>35</v>
      </c>
      <c r="F1712" t="s">
        <v>84</v>
      </c>
      <c r="G1712" t="s">
        <v>51</v>
      </c>
      <c r="H1712" t="s">
        <v>23</v>
      </c>
      <c r="I1712" t="s">
        <v>99</v>
      </c>
      <c r="J1712">
        <v>15</v>
      </c>
      <c r="K1712">
        <v>8226.7199999999993</v>
      </c>
      <c r="L1712">
        <v>123400.8</v>
      </c>
      <c r="M1712">
        <v>4990.47</v>
      </c>
      <c r="N1712">
        <v>0</v>
      </c>
      <c r="O1712">
        <v>118410.33</v>
      </c>
      <c r="P1712" t="s">
        <v>32</v>
      </c>
      <c r="Q1712" t="s">
        <v>26</v>
      </c>
    </row>
    <row r="1713" spans="1:17" x14ac:dyDescent="0.25">
      <c r="A1713" t="s">
        <v>1830</v>
      </c>
      <c r="B1713" s="1">
        <v>45957</v>
      </c>
      <c r="C1713" t="s">
        <v>18</v>
      </c>
      <c r="D1713" t="s">
        <v>19</v>
      </c>
      <c r="E1713" t="s">
        <v>41</v>
      </c>
      <c r="F1713" t="s">
        <v>137</v>
      </c>
      <c r="G1713" t="s">
        <v>63</v>
      </c>
      <c r="H1713" t="s">
        <v>38</v>
      </c>
      <c r="I1713" t="s">
        <v>39</v>
      </c>
      <c r="J1713">
        <v>16</v>
      </c>
      <c r="K1713">
        <v>1448.57</v>
      </c>
      <c r="L1713">
        <v>23177.119999999999</v>
      </c>
      <c r="M1713">
        <v>2496.04</v>
      </c>
      <c r="N1713">
        <v>0</v>
      </c>
      <c r="O1713">
        <v>20681.080000000002</v>
      </c>
      <c r="P1713" t="s">
        <v>32</v>
      </c>
      <c r="Q1713" t="s">
        <v>32</v>
      </c>
    </row>
    <row r="1714" spans="1:17" x14ac:dyDescent="0.25">
      <c r="A1714" t="s">
        <v>1831</v>
      </c>
      <c r="B1714" s="1">
        <v>45969</v>
      </c>
      <c r="C1714" t="s">
        <v>54</v>
      </c>
      <c r="D1714" t="s">
        <v>133</v>
      </c>
      <c r="E1714" t="s">
        <v>49</v>
      </c>
      <c r="F1714" t="s">
        <v>62</v>
      </c>
      <c r="G1714" t="s">
        <v>37</v>
      </c>
      <c r="H1714" t="s">
        <v>44</v>
      </c>
      <c r="I1714" t="s">
        <v>281</v>
      </c>
      <c r="J1714">
        <v>10</v>
      </c>
      <c r="K1714">
        <v>14588.64</v>
      </c>
      <c r="L1714">
        <v>145886.39999999999</v>
      </c>
      <c r="M1714">
        <v>0</v>
      </c>
      <c r="N1714">
        <v>0</v>
      </c>
      <c r="O1714">
        <v>145886.39999999999</v>
      </c>
      <c r="P1714" t="s">
        <v>25</v>
      </c>
      <c r="Q1714" t="s">
        <v>26</v>
      </c>
    </row>
    <row r="1715" spans="1:17" x14ac:dyDescent="0.25">
      <c r="A1715" t="s">
        <v>1832</v>
      </c>
      <c r="B1715" s="1">
        <v>46016</v>
      </c>
      <c r="C1715" t="s">
        <v>54</v>
      </c>
      <c r="D1715" t="s">
        <v>70</v>
      </c>
      <c r="E1715" t="s">
        <v>35</v>
      </c>
      <c r="F1715" t="s">
        <v>137</v>
      </c>
      <c r="G1715" t="s">
        <v>37</v>
      </c>
      <c r="H1715" t="s">
        <v>57</v>
      </c>
      <c r="I1715" t="s">
        <v>148</v>
      </c>
      <c r="J1715">
        <v>9</v>
      </c>
      <c r="K1715">
        <v>41623.57</v>
      </c>
      <c r="L1715">
        <v>374612.13</v>
      </c>
      <c r="M1715">
        <v>74646.7</v>
      </c>
      <c r="N1715">
        <v>0</v>
      </c>
      <c r="O1715">
        <v>299965.43</v>
      </c>
      <c r="P1715" t="s">
        <v>32</v>
      </c>
      <c r="Q1715" t="s">
        <v>32</v>
      </c>
    </row>
    <row r="1716" spans="1:17" x14ac:dyDescent="0.25">
      <c r="A1716" t="s">
        <v>1833</v>
      </c>
      <c r="B1716" s="1">
        <v>45987</v>
      </c>
      <c r="C1716" t="s">
        <v>18</v>
      </c>
      <c r="D1716" t="s">
        <v>28</v>
      </c>
      <c r="E1716" t="s">
        <v>49</v>
      </c>
      <c r="F1716" t="s">
        <v>50</v>
      </c>
      <c r="G1716" t="s">
        <v>89</v>
      </c>
      <c r="H1716" t="s">
        <v>67</v>
      </c>
      <c r="I1716" t="s">
        <v>154</v>
      </c>
      <c r="J1716">
        <v>40</v>
      </c>
      <c r="K1716">
        <v>19344.93</v>
      </c>
      <c r="L1716">
        <v>773797.2</v>
      </c>
      <c r="M1716">
        <v>31878.7</v>
      </c>
      <c r="N1716">
        <v>16489.34</v>
      </c>
      <c r="O1716">
        <v>725429.16</v>
      </c>
      <c r="P1716" t="s">
        <v>31</v>
      </c>
      <c r="Q1716" t="s">
        <v>32</v>
      </c>
    </row>
    <row r="1717" spans="1:17" x14ac:dyDescent="0.25">
      <c r="A1717" t="s">
        <v>1834</v>
      </c>
      <c r="B1717" s="1">
        <v>46006</v>
      </c>
      <c r="C1717" t="s">
        <v>54</v>
      </c>
      <c r="D1717" t="s">
        <v>55</v>
      </c>
      <c r="E1717" t="s">
        <v>41</v>
      </c>
      <c r="F1717" t="s">
        <v>112</v>
      </c>
      <c r="G1717" t="s">
        <v>22</v>
      </c>
      <c r="H1717" t="s">
        <v>44</v>
      </c>
      <c r="I1717" t="s">
        <v>152</v>
      </c>
      <c r="J1717">
        <v>39</v>
      </c>
      <c r="K1717">
        <v>48264.02</v>
      </c>
      <c r="L1717">
        <v>1882296.78</v>
      </c>
      <c r="M1717">
        <v>32251.14</v>
      </c>
      <c r="N1717">
        <v>0</v>
      </c>
      <c r="O1717">
        <v>1850045.64</v>
      </c>
      <c r="P1717" t="s">
        <v>73</v>
      </c>
      <c r="Q1717" t="s">
        <v>32</v>
      </c>
    </row>
    <row r="1718" spans="1:17" x14ac:dyDescent="0.25">
      <c r="A1718" t="s">
        <v>1835</v>
      </c>
      <c r="B1718" s="1">
        <v>46009</v>
      </c>
      <c r="C1718" t="s">
        <v>54</v>
      </c>
      <c r="D1718" t="s">
        <v>70</v>
      </c>
      <c r="E1718" t="s">
        <v>41</v>
      </c>
      <c r="F1718" t="s">
        <v>42</v>
      </c>
      <c r="G1718" t="s">
        <v>85</v>
      </c>
      <c r="H1718" t="s">
        <v>44</v>
      </c>
      <c r="I1718" t="s">
        <v>152</v>
      </c>
      <c r="J1718">
        <v>48</v>
      </c>
      <c r="K1718">
        <v>22475.06</v>
      </c>
      <c r="L1718">
        <v>1078802.8799999999</v>
      </c>
      <c r="M1718">
        <v>0</v>
      </c>
      <c r="N1718">
        <v>0</v>
      </c>
      <c r="O1718">
        <v>1078802.8799999999</v>
      </c>
      <c r="P1718" t="s">
        <v>32</v>
      </c>
      <c r="Q1718" t="s">
        <v>26</v>
      </c>
    </row>
    <row r="1719" spans="1:17" x14ac:dyDescent="0.25">
      <c r="A1719" t="s">
        <v>1836</v>
      </c>
      <c r="B1719" s="1">
        <v>46038</v>
      </c>
      <c r="C1719" t="s">
        <v>54</v>
      </c>
      <c r="D1719" t="s">
        <v>55</v>
      </c>
      <c r="E1719" t="s">
        <v>35</v>
      </c>
      <c r="F1719" t="s">
        <v>50</v>
      </c>
      <c r="G1719" t="s">
        <v>56</v>
      </c>
      <c r="H1719" t="s">
        <v>44</v>
      </c>
      <c r="I1719" t="s">
        <v>135</v>
      </c>
      <c r="J1719">
        <v>17</v>
      </c>
      <c r="K1719">
        <v>17555.8</v>
      </c>
      <c r="L1719">
        <v>298448.59999999998</v>
      </c>
      <c r="M1719">
        <v>40203.65</v>
      </c>
      <c r="N1719">
        <v>0</v>
      </c>
      <c r="O1719">
        <v>258244.95</v>
      </c>
      <c r="P1719" t="s">
        <v>31</v>
      </c>
      <c r="Q1719" t="s">
        <v>32</v>
      </c>
    </row>
    <row r="1720" spans="1:17" x14ac:dyDescent="0.25">
      <c r="A1720" t="s">
        <v>1837</v>
      </c>
      <c r="B1720" s="1">
        <v>45971</v>
      </c>
      <c r="C1720" t="s">
        <v>54</v>
      </c>
      <c r="D1720" t="s">
        <v>70</v>
      </c>
      <c r="E1720" t="s">
        <v>35</v>
      </c>
      <c r="F1720" t="s">
        <v>84</v>
      </c>
      <c r="G1720" t="s">
        <v>63</v>
      </c>
      <c r="H1720" t="s">
        <v>67</v>
      </c>
      <c r="I1720" t="s">
        <v>170</v>
      </c>
      <c r="J1720">
        <v>20</v>
      </c>
      <c r="K1720">
        <v>27777.7</v>
      </c>
      <c r="L1720">
        <v>555554</v>
      </c>
      <c r="M1720">
        <v>74276.28</v>
      </c>
      <c r="N1720">
        <v>20746.099999999999</v>
      </c>
      <c r="O1720">
        <v>460531.62</v>
      </c>
      <c r="P1720" t="s">
        <v>73</v>
      </c>
      <c r="Q1720" t="s">
        <v>32</v>
      </c>
    </row>
    <row r="1721" spans="1:17" x14ac:dyDescent="0.25">
      <c r="A1721" t="s">
        <v>1838</v>
      </c>
      <c r="B1721" s="1">
        <v>45966</v>
      </c>
      <c r="C1721" t="s">
        <v>54</v>
      </c>
      <c r="D1721" t="s">
        <v>133</v>
      </c>
      <c r="E1721" t="s">
        <v>49</v>
      </c>
      <c r="F1721" t="s">
        <v>71</v>
      </c>
      <c r="G1721" t="s">
        <v>37</v>
      </c>
      <c r="H1721" t="s">
        <v>67</v>
      </c>
      <c r="I1721" t="s">
        <v>154</v>
      </c>
      <c r="J1721">
        <v>9</v>
      </c>
      <c r="K1721">
        <v>26854.799999999999</v>
      </c>
      <c r="L1721">
        <v>241693.2</v>
      </c>
      <c r="M1721">
        <v>0</v>
      </c>
      <c r="N1721">
        <v>0</v>
      </c>
      <c r="O1721">
        <v>241693.2</v>
      </c>
      <c r="P1721" t="s">
        <v>73</v>
      </c>
      <c r="Q1721" t="s">
        <v>32</v>
      </c>
    </row>
    <row r="1722" spans="1:17" x14ac:dyDescent="0.25">
      <c r="A1722" t="s">
        <v>1839</v>
      </c>
      <c r="B1722" s="1">
        <v>46042</v>
      </c>
      <c r="C1722" t="s">
        <v>54</v>
      </c>
      <c r="D1722" t="s">
        <v>55</v>
      </c>
      <c r="E1722" t="s">
        <v>20</v>
      </c>
      <c r="F1722" t="s">
        <v>112</v>
      </c>
      <c r="G1722" t="s">
        <v>29</v>
      </c>
      <c r="H1722" t="s">
        <v>57</v>
      </c>
      <c r="I1722" t="s">
        <v>92</v>
      </c>
      <c r="J1722">
        <v>1</v>
      </c>
      <c r="K1722">
        <v>40493.199999999997</v>
      </c>
      <c r="L1722">
        <v>40493.199999999997</v>
      </c>
      <c r="M1722">
        <v>7691.48</v>
      </c>
      <c r="N1722">
        <v>0</v>
      </c>
      <c r="O1722">
        <v>32801.72</v>
      </c>
      <c r="P1722" t="s">
        <v>31</v>
      </c>
      <c r="Q1722" t="s">
        <v>32</v>
      </c>
    </row>
    <row r="1723" spans="1:17" x14ac:dyDescent="0.25">
      <c r="A1723" t="s">
        <v>1840</v>
      </c>
      <c r="B1723" s="1">
        <v>45969</v>
      </c>
      <c r="C1723" t="s">
        <v>60</v>
      </c>
      <c r="D1723" t="s">
        <v>65</v>
      </c>
      <c r="E1723" t="s">
        <v>35</v>
      </c>
      <c r="F1723" t="s">
        <v>84</v>
      </c>
      <c r="G1723" t="s">
        <v>43</v>
      </c>
      <c r="H1723" t="s">
        <v>38</v>
      </c>
      <c r="I1723" t="s">
        <v>175</v>
      </c>
      <c r="J1723">
        <v>23</v>
      </c>
      <c r="K1723">
        <v>10646.41</v>
      </c>
      <c r="L1723">
        <v>244867.43</v>
      </c>
      <c r="M1723">
        <v>11094.2</v>
      </c>
      <c r="N1723">
        <v>0</v>
      </c>
      <c r="O1723">
        <v>233773.23</v>
      </c>
      <c r="P1723" t="s">
        <v>32</v>
      </c>
      <c r="Q1723" t="s">
        <v>26</v>
      </c>
    </row>
    <row r="1724" spans="1:17" x14ac:dyDescent="0.25">
      <c r="A1724" t="s">
        <v>1841</v>
      </c>
      <c r="B1724" s="1">
        <v>46006</v>
      </c>
      <c r="C1724" t="s">
        <v>79</v>
      </c>
      <c r="D1724" t="s">
        <v>91</v>
      </c>
      <c r="E1724" t="s">
        <v>35</v>
      </c>
      <c r="F1724" t="s">
        <v>105</v>
      </c>
      <c r="G1724" t="s">
        <v>37</v>
      </c>
      <c r="H1724" t="s">
        <v>44</v>
      </c>
      <c r="I1724" t="s">
        <v>152</v>
      </c>
      <c r="J1724">
        <v>37</v>
      </c>
      <c r="K1724">
        <v>34244.1</v>
      </c>
      <c r="L1724">
        <v>1267031.7</v>
      </c>
      <c r="M1724">
        <v>69442.86</v>
      </c>
      <c r="N1724">
        <v>0</v>
      </c>
      <c r="O1724">
        <v>1197588.8400000001</v>
      </c>
      <c r="P1724" t="s">
        <v>73</v>
      </c>
      <c r="Q1724" t="s">
        <v>32</v>
      </c>
    </row>
    <row r="1725" spans="1:17" x14ac:dyDescent="0.25">
      <c r="A1725" t="s">
        <v>1842</v>
      </c>
      <c r="B1725" s="1">
        <v>46019</v>
      </c>
      <c r="C1725" t="s">
        <v>60</v>
      </c>
      <c r="D1725" t="s">
        <v>61</v>
      </c>
      <c r="E1725" t="s">
        <v>35</v>
      </c>
      <c r="F1725" t="s">
        <v>21</v>
      </c>
      <c r="G1725" t="s">
        <v>81</v>
      </c>
      <c r="H1725" t="s">
        <v>23</v>
      </c>
      <c r="I1725" t="s">
        <v>99</v>
      </c>
      <c r="J1725">
        <v>42</v>
      </c>
      <c r="K1725">
        <v>6518.23</v>
      </c>
      <c r="L1725">
        <v>273765.65999999997</v>
      </c>
      <c r="M1725">
        <v>0</v>
      </c>
      <c r="N1725">
        <v>0</v>
      </c>
      <c r="O1725">
        <v>273765.65999999997</v>
      </c>
      <c r="P1725" t="s">
        <v>32</v>
      </c>
      <c r="Q1725" t="s">
        <v>26</v>
      </c>
    </row>
    <row r="1726" spans="1:17" x14ac:dyDescent="0.25">
      <c r="A1726" t="s">
        <v>1843</v>
      </c>
      <c r="B1726" s="1">
        <v>45959</v>
      </c>
      <c r="C1726" t="s">
        <v>54</v>
      </c>
      <c r="D1726" t="s">
        <v>97</v>
      </c>
      <c r="E1726" t="s">
        <v>35</v>
      </c>
      <c r="F1726" t="s">
        <v>84</v>
      </c>
      <c r="G1726" t="s">
        <v>29</v>
      </c>
      <c r="H1726" t="s">
        <v>94</v>
      </c>
      <c r="I1726" t="s">
        <v>95</v>
      </c>
      <c r="J1726">
        <v>47</v>
      </c>
      <c r="K1726">
        <v>50051.75</v>
      </c>
      <c r="L1726">
        <v>2352432.25</v>
      </c>
      <c r="M1726">
        <v>0</v>
      </c>
      <c r="N1726">
        <v>0</v>
      </c>
      <c r="O1726">
        <v>2352432.25</v>
      </c>
      <c r="P1726" t="s">
        <v>25</v>
      </c>
      <c r="Q1726" t="s">
        <v>26</v>
      </c>
    </row>
    <row r="1727" spans="1:17" x14ac:dyDescent="0.25">
      <c r="A1727" t="s">
        <v>1844</v>
      </c>
      <c r="B1727" s="1">
        <v>46021</v>
      </c>
      <c r="C1727" t="s">
        <v>18</v>
      </c>
      <c r="D1727" t="s">
        <v>75</v>
      </c>
      <c r="E1727" t="s">
        <v>20</v>
      </c>
      <c r="F1727" t="s">
        <v>21</v>
      </c>
      <c r="G1727" t="s">
        <v>37</v>
      </c>
      <c r="H1727" t="s">
        <v>38</v>
      </c>
      <c r="I1727" t="s">
        <v>108</v>
      </c>
      <c r="J1727">
        <v>1</v>
      </c>
      <c r="K1727">
        <v>44788.39</v>
      </c>
      <c r="L1727">
        <v>44788.39</v>
      </c>
      <c r="M1727">
        <v>0</v>
      </c>
      <c r="N1727">
        <v>0</v>
      </c>
      <c r="O1727">
        <v>44788.39</v>
      </c>
      <c r="P1727" t="s">
        <v>25</v>
      </c>
      <c r="Q1727" t="s">
        <v>26</v>
      </c>
    </row>
    <row r="1728" spans="1:17" x14ac:dyDescent="0.25">
      <c r="A1728" t="s">
        <v>1845</v>
      </c>
      <c r="B1728" s="1">
        <v>45996</v>
      </c>
      <c r="C1728" t="s">
        <v>60</v>
      </c>
      <c r="D1728" t="s">
        <v>151</v>
      </c>
      <c r="E1728" t="s">
        <v>35</v>
      </c>
      <c r="F1728" t="s">
        <v>50</v>
      </c>
      <c r="G1728" t="s">
        <v>29</v>
      </c>
      <c r="H1728" t="s">
        <v>67</v>
      </c>
      <c r="I1728" t="s">
        <v>201</v>
      </c>
      <c r="J1728">
        <v>14</v>
      </c>
      <c r="K1728">
        <v>35451.19</v>
      </c>
      <c r="L1728">
        <v>496316.66</v>
      </c>
      <c r="M1728">
        <v>26717.17</v>
      </c>
      <c r="N1728">
        <v>0</v>
      </c>
      <c r="O1728">
        <v>469599.49</v>
      </c>
      <c r="P1728" t="s">
        <v>25</v>
      </c>
      <c r="Q1728" t="s">
        <v>26</v>
      </c>
    </row>
    <row r="1729" spans="1:17" x14ac:dyDescent="0.25">
      <c r="A1729" t="s">
        <v>1846</v>
      </c>
      <c r="B1729" s="1">
        <v>46045</v>
      </c>
      <c r="C1729" t="s">
        <v>18</v>
      </c>
      <c r="D1729" t="s">
        <v>28</v>
      </c>
      <c r="E1729" t="s">
        <v>49</v>
      </c>
      <c r="F1729" t="s">
        <v>137</v>
      </c>
      <c r="G1729" t="s">
        <v>29</v>
      </c>
      <c r="H1729" t="s">
        <v>38</v>
      </c>
      <c r="I1729" t="s">
        <v>39</v>
      </c>
      <c r="J1729">
        <v>28</v>
      </c>
      <c r="K1729">
        <v>8499.3700000000008</v>
      </c>
      <c r="L1729">
        <v>237982.36</v>
      </c>
      <c r="M1729">
        <v>18648.78</v>
      </c>
      <c r="N1729">
        <v>0</v>
      </c>
      <c r="O1729">
        <v>219333.58</v>
      </c>
      <c r="P1729" t="s">
        <v>31</v>
      </c>
      <c r="Q1729" t="s">
        <v>32</v>
      </c>
    </row>
    <row r="1730" spans="1:17" x14ac:dyDescent="0.25">
      <c r="A1730" t="s">
        <v>1847</v>
      </c>
      <c r="B1730" s="1">
        <v>46015</v>
      </c>
      <c r="C1730" t="s">
        <v>79</v>
      </c>
      <c r="D1730" t="s">
        <v>101</v>
      </c>
      <c r="E1730" t="s">
        <v>49</v>
      </c>
      <c r="F1730" t="s">
        <v>50</v>
      </c>
      <c r="G1730" t="s">
        <v>89</v>
      </c>
      <c r="H1730" t="s">
        <v>44</v>
      </c>
      <c r="I1730" t="s">
        <v>45</v>
      </c>
      <c r="J1730">
        <v>26</v>
      </c>
      <c r="K1730">
        <v>32967.53</v>
      </c>
      <c r="L1730">
        <v>857155.78</v>
      </c>
      <c r="M1730">
        <v>0</v>
      </c>
      <c r="N1730">
        <v>0</v>
      </c>
      <c r="O1730">
        <v>857155.78</v>
      </c>
      <c r="P1730" t="s">
        <v>73</v>
      </c>
      <c r="Q1730" t="s">
        <v>26</v>
      </c>
    </row>
    <row r="1731" spans="1:17" x14ac:dyDescent="0.25">
      <c r="A1731" t="s">
        <v>1848</v>
      </c>
      <c r="B1731" s="1">
        <v>45985</v>
      </c>
      <c r="C1731" t="s">
        <v>60</v>
      </c>
      <c r="D1731" t="s">
        <v>151</v>
      </c>
      <c r="E1731" t="s">
        <v>41</v>
      </c>
      <c r="F1731" t="s">
        <v>42</v>
      </c>
      <c r="G1731" t="s">
        <v>66</v>
      </c>
      <c r="H1731" t="s">
        <v>44</v>
      </c>
      <c r="I1731" t="s">
        <v>135</v>
      </c>
      <c r="J1731">
        <v>19</v>
      </c>
      <c r="K1731">
        <v>44552.42</v>
      </c>
      <c r="L1731">
        <v>846495.98</v>
      </c>
      <c r="M1731">
        <v>163741.04</v>
      </c>
      <c r="N1731">
        <v>167899.12</v>
      </c>
      <c r="O1731">
        <v>514855.82</v>
      </c>
      <c r="P1731" t="s">
        <v>31</v>
      </c>
      <c r="Q1731" t="s">
        <v>32</v>
      </c>
    </row>
    <row r="1732" spans="1:17" x14ac:dyDescent="0.25">
      <c r="A1732" t="s">
        <v>1849</v>
      </c>
      <c r="B1732" s="1">
        <v>46023</v>
      </c>
      <c r="C1732" t="s">
        <v>47</v>
      </c>
      <c r="D1732" t="s">
        <v>127</v>
      </c>
      <c r="E1732" t="s">
        <v>49</v>
      </c>
      <c r="F1732" t="s">
        <v>62</v>
      </c>
      <c r="G1732" t="s">
        <v>66</v>
      </c>
      <c r="H1732" t="s">
        <v>57</v>
      </c>
      <c r="I1732" t="s">
        <v>72</v>
      </c>
      <c r="J1732">
        <v>3</v>
      </c>
      <c r="K1732">
        <v>48202.28</v>
      </c>
      <c r="L1732">
        <v>144606.84</v>
      </c>
      <c r="M1732">
        <v>15025</v>
      </c>
      <c r="N1732">
        <v>0</v>
      </c>
      <c r="O1732">
        <v>129581.84</v>
      </c>
      <c r="P1732" t="s">
        <v>32</v>
      </c>
      <c r="Q1732" t="s">
        <v>32</v>
      </c>
    </row>
    <row r="1733" spans="1:17" x14ac:dyDescent="0.25">
      <c r="A1733" t="s">
        <v>1850</v>
      </c>
      <c r="B1733" s="1">
        <v>46007</v>
      </c>
      <c r="C1733" t="s">
        <v>60</v>
      </c>
      <c r="D1733" t="s">
        <v>61</v>
      </c>
      <c r="E1733" t="s">
        <v>20</v>
      </c>
      <c r="F1733" t="s">
        <v>50</v>
      </c>
      <c r="G1733" t="s">
        <v>22</v>
      </c>
      <c r="H1733" t="s">
        <v>38</v>
      </c>
      <c r="I1733" t="s">
        <v>108</v>
      </c>
      <c r="J1733">
        <v>14</v>
      </c>
      <c r="K1733">
        <v>21242.28</v>
      </c>
      <c r="L1733">
        <v>297391.92</v>
      </c>
      <c r="M1733">
        <v>15805.17</v>
      </c>
      <c r="N1733">
        <v>0</v>
      </c>
      <c r="O1733">
        <v>281586.75</v>
      </c>
      <c r="P1733" t="s">
        <v>73</v>
      </c>
      <c r="Q1733" t="s">
        <v>32</v>
      </c>
    </row>
    <row r="1734" spans="1:17" x14ac:dyDescent="0.25">
      <c r="A1734" t="s">
        <v>1851</v>
      </c>
      <c r="B1734" s="1">
        <v>46036</v>
      </c>
      <c r="C1734" t="s">
        <v>60</v>
      </c>
      <c r="D1734" t="s">
        <v>151</v>
      </c>
      <c r="E1734" t="s">
        <v>20</v>
      </c>
      <c r="F1734" t="s">
        <v>36</v>
      </c>
      <c r="G1734" t="s">
        <v>102</v>
      </c>
      <c r="H1734" t="s">
        <v>23</v>
      </c>
      <c r="I1734" t="s">
        <v>110</v>
      </c>
      <c r="J1734">
        <v>39</v>
      </c>
      <c r="K1734">
        <v>36297.440000000002</v>
      </c>
      <c r="L1734">
        <v>1415600.16</v>
      </c>
      <c r="M1734">
        <v>0</v>
      </c>
      <c r="N1734">
        <v>171505.2</v>
      </c>
      <c r="O1734">
        <v>1244094.96</v>
      </c>
      <c r="P1734" t="s">
        <v>31</v>
      </c>
      <c r="Q1734" t="s">
        <v>32</v>
      </c>
    </row>
    <row r="1735" spans="1:17" x14ac:dyDescent="0.25">
      <c r="A1735" t="s">
        <v>1852</v>
      </c>
      <c r="B1735" s="1">
        <v>45990</v>
      </c>
      <c r="C1735" t="s">
        <v>47</v>
      </c>
      <c r="D1735" t="s">
        <v>114</v>
      </c>
      <c r="E1735" t="s">
        <v>20</v>
      </c>
      <c r="F1735" t="s">
        <v>137</v>
      </c>
      <c r="G1735" t="s">
        <v>89</v>
      </c>
      <c r="H1735" t="s">
        <v>38</v>
      </c>
      <c r="I1735" t="s">
        <v>108</v>
      </c>
      <c r="J1735">
        <v>43</v>
      </c>
      <c r="K1735">
        <v>30561.48</v>
      </c>
      <c r="L1735">
        <v>1314143.6399999999</v>
      </c>
      <c r="M1735">
        <v>100240.21</v>
      </c>
      <c r="N1735">
        <v>0</v>
      </c>
      <c r="O1735">
        <v>1213903.43</v>
      </c>
      <c r="P1735" t="s">
        <v>73</v>
      </c>
      <c r="Q1735" t="s">
        <v>32</v>
      </c>
    </row>
    <row r="1736" spans="1:17" x14ac:dyDescent="0.25">
      <c r="A1736" t="s">
        <v>1853</v>
      </c>
      <c r="B1736" s="1">
        <v>45978</v>
      </c>
      <c r="C1736" t="s">
        <v>54</v>
      </c>
      <c r="D1736" t="s">
        <v>97</v>
      </c>
      <c r="E1736" t="s">
        <v>35</v>
      </c>
      <c r="F1736" t="s">
        <v>112</v>
      </c>
      <c r="G1736" t="s">
        <v>89</v>
      </c>
      <c r="H1736" t="s">
        <v>44</v>
      </c>
      <c r="I1736" t="s">
        <v>135</v>
      </c>
      <c r="J1736">
        <v>25</v>
      </c>
      <c r="K1736">
        <v>37319.93</v>
      </c>
      <c r="L1736">
        <v>932998.25</v>
      </c>
      <c r="M1736">
        <v>48578.559999999998</v>
      </c>
      <c r="N1736">
        <v>38231.49</v>
      </c>
      <c r="O1736">
        <v>846188.2</v>
      </c>
      <c r="P1736" t="s">
        <v>32</v>
      </c>
      <c r="Q1736" t="s">
        <v>32</v>
      </c>
    </row>
    <row r="1737" spans="1:17" x14ac:dyDescent="0.25">
      <c r="A1737" t="s">
        <v>1854</v>
      </c>
      <c r="B1737" s="1">
        <v>45999</v>
      </c>
      <c r="C1737" t="s">
        <v>79</v>
      </c>
      <c r="D1737" t="s">
        <v>101</v>
      </c>
      <c r="E1737" t="s">
        <v>49</v>
      </c>
      <c r="F1737" t="s">
        <v>71</v>
      </c>
      <c r="G1737" t="s">
        <v>81</v>
      </c>
      <c r="H1737" t="s">
        <v>94</v>
      </c>
      <c r="I1737" t="s">
        <v>193</v>
      </c>
      <c r="J1737">
        <v>10</v>
      </c>
      <c r="K1737">
        <v>24728.37</v>
      </c>
      <c r="L1737">
        <v>247283.7</v>
      </c>
      <c r="M1737">
        <v>42348.19</v>
      </c>
      <c r="N1737">
        <v>0</v>
      </c>
      <c r="O1737">
        <v>204935.51</v>
      </c>
      <c r="P1737" t="s">
        <v>31</v>
      </c>
      <c r="Q1737" t="s">
        <v>32</v>
      </c>
    </row>
    <row r="1738" spans="1:17" x14ac:dyDescent="0.25">
      <c r="A1738" t="s">
        <v>1855</v>
      </c>
      <c r="B1738" s="1">
        <v>45973</v>
      </c>
      <c r="C1738" t="s">
        <v>47</v>
      </c>
      <c r="D1738" t="s">
        <v>88</v>
      </c>
      <c r="E1738" t="s">
        <v>49</v>
      </c>
      <c r="F1738" t="s">
        <v>71</v>
      </c>
      <c r="G1738" t="s">
        <v>56</v>
      </c>
      <c r="H1738" t="s">
        <v>38</v>
      </c>
      <c r="I1738" t="s">
        <v>86</v>
      </c>
      <c r="J1738">
        <v>21</v>
      </c>
      <c r="K1738">
        <v>14924.88</v>
      </c>
      <c r="L1738">
        <v>313422.48</v>
      </c>
      <c r="M1738">
        <v>0</v>
      </c>
      <c r="N1738">
        <v>41362.49</v>
      </c>
      <c r="O1738">
        <v>272059.99</v>
      </c>
      <c r="P1738" t="s">
        <v>25</v>
      </c>
      <c r="Q1738" t="s">
        <v>26</v>
      </c>
    </row>
    <row r="1739" spans="1:17" x14ac:dyDescent="0.25">
      <c r="A1739" t="s">
        <v>1856</v>
      </c>
      <c r="B1739" s="1">
        <v>46032</v>
      </c>
      <c r="C1739" t="s">
        <v>79</v>
      </c>
      <c r="D1739" t="s">
        <v>107</v>
      </c>
      <c r="E1739" t="s">
        <v>35</v>
      </c>
      <c r="F1739" t="s">
        <v>112</v>
      </c>
      <c r="G1739" t="s">
        <v>140</v>
      </c>
      <c r="H1739" t="s">
        <v>94</v>
      </c>
      <c r="I1739" t="s">
        <v>177</v>
      </c>
      <c r="J1739">
        <v>49</v>
      </c>
      <c r="K1739">
        <v>15784.85</v>
      </c>
      <c r="L1739">
        <v>773457.65</v>
      </c>
      <c r="M1739">
        <v>72823.97</v>
      </c>
      <c r="N1739">
        <v>0</v>
      </c>
      <c r="O1739">
        <v>700633.68</v>
      </c>
      <c r="P1739" t="s">
        <v>73</v>
      </c>
      <c r="Q1739" t="s">
        <v>32</v>
      </c>
    </row>
    <row r="1740" spans="1:17" x14ac:dyDescent="0.25">
      <c r="A1740" t="s">
        <v>1857</v>
      </c>
      <c r="B1740" s="1">
        <v>45998</v>
      </c>
      <c r="C1740" t="s">
        <v>47</v>
      </c>
      <c r="D1740" t="s">
        <v>114</v>
      </c>
      <c r="E1740" t="s">
        <v>49</v>
      </c>
      <c r="F1740" t="s">
        <v>71</v>
      </c>
      <c r="G1740" t="s">
        <v>89</v>
      </c>
      <c r="H1740" t="s">
        <v>57</v>
      </c>
      <c r="I1740" t="s">
        <v>148</v>
      </c>
      <c r="J1740">
        <v>5</v>
      </c>
      <c r="K1740">
        <v>20498.03</v>
      </c>
      <c r="L1740">
        <v>102490.15</v>
      </c>
      <c r="M1740">
        <v>0</v>
      </c>
      <c r="N1740">
        <v>0</v>
      </c>
      <c r="O1740">
        <v>102490.15</v>
      </c>
      <c r="P1740" t="s">
        <v>73</v>
      </c>
      <c r="Q1740" t="s">
        <v>32</v>
      </c>
    </row>
    <row r="1741" spans="1:17" x14ac:dyDescent="0.25">
      <c r="A1741" t="s">
        <v>1858</v>
      </c>
      <c r="B1741" s="1">
        <v>45977</v>
      </c>
      <c r="C1741" t="s">
        <v>60</v>
      </c>
      <c r="D1741" t="s">
        <v>61</v>
      </c>
      <c r="E1741" t="s">
        <v>49</v>
      </c>
      <c r="F1741" t="s">
        <v>112</v>
      </c>
      <c r="G1741" t="s">
        <v>89</v>
      </c>
      <c r="H1741" t="s">
        <v>44</v>
      </c>
      <c r="I1741" t="s">
        <v>135</v>
      </c>
      <c r="J1741">
        <v>2</v>
      </c>
      <c r="K1741">
        <v>43399.360000000001</v>
      </c>
      <c r="L1741">
        <v>86798.720000000001</v>
      </c>
      <c r="M1741">
        <v>12138.29</v>
      </c>
      <c r="N1741">
        <v>0</v>
      </c>
      <c r="O1741">
        <v>74660.429999999993</v>
      </c>
      <c r="P1741" t="s">
        <v>31</v>
      </c>
      <c r="Q1741" t="s">
        <v>32</v>
      </c>
    </row>
    <row r="1742" spans="1:17" x14ac:dyDescent="0.25">
      <c r="A1742" t="s">
        <v>1859</v>
      </c>
      <c r="B1742" s="1">
        <v>46024</v>
      </c>
      <c r="C1742" t="s">
        <v>60</v>
      </c>
      <c r="D1742" t="s">
        <v>151</v>
      </c>
      <c r="E1742" t="s">
        <v>20</v>
      </c>
      <c r="F1742" t="s">
        <v>105</v>
      </c>
      <c r="G1742" t="s">
        <v>85</v>
      </c>
      <c r="H1742" t="s">
        <v>94</v>
      </c>
      <c r="I1742" t="s">
        <v>144</v>
      </c>
      <c r="J1742">
        <v>40</v>
      </c>
      <c r="K1742">
        <v>4813.3599999999997</v>
      </c>
      <c r="L1742">
        <v>192534.39999999999</v>
      </c>
      <c r="M1742">
        <v>12526.11</v>
      </c>
      <c r="N1742">
        <v>0</v>
      </c>
      <c r="O1742">
        <v>180008.29</v>
      </c>
      <c r="P1742" t="s">
        <v>25</v>
      </c>
      <c r="Q1742" t="s">
        <v>26</v>
      </c>
    </row>
    <row r="1743" spans="1:17" x14ac:dyDescent="0.25">
      <c r="A1743" t="s">
        <v>1860</v>
      </c>
      <c r="B1743" s="1">
        <v>46019</v>
      </c>
      <c r="C1743" t="s">
        <v>54</v>
      </c>
      <c r="D1743" t="s">
        <v>133</v>
      </c>
      <c r="E1743" t="s">
        <v>49</v>
      </c>
      <c r="F1743" t="s">
        <v>36</v>
      </c>
      <c r="G1743" t="s">
        <v>140</v>
      </c>
      <c r="H1743" t="s">
        <v>67</v>
      </c>
      <c r="I1743" t="s">
        <v>154</v>
      </c>
      <c r="J1743">
        <v>18</v>
      </c>
      <c r="K1743">
        <v>45818.46</v>
      </c>
      <c r="L1743">
        <v>824732.28</v>
      </c>
      <c r="M1743">
        <v>40896.589999999997</v>
      </c>
      <c r="N1743">
        <v>0</v>
      </c>
      <c r="O1743">
        <v>783835.69</v>
      </c>
      <c r="P1743" t="s">
        <v>32</v>
      </c>
      <c r="Q1743" t="s">
        <v>32</v>
      </c>
    </row>
    <row r="1744" spans="1:17" x14ac:dyDescent="0.25">
      <c r="A1744" t="s">
        <v>1861</v>
      </c>
      <c r="B1744" s="1">
        <v>45971</v>
      </c>
      <c r="C1744" t="s">
        <v>54</v>
      </c>
      <c r="D1744" t="s">
        <v>97</v>
      </c>
      <c r="E1744" t="s">
        <v>20</v>
      </c>
      <c r="F1744" t="s">
        <v>50</v>
      </c>
      <c r="G1744" t="s">
        <v>43</v>
      </c>
      <c r="H1744" t="s">
        <v>57</v>
      </c>
      <c r="I1744" t="s">
        <v>118</v>
      </c>
      <c r="J1744">
        <v>2</v>
      </c>
      <c r="K1744">
        <v>5491.52</v>
      </c>
      <c r="L1744">
        <v>10983.04</v>
      </c>
      <c r="M1744">
        <v>736.61</v>
      </c>
      <c r="N1744">
        <v>0</v>
      </c>
      <c r="O1744">
        <v>10246.43</v>
      </c>
      <c r="P1744" t="s">
        <v>31</v>
      </c>
      <c r="Q1744" t="s">
        <v>32</v>
      </c>
    </row>
    <row r="1745" spans="1:17" x14ac:dyDescent="0.25">
      <c r="A1745" t="s">
        <v>1862</v>
      </c>
      <c r="B1745" s="1">
        <v>45970</v>
      </c>
      <c r="C1745" t="s">
        <v>79</v>
      </c>
      <c r="D1745" t="s">
        <v>91</v>
      </c>
      <c r="E1745" t="s">
        <v>49</v>
      </c>
      <c r="F1745" t="s">
        <v>137</v>
      </c>
      <c r="G1745" t="s">
        <v>138</v>
      </c>
      <c r="H1745" t="s">
        <v>67</v>
      </c>
      <c r="I1745" t="s">
        <v>201</v>
      </c>
      <c r="J1745">
        <v>14</v>
      </c>
      <c r="K1745">
        <v>3920.84</v>
      </c>
      <c r="L1745">
        <v>54891.76</v>
      </c>
      <c r="M1745">
        <v>9910.73</v>
      </c>
      <c r="N1745">
        <v>0</v>
      </c>
      <c r="O1745">
        <v>44981.03</v>
      </c>
      <c r="P1745" t="s">
        <v>25</v>
      </c>
      <c r="Q1745" t="s">
        <v>26</v>
      </c>
    </row>
    <row r="1746" spans="1:17" x14ac:dyDescent="0.25">
      <c r="A1746" t="s">
        <v>1863</v>
      </c>
      <c r="B1746" s="1">
        <v>46009</v>
      </c>
      <c r="C1746" t="s">
        <v>60</v>
      </c>
      <c r="D1746" t="s">
        <v>61</v>
      </c>
      <c r="E1746" t="s">
        <v>35</v>
      </c>
      <c r="F1746" t="s">
        <v>112</v>
      </c>
      <c r="G1746" t="s">
        <v>56</v>
      </c>
      <c r="H1746" t="s">
        <v>57</v>
      </c>
      <c r="I1746" t="s">
        <v>148</v>
      </c>
      <c r="J1746">
        <v>1</v>
      </c>
      <c r="K1746">
        <v>3956.87</v>
      </c>
      <c r="L1746">
        <v>3956.87</v>
      </c>
      <c r="M1746">
        <v>546.4</v>
      </c>
      <c r="N1746">
        <v>0</v>
      </c>
      <c r="O1746">
        <v>3410.47</v>
      </c>
      <c r="P1746" t="s">
        <v>25</v>
      </c>
      <c r="Q1746" t="s">
        <v>26</v>
      </c>
    </row>
    <row r="1747" spans="1:17" x14ac:dyDescent="0.25">
      <c r="A1747" t="s">
        <v>1864</v>
      </c>
      <c r="B1747" s="1">
        <v>46006</v>
      </c>
      <c r="C1747" t="s">
        <v>79</v>
      </c>
      <c r="D1747" t="s">
        <v>91</v>
      </c>
      <c r="E1747" t="s">
        <v>35</v>
      </c>
      <c r="F1747" t="s">
        <v>112</v>
      </c>
      <c r="G1747" t="s">
        <v>66</v>
      </c>
      <c r="H1747" t="s">
        <v>67</v>
      </c>
      <c r="I1747" t="s">
        <v>154</v>
      </c>
      <c r="J1747">
        <v>8</v>
      </c>
      <c r="K1747">
        <v>2510.91</v>
      </c>
      <c r="L1747">
        <v>20087.28</v>
      </c>
      <c r="M1747">
        <v>0</v>
      </c>
      <c r="N1747">
        <v>0</v>
      </c>
      <c r="O1747">
        <v>20087.28</v>
      </c>
      <c r="P1747" t="s">
        <v>31</v>
      </c>
      <c r="Q1747" t="s">
        <v>32</v>
      </c>
    </row>
    <row r="1748" spans="1:17" x14ac:dyDescent="0.25">
      <c r="A1748" t="s">
        <v>1865</v>
      </c>
      <c r="B1748" s="1">
        <v>45975</v>
      </c>
      <c r="C1748" t="s">
        <v>79</v>
      </c>
      <c r="D1748" t="s">
        <v>80</v>
      </c>
      <c r="E1748" t="s">
        <v>41</v>
      </c>
      <c r="F1748" t="s">
        <v>36</v>
      </c>
      <c r="G1748" t="s">
        <v>22</v>
      </c>
      <c r="H1748" t="s">
        <v>67</v>
      </c>
      <c r="I1748" t="s">
        <v>77</v>
      </c>
      <c r="J1748">
        <v>23</v>
      </c>
      <c r="K1748">
        <v>9551</v>
      </c>
      <c r="L1748">
        <v>219673</v>
      </c>
      <c r="M1748">
        <v>5071.0600000000004</v>
      </c>
      <c r="N1748">
        <v>63640.18</v>
      </c>
      <c r="O1748">
        <v>150961.76</v>
      </c>
      <c r="P1748" t="s">
        <v>31</v>
      </c>
      <c r="Q1748" t="s">
        <v>32</v>
      </c>
    </row>
    <row r="1749" spans="1:17" x14ac:dyDescent="0.25">
      <c r="A1749" t="s">
        <v>1866</v>
      </c>
      <c r="B1749" s="1">
        <v>46025</v>
      </c>
      <c r="C1749" t="s">
        <v>60</v>
      </c>
      <c r="D1749" t="s">
        <v>65</v>
      </c>
      <c r="E1749" t="s">
        <v>49</v>
      </c>
      <c r="F1749" t="s">
        <v>137</v>
      </c>
      <c r="G1749" t="s">
        <v>51</v>
      </c>
      <c r="H1749" t="s">
        <v>67</v>
      </c>
      <c r="I1749" t="s">
        <v>170</v>
      </c>
      <c r="J1749">
        <v>21</v>
      </c>
      <c r="K1749">
        <v>17134.689999999999</v>
      </c>
      <c r="L1749">
        <v>359828.49</v>
      </c>
      <c r="M1749">
        <v>43911.77</v>
      </c>
      <c r="N1749">
        <v>0</v>
      </c>
      <c r="O1749">
        <v>315916.71999999997</v>
      </c>
      <c r="P1749" t="s">
        <v>25</v>
      </c>
      <c r="Q1749" t="s">
        <v>26</v>
      </c>
    </row>
    <row r="1750" spans="1:17" x14ac:dyDescent="0.25">
      <c r="A1750" t="s">
        <v>1867</v>
      </c>
      <c r="B1750" s="1">
        <v>46030</v>
      </c>
      <c r="C1750" t="s">
        <v>54</v>
      </c>
      <c r="D1750" t="s">
        <v>133</v>
      </c>
      <c r="E1750" t="s">
        <v>41</v>
      </c>
      <c r="F1750" t="s">
        <v>137</v>
      </c>
      <c r="G1750" t="s">
        <v>22</v>
      </c>
      <c r="H1750" t="s">
        <v>38</v>
      </c>
      <c r="I1750" t="s">
        <v>39</v>
      </c>
      <c r="J1750">
        <v>21</v>
      </c>
      <c r="K1750">
        <v>3333.01</v>
      </c>
      <c r="L1750">
        <v>69993.210000000006</v>
      </c>
      <c r="M1750">
        <v>10091.33</v>
      </c>
      <c r="N1750">
        <v>0</v>
      </c>
      <c r="O1750">
        <v>59901.88</v>
      </c>
      <c r="P1750" t="s">
        <v>31</v>
      </c>
      <c r="Q1750" t="s">
        <v>32</v>
      </c>
    </row>
    <row r="1751" spans="1:17" x14ac:dyDescent="0.25">
      <c r="A1751" t="s">
        <v>1868</v>
      </c>
      <c r="B1751" s="1">
        <v>45989</v>
      </c>
      <c r="C1751" t="s">
        <v>60</v>
      </c>
      <c r="D1751" t="s">
        <v>61</v>
      </c>
      <c r="E1751" t="s">
        <v>49</v>
      </c>
      <c r="F1751" t="s">
        <v>21</v>
      </c>
      <c r="G1751" t="s">
        <v>22</v>
      </c>
      <c r="H1751" t="s">
        <v>44</v>
      </c>
      <c r="I1751" t="s">
        <v>124</v>
      </c>
      <c r="J1751">
        <v>33</v>
      </c>
      <c r="K1751">
        <v>38420.730000000003</v>
      </c>
      <c r="L1751">
        <v>1267884.0900000001</v>
      </c>
      <c r="M1751">
        <v>11860.8</v>
      </c>
      <c r="N1751">
        <v>0</v>
      </c>
      <c r="O1751">
        <v>1256023.29</v>
      </c>
      <c r="P1751" t="s">
        <v>73</v>
      </c>
      <c r="Q1751" t="s">
        <v>32</v>
      </c>
    </row>
    <row r="1752" spans="1:17" x14ac:dyDescent="0.25">
      <c r="A1752" t="s">
        <v>1869</v>
      </c>
      <c r="B1752" s="1">
        <v>45987</v>
      </c>
      <c r="C1752" t="s">
        <v>18</v>
      </c>
      <c r="D1752" t="s">
        <v>34</v>
      </c>
      <c r="E1752" t="s">
        <v>20</v>
      </c>
      <c r="F1752" t="s">
        <v>62</v>
      </c>
      <c r="G1752" t="s">
        <v>22</v>
      </c>
      <c r="H1752" t="s">
        <v>38</v>
      </c>
      <c r="I1752" t="s">
        <v>82</v>
      </c>
      <c r="J1752">
        <v>29</v>
      </c>
      <c r="K1752">
        <v>35188.769999999997</v>
      </c>
      <c r="L1752">
        <v>1020474.33</v>
      </c>
      <c r="M1752">
        <v>0</v>
      </c>
      <c r="N1752">
        <v>0</v>
      </c>
      <c r="O1752">
        <v>1020474.33</v>
      </c>
      <c r="P1752" t="s">
        <v>32</v>
      </c>
      <c r="Q1752" t="s">
        <v>26</v>
      </c>
    </row>
    <row r="1753" spans="1:17" x14ac:dyDescent="0.25">
      <c r="A1753" t="s">
        <v>1870</v>
      </c>
      <c r="B1753" s="1">
        <v>46036</v>
      </c>
      <c r="C1753" t="s">
        <v>54</v>
      </c>
      <c r="D1753" t="s">
        <v>70</v>
      </c>
      <c r="E1753" t="s">
        <v>41</v>
      </c>
      <c r="F1753" t="s">
        <v>105</v>
      </c>
      <c r="G1753" t="s">
        <v>29</v>
      </c>
      <c r="H1753" t="s">
        <v>67</v>
      </c>
      <c r="I1753" t="s">
        <v>77</v>
      </c>
      <c r="J1753">
        <v>28</v>
      </c>
      <c r="K1753">
        <v>18657.23</v>
      </c>
      <c r="L1753">
        <v>522402.44</v>
      </c>
      <c r="M1753">
        <v>39676.19</v>
      </c>
      <c r="N1753">
        <v>0</v>
      </c>
      <c r="O1753">
        <v>482726.25</v>
      </c>
      <c r="P1753" t="s">
        <v>25</v>
      </c>
      <c r="Q1753" t="s">
        <v>26</v>
      </c>
    </row>
    <row r="1754" spans="1:17" x14ac:dyDescent="0.25">
      <c r="A1754" t="s">
        <v>1871</v>
      </c>
      <c r="B1754" s="1">
        <v>45996</v>
      </c>
      <c r="C1754" t="s">
        <v>54</v>
      </c>
      <c r="D1754" t="s">
        <v>97</v>
      </c>
      <c r="E1754" t="s">
        <v>41</v>
      </c>
      <c r="F1754" t="s">
        <v>62</v>
      </c>
      <c r="G1754" t="s">
        <v>81</v>
      </c>
      <c r="H1754" t="s">
        <v>23</v>
      </c>
      <c r="I1754" t="s">
        <v>110</v>
      </c>
      <c r="J1754">
        <v>3</v>
      </c>
      <c r="K1754">
        <v>15666.63</v>
      </c>
      <c r="L1754">
        <v>46999.89</v>
      </c>
      <c r="M1754">
        <v>4472.2</v>
      </c>
      <c r="N1754">
        <v>0</v>
      </c>
      <c r="O1754">
        <v>42527.69</v>
      </c>
      <c r="P1754" t="s">
        <v>73</v>
      </c>
      <c r="Q1754" t="s">
        <v>26</v>
      </c>
    </row>
    <row r="1755" spans="1:17" x14ac:dyDescent="0.25">
      <c r="A1755" t="s">
        <v>1872</v>
      </c>
      <c r="B1755" s="1">
        <v>46029</v>
      </c>
      <c r="C1755" t="s">
        <v>79</v>
      </c>
      <c r="D1755" t="s">
        <v>101</v>
      </c>
      <c r="E1755" t="s">
        <v>20</v>
      </c>
      <c r="F1755" t="s">
        <v>21</v>
      </c>
      <c r="G1755" t="s">
        <v>63</v>
      </c>
      <c r="H1755" t="s">
        <v>44</v>
      </c>
      <c r="I1755" t="s">
        <v>281</v>
      </c>
      <c r="J1755">
        <v>5</v>
      </c>
      <c r="K1755">
        <v>2623.86</v>
      </c>
      <c r="L1755">
        <v>13119.3</v>
      </c>
      <c r="M1755">
        <v>2595.7600000000002</v>
      </c>
      <c r="N1755">
        <v>0</v>
      </c>
      <c r="O1755">
        <v>10523.54</v>
      </c>
      <c r="P1755" t="s">
        <v>73</v>
      </c>
      <c r="Q1755" t="s">
        <v>32</v>
      </c>
    </row>
    <row r="1756" spans="1:17" x14ac:dyDescent="0.25">
      <c r="A1756" t="s">
        <v>1873</v>
      </c>
      <c r="B1756" s="1">
        <v>45988</v>
      </c>
      <c r="C1756" t="s">
        <v>47</v>
      </c>
      <c r="D1756" t="s">
        <v>114</v>
      </c>
      <c r="E1756" t="s">
        <v>41</v>
      </c>
      <c r="F1756" t="s">
        <v>50</v>
      </c>
      <c r="G1756" t="s">
        <v>43</v>
      </c>
      <c r="H1756" t="s">
        <v>94</v>
      </c>
      <c r="I1756" t="s">
        <v>177</v>
      </c>
      <c r="J1756">
        <v>22</v>
      </c>
      <c r="K1756">
        <v>28602.06</v>
      </c>
      <c r="L1756">
        <v>629245.31999999995</v>
      </c>
      <c r="M1756">
        <v>43461.57</v>
      </c>
      <c r="N1756">
        <v>0</v>
      </c>
      <c r="O1756">
        <v>585783.75</v>
      </c>
      <c r="P1756" t="s">
        <v>31</v>
      </c>
      <c r="Q1756" t="s">
        <v>32</v>
      </c>
    </row>
    <row r="1757" spans="1:17" x14ac:dyDescent="0.25">
      <c r="A1757" t="s">
        <v>1874</v>
      </c>
      <c r="B1757" s="1">
        <v>45980</v>
      </c>
      <c r="C1757" t="s">
        <v>18</v>
      </c>
      <c r="D1757" t="s">
        <v>75</v>
      </c>
      <c r="E1757" t="s">
        <v>49</v>
      </c>
      <c r="F1757" t="s">
        <v>36</v>
      </c>
      <c r="G1757" t="s">
        <v>43</v>
      </c>
      <c r="H1757" t="s">
        <v>57</v>
      </c>
      <c r="I1757" t="s">
        <v>148</v>
      </c>
      <c r="J1757">
        <v>9</v>
      </c>
      <c r="K1757">
        <v>11130.03</v>
      </c>
      <c r="L1757">
        <v>100170.27</v>
      </c>
      <c r="M1757">
        <v>0</v>
      </c>
      <c r="N1757">
        <v>0</v>
      </c>
      <c r="O1757">
        <v>100170.27</v>
      </c>
      <c r="P1757" t="s">
        <v>31</v>
      </c>
      <c r="Q1757" t="s">
        <v>32</v>
      </c>
    </row>
    <row r="1758" spans="1:17" x14ac:dyDescent="0.25">
      <c r="A1758" t="s">
        <v>1875</v>
      </c>
      <c r="B1758" s="1">
        <v>46043</v>
      </c>
      <c r="C1758" t="s">
        <v>79</v>
      </c>
      <c r="D1758" t="s">
        <v>80</v>
      </c>
      <c r="E1758" t="s">
        <v>41</v>
      </c>
      <c r="F1758" t="s">
        <v>21</v>
      </c>
      <c r="G1758" t="s">
        <v>51</v>
      </c>
      <c r="H1758" t="s">
        <v>44</v>
      </c>
      <c r="I1758" t="s">
        <v>141</v>
      </c>
      <c r="J1758">
        <v>32</v>
      </c>
      <c r="K1758">
        <v>49572.85</v>
      </c>
      <c r="L1758">
        <v>1586331.2</v>
      </c>
      <c r="M1758">
        <v>246172.54</v>
      </c>
      <c r="N1758">
        <v>0</v>
      </c>
      <c r="O1758">
        <v>1340158.6599999999</v>
      </c>
      <c r="P1758" t="s">
        <v>73</v>
      </c>
      <c r="Q1758" t="s">
        <v>26</v>
      </c>
    </row>
    <row r="1759" spans="1:17" x14ac:dyDescent="0.25">
      <c r="A1759" t="s">
        <v>1876</v>
      </c>
      <c r="B1759" s="1">
        <v>45967</v>
      </c>
      <c r="C1759" t="s">
        <v>60</v>
      </c>
      <c r="D1759" t="s">
        <v>151</v>
      </c>
      <c r="E1759" t="s">
        <v>41</v>
      </c>
      <c r="F1759" t="s">
        <v>84</v>
      </c>
      <c r="G1759" t="s">
        <v>102</v>
      </c>
      <c r="H1759" t="s">
        <v>38</v>
      </c>
      <c r="I1759" t="s">
        <v>39</v>
      </c>
      <c r="J1759">
        <v>50</v>
      </c>
      <c r="K1759">
        <v>18664.52</v>
      </c>
      <c r="L1759">
        <v>933226</v>
      </c>
      <c r="M1759">
        <v>0</v>
      </c>
      <c r="N1759">
        <v>0</v>
      </c>
      <c r="O1759">
        <v>933226</v>
      </c>
      <c r="P1759" t="s">
        <v>25</v>
      </c>
      <c r="Q1759" t="s">
        <v>26</v>
      </c>
    </row>
    <row r="1760" spans="1:17" x14ac:dyDescent="0.25">
      <c r="A1760" t="s">
        <v>1877</v>
      </c>
      <c r="B1760" s="1">
        <v>45964</v>
      </c>
      <c r="C1760" t="s">
        <v>18</v>
      </c>
      <c r="D1760" t="s">
        <v>19</v>
      </c>
      <c r="E1760" t="s">
        <v>49</v>
      </c>
      <c r="F1760" t="s">
        <v>84</v>
      </c>
      <c r="G1760" t="s">
        <v>81</v>
      </c>
      <c r="H1760" t="s">
        <v>23</v>
      </c>
      <c r="I1760" t="s">
        <v>110</v>
      </c>
      <c r="J1760">
        <v>37</v>
      </c>
      <c r="K1760">
        <v>50233.279999999999</v>
      </c>
      <c r="L1760">
        <v>1858631.36</v>
      </c>
      <c r="M1760">
        <v>190495.81</v>
      </c>
      <c r="N1760">
        <v>0</v>
      </c>
      <c r="O1760">
        <v>1668135.55</v>
      </c>
      <c r="P1760" t="s">
        <v>32</v>
      </c>
      <c r="Q1760" t="s">
        <v>26</v>
      </c>
    </row>
    <row r="1761" spans="1:17" x14ac:dyDescent="0.25">
      <c r="A1761" t="s">
        <v>1878</v>
      </c>
      <c r="B1761" s="1">
        <v>46040</v>
      </c>
      <c r="C1761" t="s">
        <v>79</v>
      </c>
      <c r="D1761" t="s">
        <v>101</v>
      </c>
      <c r="E1761" t="s">
        <v>20</v>
      </c>
      <c r="F1761" t="s">
        <v>36</v>
      </c>
      <c r="G1761" t="s">
        <v>85</v>
      </c>
      <c r="H1761" t="s">
        <v>38</v>
      </c>
      <c r="I1761" t="s">
        <v>120</v>
      </c>
      <c r="J1761">
        <v>18</v>
      </c>
      <c r="K1761">
        <v>26051.29</v>
      </c>
      <c r="L1761">
        <v>468923.22</v>
      </c>
      <c r="M1761">
        <v>50089.74</v>
      </c>
      <c r="N1761">
        <v>86201.08</v>
      </c>
      <c r="O1761">
        <v>332632.40000000002</v>
      </c>
      <c r="P1761" t="s">
        <v>32</v>
      </c>
      <c r="Q1761" t="s">
        <v>26</v>
      </c>
    </row>
    <row r="1762" spans="1:17" x14ac:dyDescent="0.25">
      <c r="A1762" t="s">
        <v>1879</v>
      </c>
      <c r="B1762" s="1">
        <v>46000</v>
      </c>
      <c r="C1762" t="s">
        <v>47</v>
      </c>
      <c r="D1762" t="s">
        <v>88</v>
      </c>
      <c r="E1762" t="s">
        <v>49</v>
      </c>
      <c r="F1762" t="s">
        <v>36</v>
      </c>
      <c r="G1762" t="s">
        <v>29</v>
      </c>
      <c r="H1762" t="s">
        <v>94</v>
      </c>
      <c r="I1762" t="s">
        <v>144</v>
      </c>
      <c r="J1762">
        <v>19</v>
      </c>
      <c r="K1762">
        <v>29786.77</v>
      </c>
      <c r="L1762">
        <v>565948.63</v>
      </c>
      <c r="M1762">
        <v>81685.899999999994</v>
      </c>
      <c r="N1762">
        <v>0</v>
      </c>
      <c r="O1762">
        <v>484262.73</v>
      </c>
      <c r="P1762" t="s">
        <v>73</v>
      </c>
      <c r="Q1762" t="s">
        <v>26</v>
      </c>
    </row>
    <row r="1763" spans="1:17" x14ac:dyDescent="0.25">
      <c r="A1763" t="s">
        <v>1880</v>
      </c>
      <c r="B1763" s="1">
        <v>45980</v>
      </c>
      <c r="C1763" t="s">
        <v>47</v>
      </c>
      <c r="D1763" t="s">
        <v>127</v>
      </c>
      <c r="E1763" t="s">
        <v>35</v>
      </c>
      <c r="F1763" t="s">
        <v>50</v>
      </c>
      <c r="G1763" t="s">
        <v>102</v>
      </c>
      <c r="H1763" t="s">
        <v>67</v>
      </c>
      <c r="I1763" t="s">
        <v>201</v>
      </c>
      <c r="J1763">
        <v>46</v>
      </c>
      <c r="K1763">
        <v>45662.19</v>
      </c>
      <c r="L1763">
        <v>2100460.7400000002</v>
      </c>
      <c r="M1763">
        <v>63918.64</v>
      </c>
      <c r="N1763">
        <v>228440.73</v>
      </c>
      <c r="O1763">
        <v>1808101.37</v>
      </c>
      <c r="P1763" t="s">
        <v>32</v>
      </c>
      <c r="Q1763" t="s">
        <v>26</v>
      </c>
    </row>
    <row r="1764" spans="1:17" x14ac:dyDescent="0.25">
      <c r="A1764" t="s">
        <v>1881</v>
      </c>
      <c r="B1764" s="1">
        <v>46034</v>
      </c>
      <c r="C1764" t="s">
        <v>47</v>
      </c>
      <c r="D1764" t="s">
        <v>127</v>
      </c>
      <c r="E1764" t="s">
        <v>35</v>
      </c>
      <c r="F1764" t="s">
        <v>42</v>
      </c>
      <c r="G1764" t="s">
        <v>56</v>
      </c>
      <c r="H1764" t="s">
        <v>38</v>
      </c>
      <c r="I1764" t="s">
        <v>108</v>
      </c>
      <c r="J1764">
        <v>3</v>
      </c>
      <c r="K1764">
        <v>3705.73</v>
      </c>
      <c r="L1764">
        <v>11117.19</v>
      </c>
      <c r="M1764">
        <v>1754.66</v>
      </c>
      <c r="N1764">
        <v>0</v>
      </c>
      <c r="O1764">
        <v>9362.5300000000007</v>
      </c>
      <c r="P1764" t="s">
        <v>32</v>
      </c>
      <c r="Q1764" t="s">
        <v>26</v>
      </c>
    </row>
    <row r="1765" spans="1:17" x14ac:dyDescent="0.25">
      <c r="A1765" t="s">
        <v>1882</v>
      </c>
      <c r="B1765" s="1">
        <v>46014</v>
      </c>
      <c r="C1765" t="s">
        <v>60</v>
      </c>
      <c r="D1765" t="s">
        <v>151</v>
      </c>
      <c r="E1765" t="s">
        <v>49</v>
      </c>
      <c r="F1765" t="s">
        <v>112</v>
      </c>
      <c r="G1765" t="s">
        <v>37</v>
      </c>
      <c r="H1765" t="s">
        <v>57</v>
      </c>
      <c r="I1765" t="s">
        <v>72</v>
      </c>
      <c r="J1765">
        <v>39</v>
      </c>
      <c r="K1765">
        <v>26665.89</v>
      </c>
      <c r="L1765">
        <v>1039969.71</v>
      </c>
      <c r="M1765">
        <v>87535.76</v>
      </c>
      <c r="N1765">
        <v>192479.35999999999</v>
      </c>
      <c r="O1765">
        <v>759954.59</v>
      </c>
      <c r="P1765" t="s">
        <v>32</v>
      </c>
      <c r="Q1765" t="s">
        <v>26</v>
      </c>
    </row>
    <row r="1766" spans="1:17" x14ac:dyDescent="0.25">
      <c r="A1766" t="s">
        <v>1883</v>
      </c>
      <c r="B1766" s="1">
        <v>45983</v>
      </c>
      <c r="C1766" t="s">
        <v>54</v>
      </c>
      <c r="D1766" t="s">
        <v>55</v>
      </c>
      <c r="E1766" t="s">
        <v>35</v>
      </c>
      <c r="F1766" t="s">
        <v>71</v>
      </c>
      <c r="G1766" t="s">
        <v>43</v>
      </c>
      <c r="H1766" t="s">
        <v>57</v>
      </c>
      <c r="I1766" t="s">
        <v>118</v>
      </c>
      <c r="J1766">
        <v>11</v>
      </c>
      <c r="K1766">
        <v>4044.41</v>
      </c>
      <c r="L1766">
        <v>44488.51</v>
      </c>
      <c r="M1766">
        <v>8807.86</v>
      </c>
      <c r="N1766">
        <v>0</v>
      </c>
      <c r="O1766">
        <v>35680.65</v>
      </c>
      <c r="P1766" t="s">
        <v>31</v>
      </c>
      <c r="Q1766" t="s">
        <v>32</v>
      </c>
    </row>
    <row r="1767" spans="1:17" x14ac:dyDescent="0.25">
      <c r="A1767" t="s">
        <v>1884</v>
      </c>
      <c r="B1767" s="1">
        <v>45968</v>
      </c>
      <c r="C1767" t="s">
        <v>18</v>
      </c>
      <c r="D1767" t="s">
        <v>28</v>
      </c>
      <c r="E1767" t="s">
        <v>35</v>
      </c>
      <c r="F1767" t="s">
        <v>42</v>
      </c>
      <c r="G1767" t="s">
        <v>56</v>
      </c>
      <c r="H1767" t="s">
        <v>57</v>
      </c>
      <c r="I1767" t="s">
        <v>160</v>
      </c>
      <c r="J1767">
        <v>12</v>
      </c>
      <c r="K1767">
        <v>20355.830000000002</v>
      </c>
      <c r="L1767">
        <v>244269.96</v>
      </c>
      <c r="M1767">
        <v>0</v>
      </c>
      <c r="N1767">
        <v>0</v>
      </c>
      <c r="O1767">
        <v>244269.96</v>
      </c>
      <c r="P1767" t="s">
        <v>32</v>
      </c>
      <c r="Q1767" t="s">
        <v>32</v>
      </c>
    </row>
    <row r="1768" spans="1:17" x14ac:dyDescent="0.25">
      <c r="A1768" t="s">
        <v>1885</v>
      </c>
      <c r="B1768" s="1">
        <v>46032</v>
      </c>
      <c r="C1768" t="s">
        <v>18</v>
      </c>
      <c r="D1768" t="s">
        <v>75</v>
      </c>
      <c r="E1768" t="s">
        <v>49</v>
      </c>
      <c r="F1768" t="s">
        <v>71</v>
      </c>
      <c r="G1768" t="s">
        <v>43</v>
      </c>
      <c r="H1768" t="s">
        <v>57</v>
      </c>
      <c r="I1768" t="s">
        <v>58</v>
      </c>
      <c r="J1768">
        <v>29</v>
      </c>
      <c r="K1768">
        <v>42344.35</v>
      </c>
      <c r="L1768">
        <v>1227986.1499999999</v>
      </c>
      <c r="M1768">
        <v>0</v>
      </c>
      <c r="N1768">
        <v>124276.8</v>
      </c>
      <c r="O1768">
        <v>1103709.3500000001</v>
      </c>
      <c r="P1768" t="s">
        <v>31</v>
      </c>
      <c r="Q1768" t="s">
        <v>32</v>
      </c>
    </row>
    <row r="1769" spans="1:17" x14ac:dyDescent="0.25">
      <c r="A1769" t="s">
        <v>1886</v>
      </c>
      <c r="B1769" s="1">
        <v>46021</v>
      </c>
      <c r="C1769" t="s">
        <v>60</v>
      </c>
      <c r="D1769" t="s">
        <v>61</v>
      </c>
      <c r="E1769" t="s">
        <v>20</v>
      </c>
      <c r="F1769" t="s">
        <v>137</v>
      </c>
      <c r="G1769" t="s">
        <v>102</v>
      </c>
      <c r="H1769" t="s">
        <v>44</v>
      </c>
      <c r="I1769" t="s">
        <v>152</v>
      </c>
      <c r="J1769">
        <v>49</v>
      </c>
      <c r="K1769">
        <v>10925.74</v>
      </c>
      <c r="L1769">
        <v>535361.26</v>
      </c>
      <c r="M1769">
        <v>47786.77</v>
      </c>
      <c r="N1769">
        <v>0</v>
      </c>
      <c r="O1769">
        <v>487574.49</v>
      </c>
      <c r="P1769" t="s">
        <v>25</v>
      </c>
      <c r="Q1769" t="s">
        <v>26</v>
      </c>
    </row>
    <row r="1770" spans="1:17" x14ac:dyDescent="0.25">
      <c r="A1770" t="s">
        <v>1887</v>
      </c>
      <c r="B1770" s="1">
        <v>46008</v>
      </c>
      <c r="C1770" t="s">
        <v>54</v>
      </c>
      <c r="D1770" t="s">
        <v>55</v>
      </c>
      <c r="E1770" t="s">
        <v>49</v>
      </c>
      <c r="F1770" t="s">
        <v>42</v>
      </c>
      <c r="G1770" t="s">
        <v>56</v>
      </c>
      <c r="H1770" t="s">
        <v>67</v>
      </c>
      <c r="I1770" t="s">
        <v>68</v>
      </c>
      <c r="J1770">
        <v>28</v>
      </c>
      <c r="K1770">
        <v>29071.03</v>
      </c>
      <c r="L1770">
        <v>813988.84</v>
      </c>
      <c r="M1770">
        <v>0</v>
      </c>
      <c r="N1770">
        <v>0</v>
      </c>
      <c r="O1770">
        <v>813988.84</v>
      </c>
      <c r="P1770" t="s">
        <v>31</v>
      </c>
      <c r="Q1770" t="s">
        <v>32</v>
      </c>
    </row>
    <row r="1771" spans="1:17" x14ac:dyDescent="0.25">
      <c r="A1771" t="s">
        <v>1888</v>
      </c>
      <c r="B1771" s="1">
        <v>45971</v>
      </c>
      <c r="C1771" t="s">
        <v>54</v>
      </c>
      <c r="D1771" t="s">
        <v>97</v>
      </c>
      <c r="E1771" t="s">
        <v>20</v>
      </c>
      <c r="F1771" t="s">
        <v>105</v>
      </c>
      <c r="G1771" t="s">
        <v>138</v>
      </c>
      <c r="H1771" t="s">
        <v>44</v>
      </c>
      <c r="I1771" t="s">
        <v>124</v>
      </c>
      <c r="J1771">
        <v>3</v>
      </c>
      <c r="K1771">
        <v>24207.91</v>
      </c>
      <c r="L1771">
        <v>72623.73</v>
      </c>
      <c r="M1771">
        <v>13501.56</v>
      </c>
      <c r="N1771">
        <v>3082.6</v>
      </c>
      <c r="O1771">
        <v>56039.57</v>
      </c>
      <c r="P1771" t="s">
        <v>32</v>
      </c>
      <c r="Q1771" t="s">
        <v>26</v>
      </c>
    </row>
    <row r="1772" spans="1:17" x14ac:dyDescent="0.25">
      <c r="A1772" t="s">
        <v>1889</v>
      </c>
      <c r="B1772" s="1">
        <v>46031</v>
      </c>
      <c r="C1772" t="s">
        <v>54</v>
      </c>
      <c r="D1772" t="s">
        <v>70</v>
      </c>
      <c r="E1772" t="s">
        <v>49</v>
      </c>
      <c r="F1772" t="s">
        <v>21</v>
      </c>
      <c r="G1772" t="s">
        <v>140</v>
      </c>
      <c r="H1772" t="s">
        <v>38</v>
      </c>
      <c r="I1772" t="s">
        <v>82</v>
      </c>
      <c r="J1772">
        <v>25</v>
      </c>
      <c r="K1772">
        <v>39272.300000000003</v>
      </c>
      <c r="L1772">
        <v>981807.5</v>
      </c>
      <c r="M1772">
        <v>92439.74</v>
      </c>
      <c r="N1772">
        <v>0</v>
      </c>
      <c r="O1772">
        <v>889367.76</v>
      </c>
      <c r="P1772" t="s">
        <v>32</v>
      </c>
      <c r="Q1772" t="s">
        <v>26</v>
      </c>
    </row>
    <row r="1773" spans="1:17" x14ac:dyDescent="0.25">
      <c r="A1773" t="s">
        <v>1890</v>
      </c>
      <c r="B1773" s="1">
        <v>45968</v>
      </c>
      <c r="C1773" t="s">
        <v>54</v>
      </c>
      <c r="D1773" t="s">
        <v>70</v>
      </c>
      <c r="E1773" t="s">
        <v>20</v>
      </c>
      <c r="F1773" t="s">
        <v>137</v>
      </c>
      <c r="G1773" t="s">
        <v>81</v>
      </c>
      <c r="H1773" t="s">
        <v>57</v>
      </c>
      <c r="I1773" t="s">
        <v>148</v>
      </c>
      <c r="J1773">
        <v>23</v>
      </c>
      <c r="K1773">
        <v>2440.08</v>
      </c>
      <c r="L1773">
        <v>56121.84</v>
      </c>
      <c r="M1773">
        <v>643.21</v>
      </c>
      <c r="N1773">
        <v>0</v>
      </c>
      <c r="O1773">
        <v>55478.63</v>
      </c>
      <c r="P1773" t="s">
        <v>31</v>
      </c>
      <c r="Q1773" t="s">
        <v>32</v>
      </c>
    </row>
    <row r="1774" spans="1:17" x14ac:dyDescent="0.25">
      <c r="A1774" t="s">
        <v>1891</v>
      </c>
      <c r="B1774" s="1">
        <v>46023</v>
      </c>
      <c r="C1774" t="s">
        <v>47</v>
      </c>
      <c r="D1774" t="s">
        <v>114</v>
      </c>
      <c r="E1774" t="s">
        <v>49</v>
      </c>
      <c r="F1774" t="s">
        <v>84</v>
      </c>
      <c r="G1774" t="s">
        <v>43</v>
      </c>
      <c r="H1774" t="s">
        <v>44</v>
      </c>
      <c r="I1774" t="s">
        <v>124</v>
      </c>
      <c r="J1774">
        <v>41</v>
      </c>
      <c r="K1774">
        <v>19885.05</v>
      </c>
      <c r="L1774">
        <v>815287.05</v>
      </c>
      <c r="M1774">
        <v>0</v>
      </c>
      <c r="N1774">
        <v>0</v>
      </c>
      <c r="O1774">
        <v>815287.05</v>
      </c>
      <c r="P1774" t="s">
        <v>25</v>
      </c>
      <c r="Q1774" t="s">
        <v>128</v>
      </c>
    </row>
    <row r="1775" spans="1:17" x14ac:dyDescent="0.25">
      <c r="A1775" t="s">
        <v>1892</v>
      </c>
      <c r="B1775" s="1">
        <v>46034</v>
      </c>
      <c r="C1775" t="s">
        <v>18</v>
      </c>
      <c r="D1775" t="s">
        <v>19</v>
      </c>
      <c r="E1775" t="s">
        <v>49</v>
      </c>
      <c r="F1775" t="s">
        <v>71</v>
      </c>
      <c r="G1775" t="s">
        <v>43</v>
      </c>
      <c r="H1775" t="s">
        <v>57</v>
      </c>
      <c r="I1775" t="s">
        <v>72</v>
      </c>
      <c r="J1775">
        <v>24</v>
      </c>
      <c r="K1775">
        <v>3314.01</v>
      </c>
      <c r="L1775">
        <v>79536.240000000005</v>
      </c>
      <c r="M1775">
        <v>2659.64</v>
      </c>
      <c r="N1775">
        <v>0</v>
      </c>
      <c r="O1775">
        <v>76876.600000000006</v>
      </c>
      <c r="P1775" t="s">
        <v>31</v>
      </c>
      <c r="Q1775" t="s">
        <v>32</v>
      </c>
    </row>
    <row r="1776" spans="1:17" x14ac:dyDescent="0.25">
      <c r="A1776" t="s">
        <v>1893</v>
      </c>
      <c r="B1776" s="1">
        <v>46010</v>
      </c>
      <c r="C1776" t="s">
        <v>60</v>
      </c>
      <c r="D1776" t="s">
        <v>61</v>
      </c>
      <c r="E1776" t="s">
        <v>41</v>
      </c>
      <c r="F1776" t="s">
        <v>105</v>
      </c>
      <c r="G1776" t="s">
        <v>66</v>
      </c>
      <c r="H1776" t="s">
        <v>94</v>
      </c>
      <c r="I1776" t="s">
        <v>193</v>
      </c>
      <c r="J1776">
        <v>12</v>
      </c>
      <c r="K1776">
        <v>44133.4</v>
      </c>
      <c r="L1776">
        <v>529600.80000000005</v>
      </c>
      <c r="M1776">
        <v>20561.330000000002</v>
      </c>
      <c r="N1776">
        <v>0</v>
      </c>
      <c r="O1776">
        <v>509039.47</v>
      </c>
      <c r="P1776" t="s">
        <v>25</v>
      </c>
      <c r="Q1776" t="s">
        <v>26</v>
      </c>
    </row>
    <row r="1777" spans="1:17" x14ac:dyDescent="0.25">
      <c r="A1777" t="s">
        <v>1894</v>
      </c>
      <c r="B1777" s="1">
        <v>46008</v>
      </c>
      <c r="C1777" t="s">
        <v>54</v>
      </c>
      <c r="D1777" t="s">
        <v>133</v>
      </c>
      <c r="E1777" t="s">
        <v>20</v>
      </c>
      <c r="F1777" t="s">
        <v>112</v>
      </c>
      <c r="G1777" t="s">
        <v>138</v>
      </c>
      <c r="H1777" t="s">
        <v>67</v>
      </c>
      <c r="I1777" t="s">
        <v>103</v>
      </c>
      <c r="J1777">
        <v>30</v>
      </c>
      <c r="K1777">
        <v>2028.01</v>
      </c>
      <c r="L1777">
        <v>60840.3</v>
      </c>
      <c r="M1777">
        <v>10048.540000000001</v>
      </c>
      <c r="N1777">
        <v>0</v>
      </c>
      <c r="O1777">
        <v>50791.76</v>
      </c>
      <c r="P1777" t="s">
        <v>25</v>
      </c>
      <c r="Q1777" t="s">
        <v>26</v>
      </c>
    </row>
    <row r="1778" spans="1:17" x14ac:dyDescent="0.25">
      <c r="A1778" t="s">
        <v>1895</v>
      </c>
      <c r="B1778" s="1">
        <v>45982</v>
      </c>
      <c r="C1778" t="s">
        <v>18</v>
      </c>
      <c r="D1778" t="s">
        <v>19</v>
      </c>
      <c r="E1778" t="s">
        <v>49</v>
      </c>
      <c r="F1778" t="s">
        <v>50</v>
      </c>
      <c r="G1778" t="s">
        <v>81</v>
      </c>
      <c r="H1778" t="s">
        <v>57</v>
      </c>
      <c r="I1778" t="s">
        <v>160</v>
      </c>
      <c r="J1778">
        <v>18</v>
      </c>
      <c r="K1778">
        <v>20700.32</v>
      </c>
      <c r="L1778">
        <v>372605.76</v>
      </c>
      <c r="M1778">
        <v>12484.42</v>
      </c>
      <c r="N1778">
        <v>0</v>
      </c>
      <c r="O1778">
        <v>360121.34</v>
      </c>
      <c r="P1778" t="s">
        <v>25</v>
      </c>
      <c r="Q1778" t="s">
        <v>32</v>
      </c>
    </row>
    <row r="1779" spans="1:17" x14ac:dyDescent="0.25">
      <c r="A1779" t="s">
        <v>1896</v>
      </c>
      <c r="B1779" s="1">
        <v>46025</v>
      </c>
      <c r="C1779" t="s">
        <v>54</v>
      </c>
      <c r="D1779" t="s">
        <v>133</v>
      </c>
      <c r="E1779" t="s">
        <v>35</v>
      </c>
      <c r="F1779" t="s">
        <v>137</v>
      </c>
      <c r="G1779" t="s">
        <v>56</v>
      </c>
      <c r="H1779" t="s">
        <v>94</v>
      </c>
      <c r="I1779" t="s">
        <v>144</v>
      </c>
      <c r="J1779">
        <v>24</v>
      </c>
      <c r="K1779">
        <v>4582.53</v>
      </c>
      <c r="L1779">
        <v>109980.72</v>
      </c>
      <c r="M1779">
        <v>13360.21</v>
      </c>
      <c r="N1779">
        <v>0</v>
      </c>
      <c r="O1779">
        <v>96620.51</v>
      </c>
      <c r="P1779" t="s">
        <v>25</v>
      </c>
      <c r="Q1779" t="s">
        <v>26</v>
      </c>
    </row>
    <row r="1780" spans="1:17" x14ac:dyDescent="0.25">
      <c r="A1780" t="s">
        <v>1897</v>
      </c>
      <c r="B1780" s="1">
        <v>46036</v>
      </c>
      <c r="C1780" t="s">
        <v>60</v>
      </c>
      <c r="D1780" t="s">
        <v>61</v>
      </c>
      <c r="E1780" t="s">
        <v>20</v>
      </c>
      <c r="F1780" t="s">
        <v>84</v>
      </c>
      <c r="G1780" t="s">
        <v>56</v>
      </c>
      <c r="H1780" t="s">
        <v>57</v>
      </c>
      <c r="I1780" t="s">
        <v>72</v>
      </c>
      <c r="J1780">
        <v>12</v>
      </c>
      <c r="K1780">
        <v>40209.019999999997</v>
      </c>
      <c r="L1780">
        <v>482508.24</v>
      </c>
      <c r="M1780">
        <v>0</v>
      </c>
      <c r="N1780">
        <v>32629.200000000001</v>
      </c>
      <c r="O1780">
        <v>449879.03999999998</v>
      </c>
      <c r="P1780" t="s">
        <v>73</v>
      </c>
      <c r="Q1780" t="s">
        <v>32</v>
      </c>
    </row>
    <row r="1781" spans="1:17" x14ac:dyDescent="0.25">
      <c r="A1781" t="s">
        <v>1898</v>
      </c>
      <c r="B1781" s="1">
        <v>45984</v>
      </c>
      <c r="C1781" t="s">
        <v>54</v>
      </c>
      <c r="D1781" t="s">
        <v>55</v>
      </c>
      <c r="E1781" t="s">
        <v>41</v>
      </c>
      <c r="F1781" t="s">
        <v>42</v>
      </c>
      <c r="G1781" t="s">
        <v>140</v>
      </c>
      <c r="H1781" t="s">
        <v>23</v>
      </c>
      <c r="I1781" t="s">
        <v>131</v>
      </c>
      <c r="J1781">
        <v>18</v>
      </c>
      <c r="K1781">
        <v>8859.0300000000007</v>
      </c>
      <c r="L1781">
        <v>159462.54</v>
      </c>
      <c r="M1781">
        <v>0</v>
      </c>
      <c r="N1781">
        <v>0</v>
      </c>
      <c r="O1781">
        <v>159462.54</v>
      </c>
      <c r="P1781" t="s">
        <v>73</v>
      </c>
      <c r="Q1781" t="s">
        <v>32</v>
      </c>
    </row>
    <row r="1782" spans="1:17" x14ac:dyDescent="0.25">
      <c r="A1782" t="s">
        <v>1899</v>
      </c>
      <c r="B1782" s="1">
        <v>45962</v>
      </c>
      <c r="C1782" t="s">
        <v>54</v>
      </c>
      <c r="D1782" t="s">
        <v>70</v>
      </c>
      <c r="E1782" t="s">
        <v>49</v>
      </c>
      <c r="F1782" t="s">
        <v>71</v>
      </c>
      <c r="G1782" t="s">
        <v>66</v>
      </c>
      <c r="H1782" t="s">
        <v>38</v>
      </c>
      <c r="I1782" t="s">
        <v>82</v>
      </c>
      <c r="J1782">
        <v>19</v>
      </c>
      <c r="K1782">
        <v>32508.959999999999</v>
      </c>
      <c r="L1782">
        <v>617670.24</v>
      </c>
      <c r="M1782">
        <v>12906.44</v>
      </c>
      <c r="N1782">
        <v>0</v>
      </c>
      <c r="O1782">
        <v>604763.80000000005</v>
      </c>
      <c r="P1782" t="s">
        <v>31</v>
      </c>
      <c r="Q1782" t="s">
        <v>32</v>
      </c>
    </row>
    <row r="1783" spans="1:17" x14ac:dyDescent="0.25">
      <c r="A1783" t="s">
        <v>1900</v>
      </c>
      <c r="B1783" s="1">
        <v>46016</v>
      </c>
      <c r="C1783" t="s">
        <v>79</v>
      </c>
      <c r="D1783" t="s">
        <v>101</v>
      </c>
      <c r="E1783" t="s">
        <v>35</v>
      </c>
      <c r="F1783" t="s">
        <v>50</v>
      </c>
      <c r="G1783" t="s">
        <v>138</v>
      </c>
      <c r="H1783" t="s">
        <v>57</v>
      </c>
      <c r="I1783" t="s">
        <v>92</v>
      </c>
      <c r="J1783">
        <v>38</v>
      </c>
      <c r="K1783">
        <v>42385.84</v>
      </c>
      <c r="L1783">
        <v>1610661.92</v>
      </c>
      <c r="M1783">
        <v>155773.32</v>
      </c>
      <c r="N1783">
        <v>0</v>
      </c>
      <c r="O1783">
        <v>1454888.6</v>
      </c>
      <c r="P1783" t="s">
        <v>73</v>
      </c>
      <c r="Q1783" t="s">
        <v>32</v>
      </c>
    </row>
    <row r="1784" spans="1:17" x14ac:dyDescent="0.25">
      <c r="A1784" t="s">
        <v>1901</v>
      </c>
      <c r="B1784" s="1">
        <v>45975</v>
      </c>
      <c r="C1784" t="s">
        <v>60</v>
      </c>
      <c r="D1784" t="s">
        <v>123</v>
      </c>
      <c r="E1784" t="s">
        <v>35</v>
      </c>
      <c r="F1784" t="s">
        <v>21</v>
      </c>
      <c r="G1784" t="s">
        <v>29</v>
      </c>
      <c r="H1784" t="s">
        <v>44</v>
      </c>
      <c r="I1784" t="s">
        <v>141</v>
      </c>
      <c r="J1784">
        <v>26</v>
      </c>
      <c r="K1784">
        <v>3129.4</v>
      </c>
      <c r="L1784">
        <v>81364.399999999994</v>
      </c>
      <c r="M1784">
        <v>14335.8</v>
      </c>
      <c r="N1784">
        <v>0</v>
      </c>
      <c r="O1784">
        <v>67028.600000000006</v>
      </c>
      <c r="P1784" t="s">
        <v>31</v>
      </c>
      <c r="Q1784" t="s">
        <v>32</v>
      </c>
    </row>
    <row r="1785" spans="1:17" x14ac:dyDescent="0.25">
      <c r="A1785" t="s">
        <v>1902</v>
      </c>
      <c r="B1785" s="1">
        <v>45978</v>
      </c>
      <c r="C1785" t="s">
        <v>18</v>
      </c>
      <c r="D1785" t="s">
        <v>34</v>
      </c>
      <c r="E1785" t="s">
        <v>41</v>
      </c>
      <c r="F1785" t="s">
        <v>62</v>
      </c>
      <c r="G1785" t="s">
        <v>29</v>
      </c>
      <c r="H1785" t="s">
        <v>23</v>
      </c>
      <c r="I1785" t="s">
        <v>52</v>
      </c>
      <c r="J1785">
        <v>26</v>
      </c>
      <c r="K1785">
        <v>35472.949999999997</v>
      </c>
      <c r="L1785">
        <v>922296.7</v>
      </c>
      <c r="M1785">
        <v>168643.48</v>
      </c>
      <c r="N1785">
        <v>0</v>
      </c>
      <c r="O1785">
        <v>753653.22</v>
      </c>
      <c r="P1785" t="s">
        <v>32</v>
      </c>
      <c r="Q1785" t="s">
        <v>32</v>
      </c>
    </row>
    <row r="1786" spans="1:17" x14ac:dyDescent="0.25">
      <c r="A1786" t="s">
        <v>1903</v>
      </c>
      <c r="B1786" s="1">
        <v>46034</v>
      </c>
      <c r="C1786" t="s">
        <v>79</v>
      </c>
      <c r="D1786" t="s">
        <v>91</v>
      </c>
      <c r="E1786" t="s">
        <v>49</v>
      </c>
      <c r="F1786" t="s">
        <v>137</v>
      </c>
      <c r="G1786" t="s">
        <v>43</v>
      </c>
      <c r="H1786" t="s">
        <v>67</v>
      </c>
      <c r="I1786" t="s">
        <v>154</v>
      </c>
      <c r="J1786">
        <v>21</v>
      </c>
      <c r="K1786">
        <v>37635.58</v>
      </c>
      <c r="L1786">
        <v>790347.18</v>
      </c>
      <c r="M1786">
        <v>0</v>
      </c>
      <c r="N1786">
        <v>0</v>
      </c>
      <c r="O1786">
        <v>790347.18</v>
      </c>
      <c r="P1786" t="s">
        <v>32</v>
      </c>
      <c r="Q1786" t="s">
        <v>32</v>
      </c>
    </row>
    <row r="1787" spans="1:17" x14ac:dyDescent="0.25">
      <c r="A1787" t="s">
        <v>1904</v>
      </c>
      <c r="B1787" s="1">
        <v>46022</v>
      </c>
      <c r="C1787" t="s">
        <v>79</v>
      </c>
      <c r="D1787" t="s">
        <v>80</v>
      </c>
      <c r="E1787" t="s">
        <v>41</v>
      </c>
      <c r="F1787" t="s">
        <v>105</v>
      </c>
      <c r="G1787" t="s">
        <v>43</v>
      </c>
      <c r="H1787" t="s">
        <v>94</v>
      </c>
      <c r="I1787" t="s">
        <v>144</v>
      </c>
      <c r="J1787">
        <v>21</v>
      </c>
      <c r="K1787">
        <v>1155.74</v>
      </c>
      <c r="L1787">
        <v>24270.54</v>
      </c>
      <c r="M1787">
        <v>608.22</v>
      </c>
      <c r="N1787">
        <v>0</v>
      </c>
      <c r="O1787">
        <v>23662.32</v>
      </c>
      <c r="P1787" t="s">
        <v>32</v>
      </c>
      <c r="Q1787" t="s">
        <v>32</v>
      </c>
    </row>
    <row r="1788" spans="1:17" x14ac:dyDescent="0.25">
      <c r="A1788" t="s">
        <v>1905</v>
      </c>
      <c r="B1788" s="1">
        <v>46028</v>
      </c>
      <c r="C1788" t="s">
        <v>47</v>
      </c>
      <c r="D1788" t="s">
        <v>88</v>
      </c>
      <c r="E1788" t="s">
        <v>20</v>
      </c>
      <c r="F1788" t="s">
        <v>42</v>
      </c>
      <c r="G1788" t="s">
        <v>63</v>
      </c>
      <c r="H1788" t="s">
        <v>57</v>
      </c>
      <c r="I1788" t="s">
        <v>72</v>
      </c>
      <c r="J1788">
        <v>34</v>
      </c>
      <c r="K1788">
        <v>42316.01</v>
      </c>
      <c r="L1788">
        <v>1438744.34</v>
      </c>
      <c r="M1788">
        <v>81531.06</v>
      </c>
      <c r="N1788">
        <v>217522.11</v>
      </c>
      <c r="O1788">
        <v>1139691.17</v>
      </c>
      <c r="P1788" t="s">
        <v>32</v>
      </c>
      <c r="Q1788" t="s">
        <v>32</v>
      </c>
    </row>
    <row r="1789" spans="1:17" x14ac:dyDescent="0.25">
      <c r="A1789" t="s">
        <v>1906</v>
      </c>
      <c r="B1789" s="1">
        <v>46025</v>
      </c>
      <c r="C1789" t="s">
        <v>54</v>
      </c>
      <c r="D1789" t="s">
        <v>133</v>
      </c>
      <c r="E1789" t="s">
        <v>35</v>
      </c>
      <c r="F1789" t="s">
        <v>50</v>
      </c>
      <c r="G1789" t="s">
        <v>29</v>
      </c>
      <c r="H1789" t="s">
        <v>44</v>
      </c>
      <c r="I1789" t="s">
        <v>152</v>
      </c>
      <c r="J1789">
        <v>31</v>
      </c>
      <c r="K1789">
        <v>37767.9</v>
      </c>
      <c r="L1789">
        <v>1170804.8999999999</v>
      </c>
      <c r="M1789">
        <v>128099.29</v>
      </c>
      <c r="N1789">
        <v>0</v>
      </c>
      <c r="O1789">
        <v>1042705.61</v>
      </c>
      <c r="P1789" t="s">
        <v>25</v>
      </c>
      <c r="Q1789" t="s">
        <v>26</v>
      </c>
    </row>
    <row r="1790" spans="1:17" x14ac:dyDescent="0.25">
      <c r="A1790" t="s">
        <v>1907</v>
      </c>
      <c r="B1790" s="1">
        <v>46034</v>
      </c>
      <c r="C1790" t="s">
        <v>60</v>
      </c>
      <c r="D1790" t="s">
        <v>151</v>
      </c>
      <c r="E1790" t="s">
        <v>35</v>
      </c>
      <c r="F1790" t="s">
        <v>42</v>
      </c>
      <c r="G1790" t="s">
        <v>63</v>
      </c>
      <c r="H1790" t="s">
        <v>38</v>
      </c>
      <c r="I1790" t="s">
        <v>108</v>
      </c>
      <c r="J1790">
        <v>8</v>
      </c>
      <c r="K1790">
        <v>6042.41</v>
      </c>
      <c r="L1790">
        <v>48339.28</v>
      </c>
      <c r="M1790">
        <v>0</v>
      </c>
      <c r="N1790">
        <v>0</v>
      </c>
      <c r="O1790">
        <v>48339.28</v>
      </c>
      <c r="P1790" t="s">
        <v>31</v>
      </c>
      <c r="Q1790" t="s">
        <v>32</v>
      </c>
    </row>
    <row r="1791" spans="1:17" x14ac:dyDescent="0.25">
      <c r="A1791" t="s">
        <v>1908</v>
      </c>
      <c r="B1791" s="1">
        <v>46032</v>
      </c>
      <c r="C1791" t="s">
        <v>54</v>
      </c>
      <c r="D1791" t="s">
        <v>97</v>
      </c>
      <c r="E1791" t="s">
        <v>49</v>
      </c>
      <c r="F1791" t="s">
        <v>42</v>
      </c>
      <c r="G1791" t="s">
        <v>85</v>
      </c>
      <c r="H1791" t="s">
        <v>57</v>
      </c>
      <c r="I1791" t="s">
        <v>72</v>
      </c>
      <c r="J1791">
        <v>21</v>
      </c>
      <c r="K1791">
        <v>49944.09</v>
      </c>
      <c r="L1791">
        <v>1048825.8899999999</v>
      </c>
      <c r="M1791">
        <v>0</v>
      </c>
      <c r="N1791">
        <v>0</v>
      </c>
      <c r="O1791">
        <v>1048825.8899999999</v>
      </c>
      <c r="P1791" t="s">
        <v>31</v>
      </c>
      <c r="Q1791" t="s">
        <v>32</v>
      </c>
    </row>
    <row r="1792" spans="1:17" x14ac:dyDescent="0.25">
      <c r="A1792" t="s">
        <v>1909</v>
      </c>
      <c r="B1792" s="1">
        <v>46012</v>
      </c>
      <c r="C1792" t="s">
        <v>60</v>
      </c>
      <c r="D1792" t="s">
        <v>65</v>
      </c>
      <c r="E1792" t="s">
        <v>41</v>
      </c>
      <c r="F1792" t="s">
        <v>105</v>
      </c>
      <c r="G1792" t="s">
        <v>43</v>
      </c>
      <c r="H1792" t="s">
        <v>67</v>
      </c>
      <c r="I1792" t="s">
        <v>170</v>
      </c>
      <c r="J1792">
        <v>30</v>
      </c>
      <c r="K1792">
        <v>16680.55</v>
      </c>
      <c r="L1792">
        <v>500416.5</v>
      </c>
      <c r="M1792">
        <v>63963.91</v>
      </c>
      <c r="N1792">
        <v>114201.74</v>
      </c>
      <c r="O1792">
        <v>322250.84999999998</v>
      </c>
      <c r="P1792" t="s">
        <v>25</v>
      </c>
      <c r="Q1792" t="s">
        <v>26</v>
      </c>
    </row>
    <row r="1793" spans="1:17" x14ac:dyDescent="0.25">
      <c r="A1793" t="s">
        <v>1910</v>
      </c>
      <c r="B1793" s="1">
        <v>45954</v>
      </c>
      <c r="C1793" t="s">
        <v>54</v>
      </c>
      <c r="D1793" t="s">
        <v>133</v>
      </c>
      <c r="E1793" t="s">
        <v>41</v>
      </c>
      <c r="F1793" t="s">
        <v>137</v>
      </c>
      <c r="G1793" t="s">
        <v>138</v>
      </c>
      <c r="H1793" t="s">
        <v>38</v>
      </c>
      <c r="I1793" t="s">
        <v>120</v>
      </c>
      <c r="J1793">
        <v>16</v>
      </c>
      <c r="K1793">
        <v>44998.86</v>
      </c>
      <c r="L1793">
        <v>719981.76</v>
      </c>
      <c r="M1793">
        <v>54807.94</v>
      </c>
      <c r="N1793">
        <v>0</v>
      </c>
      <c r="O1793">
        <v>665173.81999999995</v>
      </c>
      <c r="P1793" t="s">
        <v>31</v>
      </c>
      <c r="Q1793" t="s">
        <v>32</v>
      </c>
    </row>
    <row r="1794" spans="1:17" x14ac:dyDescent="0.25">
      <c r="A1794" t="s">
        <v>1911</v>
      </c>
      <c r="B1794" s="1">
        <v>45981</v>
      </c>
      <c r="C1794" t="s">
        <v>18</v>
      </c>
      <c r="D1794" t="s">
        <v>19</v>
      </c>
      <c r="E1794" t="s">
        <v>20</v>
      </c>
      <c r="F1794" t="s">
        <v>112</v>
      </c>
      <c r="G1794" t="s">
        <v>22</v>
      </c>
      <c r="H1794" t="s">
        <v>94</v>
      </c>
      <c r="I1794" t="s">
        <v>193</v>
      </c>
      <c r="J1794">
        <v>18</v>
      </c>
      <c r="K1794">
        <v>42876.85</v>
      </c>
      <c r="L1794">
        <v>771783.3</v>
      </c>
      <c r="M1794">
        <v>0</v>
      </c>
      <c r="N1794">
        <v>0</v>
      </c>
      <c r="O1794">
        <v>771783.3</v>
      </c>
      <c r="P1794" t="s">
        <v>73</v>
      </c>
      <c r="Q1794" t="s">
        <v>32</v>
      </c>
    </row>
    <row r="1795" spans="1:17" x14ac:dyDescent="0.25">
      <c r="A1795" t="s">
        <v>1912</v>
      </c>
      <c r="B1795" s="1">
        <v>46038</v>
      </c>
      <c r="C1795" t="s">
        <v>79</v>
      </c>
      <c r="D1795" t="s">
        <v>80</v>
      </c>
      <c r="E1795" t="s">
        <v>20</v>
      </c>
      <c r="F1795" t="s">
        <v>112</v>
      </c>
      <c r="G1795" t="s">
        <v>66</v>
      </c>
      <c r="H1795" t="s">
        <v>38</v>
      </c>
      <c r="I1795" t="s">
        <v>39</v>
      </c>
      <c r="J1795">
        <v>44</v>
      </c>
      <c r="K1795">
        <v>25378.89</v>
      </c>
      <c r="L1795">
        <v>1116671.1599999999</v>
      </c>
      <c r="M1795">
        <v>125929.94</v>
      </c>
      <c r="N1795">
        <v>0</v>
      </c>
      <c r="O1795">
        <v>990741.22</v>
      </c>
      <c r="P1795" t="s">
        <v>25</v>
      </c>
      <c r="Q1795" t="s">
        <v>128</v>
      </c>
    </row>
    <row r="1796" spans="1:17" x14ac:dyDescent="0.25">
      <c r="A1796" t="s">
        <v>1913</v>
      </c>
      <c r="B1796" s="1">
        <v>45966</v>
      </c>
      <c r="C1796" t="s">
        <v>60</v>
      </c>
      <c r="D1796" t="s">
        <v>151</v>
      </c>
      <c r="E1796" t="s">
        <v>20</v>
      </c>
      <c r="F1796" t="s">
        <v>71</v>
      </c>
      <c r="G1796" t="s">
        <v>43</v>
      </c>
      <c r="H1796" t="s">
        <v>44</v>
      </c>
      <c r="I1796" t="s">
        <v>152</v>
      </c>
      <c r="J1796">
        <v>47</v>
      </c>
      <c r="K1796">
        <v>49930.2</v>
      </c>
      <c r="L1796">
        <v>2346719.4</v>
      </c>
      <c r="M1796">
        <v>259678.88</v>
      </c>
      <c r="N1796">
        <v>664536.52</v>
      </c>
      <c r="O1796">
        <v>1422504</v>
      </c>
      <c r="P1796" t="s">
        <v>73</v>
      </c>
      <c r="Q1796" t="s">
        <v>32</v>
      </c>
    </row>
    <row r="1797" spans="1:17" x14ac:dyDescent="0.25">
      <c r="A1797" t="s">
        <v>1914</v>
      </c>
      <c r="B1797" s="1">
        <v>45968</v>
      </c>
      <c r="C1797" t="s">
        <v>60</v>
      </c>
      <c r="D1797" t="s">
        <v>65</v>
      </c>
      <c r="E1797" t="s">
        <v>35</v>
      </c>
      <c r="F1797" t="s">
        <v>137</v>
      </c>
      <c r="G1797" t="s">
        <v>81</v>
      </c>
      <c r="H1797" t="s">
        <v>44</v>
      </c>
      <c r="I1797" t="s">
        <v>152</v>
      </c>
      <c r="J1797">
        <v>5</v>
      </c>
      <c r="K1797">
        <v>37973.33</v>
      </c>
      <c r="L1797">
        <v>189866.65</v>
      </c>
      <c r="M1797">
        <v>1944.3</v>
      </c>
      <c r="N1797">
        <v>0</v>
      </c>
      <c r="O1797">
        <v>187922.35</v>
      </c>
      <c r="P1797" t="s">
        <v>73</v>
      </c>
      <c r="Q1797" t="s">
        <v>26</v>
      </c>
    </row>
    <row r="1798" spans="1:17" x14ac:dyDescent="0.25">
      <c r="A1798" t="s">
        <v>1915</v>
      </c>
      <c r="B1798" s="1">
        <v>46005</v>
      </c>
      <c r="C1798" t="s">
        <v>54</v>
      </c>
      <c r="D1798" t="s">
        <v>97</v>
      </c>
      <c r="E1798" t="s">
        <v>20</v>
      </c>
      <c r="F1798" t="s">
        <v>42</v>
      </c>
      <c r="G1798" t="s">
        <v>66</v>
      </c>
      <c r="H1798" t="s">
        <v>38</v>
      </c>
      <c r="I1798" t="s">
        <v>39</v>
      </c>
      <c r="J1798">
        <v>4</v>
      </c>
      <c r="K1798">
        <v>43897.06</v>
      </c>
      <c r="L1798">
        <v>175588.24</v>
      </c>
      <c r="M1798">
        <v>0</v>
      </c>
      <c r="N1798">
        <v>0</v>
      </c>
      <c r="O1798">
        <v>175588.24</v>
      </c>
      <c r="P1798" t="s">
        <v>73</v>
      </c>
      <c r="Q1798" t="s">
        <v>32</v>
      </c>
    </row>
    <row r="1799" spans="1:17" x14ac:dyDescent="0.25">
      <c r="A1799" t="s">
        <v>1916</v>
      </c>
      <c r="B1799" s="1">
        <v>46012</v>
      </c>
      <c r="C1799" t="s">
        <v>79</v>
      </c>
      <c r="D1799" t="s">
        <v>80</v>
      </c>
      <c r="E1799" t="s">
        <v>20</v>
      </c>
      <c r="F1799" t="s">
        <v>21</v>
      </c>
      <c r="G1799" t="s">
        <v>22</v>
      </c>
      <c r="H1799" t="s">
        <v>23</v>
      </c>
      <c r="I1799" t="s">
        <v>52</v>
      </c>
      <c r="J1799">
        <v>20</v>
      </c>
      <c r="K1799">
        <v>20276.95</v>
      </c>
      <c r="L1799">
        <v>405539</v>
      </c>
      <c r="M1799">
        <v>0</v>
      </c>
      <c r="N1799">
        <v>0</v>
      </c>
      <c r="O1799">
        <v>405539</v>
      </c>
      <c r="P1799" t="s">
        <v>73</v>
      </c>
      <c r="Q1799" t="s">
        <v>32</v>
      </c>
    </row>
    <row r="1800" spans="1:17" x14ac:dyDescent="0.25">
      <c r="A1800" t="s">
        <v>1917</v>
      </c>
      <c r="B1800" s="1">
        <v>46020</v>
      </c>
      <c r="C1800" t="s">
        <v>18</v>
      </c>
      <c r="D1800" t="s">
        <v>34</v>
      </c>
      <c r="E1800" t="s">
        <v>49</v>
      </c>
      <c r="F1800" t="s">
        <v>36</v>
      </c>
      <c r="G1800" t="s">
        <v>63</v>
      </c>
      <c r="H1800" t="s">
        <v>23</v>
      </c>
      <c r="I1800" t="s">
        <v>131</v>
      </c>
      <c r="J1800">
        <v>28</v>
      </c>
      <c r="K1800">
        <v>36431.040000000001</v>
      </c>
      <c r="L1800">
        <v>1020069.12</v>
      </c>
      <c r="M1800">
        <v>63209.45</v>
      </c>
      <c r="N1800">
        <v>0</v>
      </c>
      <c r="O1800">
        <v>956859.67</v>
      </c>
      <c r="P1800" t="s">
        <v>31</v>
      </c>
      <c r="Q1800" t="s">
        <v>32</v>
      </c>
    </row>
    <row r="1801" spans="1:17" x14ac:dyDescent="0.25">
      <c r="A1801" t="s">
        <v>1918</v>
      </c>
      <c r="B1801" s="1">
        <v>46010</v>
      </c>
      <c r="C1801" t="s">
        <v>47</v>
      </c>
      <c r="D1801" t="s">
        <v>48</v>
      </c>
      <c r="E1801" t="s">
        <v>41</v>
      </c>
      <c r="F1801" t="s">
        <v>137</v>
      </c>
      <c r="G1801" t="s">
        <v>66</v>
      </c>
      <c r="H1801" t="s">
        <v>57</v>
      </c>
      <c r="I1801" t="s">
        <v>160</v>
      </c>
      <c r="J1801">
        <v>44</v>
      </c>
      <c r="K1801">
        <v>15237.73</v>
      </c>
      <c r="L1801">
        <v>670460.12</v>
      </c>
      <c r="M1801">
        <v>68237.81</v>
      </c>
      <c r="N1801">
        <v>0</v>
      </c>
      <c r="O1801">
        <v>602222.31000000006</v>
      </c>
      <c r="P1801" t="s">
        <v>25</v>
      </c>
      <c r="Q1801" t="s">
        <v>26</v>
      </c>
    </row>
    <row r="1802" spans="1:17" x14ac:dyDescent="0.25">
      <c r="A1802" t="s">
        <v>1919</v>
      </c>
      <c r="B1802" s="1">
        <v>45964</v>
      </c>
      <c r="C1802" t="s">
        <v>54</v>
      </c>
      <c r="D1802" t="s">
        <v>133</v>
      </c>
      <c r="E1802" t="s">
        <v>49</v>
      </c>
      <c r="F1802" t="s">
        <v>21</v>
      </c>
      <c r="G1802" t="s">
        <v>22</v>
      </c>
      <c r="H1802" t="s">
        <v>38</v>
      </c>
      <c r="I1802" t="s">
        <v>108</v>
      </c>
      <c r="J1802">
        <v>6</v>
      </c>
      <c r="K1802">
        <v>45360.61</v>
      </c>
      <c r="L1802">
        <v>272163.65999999997</v>
      </c>
      <c r="M1802">
        <v>20043.419999999998</v>
      </c>
      <c r="N1802">
        <v>0</v>
      </c>
      <c r="O1802">
        <v>252120.24</v>
      </c>
      <c r="P1802" t="s">
        <v>25</v>
      </c>
      <c r="Q1802" t="s">
        <v>26</v>
      </c>
    </row>
    <row r="1803" spans="1:17" x14ac:dyDescent="0.25">
      <c r="A1803" t="s">
        <v>1920</v>
      </c>
      <c r="B1803" s="1">
        <v>46005</v>
      </c>
      <c r="C1803" t="s">
        <v>47</v>
      </c>
      <c r="D1803" t="s">
        <v>88</v>
      </c>
      <c r="E1803" t="s">
        <v>49</v>
      </c>
      <c r="F1803" t="s">
        <v>42</v>
      </c>
      <c r="G1803" t="s">
        <v>140</v>
      </c>
      <c r="H1803" t="s">
        <v>67</v>
      </c>
      <c r="I1803" t="s">
        <v>170</v>
      </c>
      <c r="J1803">
        <v>18</v>
      </c>
      <c r="K1803">
        <v>49250.19</v>
      </c>
      <c r="L1803">
        <v>886503.42</v>
      </c>
      <c r="M1803">
        <v>0</v>
      </c>
      <c r="N1803">
        <v>0</v>
      </c>
      <c r="O1803">
        <v>886503.42</v>
      </c>
      <c r="P1803" t="s">
        <v>31</v>
      </c>
      <c r="Q1803" t="s">
        <v>32</v>
      </c>
    </row>
    <row r="1804" spans="1:17" x14ac:dyDescent="0.25">
      <c r="A1804" t="s">
        <v>1921</v>
      </c>
      <c r="B1804" s="1">
        <v>46015</v>
      </c>
      <c r="C1804" t="s">
        <v>54</v>
      </c>
      <c r="D1804" t="s">
        <v>97</v>
      </c>
      <c r="E1804" t="s">
        <v>49</v>
      </c>
      <c r="F1804" t="s">
        <v>71</v>
      </c>
      <c r="G1804" t="s">
        <v>22</v>
      </c>
      <c r="H1804" t="s">
        <v>44</v>
      </c>
      <c r="I1804" t="s">
        <v>135</v>
      </c>
      <c r="J1804">
        <v>40</v>
      </c>
      <c r="K1804">
        <v>49058.18</v>
      </c>
      <c r="L1804">
        <v>1962327.2</v>
      </c>
      <c r="M1804">
        <v>233704.74</v>
      </c>
      <c r="N1804">
        <v>0</v>
      </c>
      <c r="O1804">
        <v>1728622.46</v>
      </c>
      <c r="P1804" t="s">
        <v>32</v>
      </c>
      <c r="Q1804" t="s">
        <v>32</v>
      </c>
    </row>
    <row r="1805" spans="1:17" x14ac:dyDescent="0.25">
      <c r="A1805" t="s">
        <v>1922</v>
      </c>
      <c r="B1805" s="1">
        <v>45971</v>
      </c>
      <c r="C1805" t="s">
        <v>79</v>
      </c>
      <c r="D1805" t="s">
        <v>107</v>
      </c>
      <c r="E1805" t="s">
        <v>35</v>
      </c>
      <c r="F1805" t="s">
        <v>105</v>
      </c>
      <c r="G1805" t="s">
        <v>138</v>
      </c>
      <c r="H1805" t="s">
        <v>67</v>
      </c>
      <c r="I1805" t="s">
        <v>77</v>
      </c>
      <c r="J1805">
        <v>45</v>
      </c>
      <c r="K1805">
        <v>19747.830000000002</v>
      </c>
      <c r="L1805">
        <v>888652.35</v>
      </c>
      <c r="M1805">
        <v>66682.52</v>
      </c>
      <c r="N1805">
        <v>0</v>
      </c>
      <c r="O1805">
        <v>821969.83</v>
      </c>
      <c r="P1805" t="s">
        <v>31</v>
      </c>
      <c r="Q1805" t="s">
        <v>32</v>
      </c>
    </row>
    <row r="1806" spans="1:17" x14ac:dyDescent="0.25">
      <c r="A1806" t="s">
        <v>1923</v>
      </c>
      <c r="B1806" s="1">
        <v>46020</v>
      </c>
      <c r="C1806" t="s">
        <v>60</v>
      </c>
      <c r="D1806" t="s">
        <v>151</v>
      </c>
      <c r="E1806" t="s">
        <v>41</v>
      </c>
      <c r="F1806" t="s">
        <v>137</v>
      </c>
      <c r="G1806" t="s">
        <v>51</v>
      </c>
      <c r="H1806" t="s">
        <v>38</v>
      </c>
      <c r="I1806" t="s">
        <v>82</v>
      </c>
      <c r="J1806">
        <v>39</v>
      </c>
      <c r="K1806">
        <v>39896.06</v>
      </c>
      <c r="L1806">
        <v>1555946.34</v>
      </c>
      <c r="M1806">
        <v>83433.81</v>
      </c>
      <c r="N1806">
        <v>0</v>
      </c>
      <c r="O1806">
        <v>1472512.53</v>
      </c>
      <c r="P1806" t="s">
        <v>25</v>
      </c>
      <c r="Q1806" t="s">
        <v>26</v>
      </c>
    </row>
    <row r="1807" spans="1:17" x14ac:dyDescent="0.25">
      <c r="A1807" t="s">
        <v>1924</v>
      </c>
      <c r="B1807" s="1">
        <v>45956</v>
      </c>
      <c r="C1807" t="s">
        <v>18</v>
      </c>
      <c r="D1807" t="s">
        <v>19</v>
      </c>
      <c r="E1807" t="s">
        <v>20</v>
      </c>
      <c r="F1807" t="s">
        <v>84</v>
      </c>
      <c r="G1807" t="s">
        <v>66</v>
      </c>
      <c r="H1807" t="s">
        <v>44</v>
      </c>
      <c r="I1807" t="s">
        <v>135</v>
      </c>
      <c r="J1807">
        <v>37</v>
      </c>
      <c r="K1807">
        <v>32108.87</v>
      </c>
      <c r="L1807">
        <v>1188028.19</v>
      </c>
      <c r="M1807">
        <v>207055.32</v>
      </c>
      <c r="N1807">
        <v>0</v>
      </c>
      <c r="O1807">
        <v>980972.87</v>
      </c>
      <c r="P1807" t="s">
        <v>73</v>
      </c>
      <c r="Q1807" t="s">
        <v>32</v>
      </c>
    </row>
    <row r="1808" spans="1:17" x14ac:dyDescent="0.25">
      <c r="A1808" t="s">
        <v>1925</v>
      </c>
      <c r="B1808" s="1">
        <v>45964</v>
      </c>
      <c r="C1808" t="s">
        <v>60</v>
      </c>
      <c r="D1808" t="s">
        <v>61</v>
      </c>
      <c r="E1808" t="s">
        <v>20</v>
      </c>
      <c r="F1808" t="s">
        <v>71</v>
      </c>
      <c r="G1808" t="s">
        <v>138</v>
      </c>
      <c r="H1808" t="s">
        <v>94</v>
      </c>
      <c r="I1808" t="s">
        <v>193</v>
      </c>
      <c r="J1808">
        <v>4</v>
      </c>
      <c r="K1808">
        <v>12424.47</v>
      </c>
      <c r="L1808">
        <v>49697.88</v>
      </c>
      <c r="M1808">
        <v>8591.61</v>
      </c>
      <c r="N1808">
        <v>0</v>
      </c>
      <c r="O1808">
        <v>41106.269999999997</v>
      </c>
      <c r="P1808" t="s">
        <v>31</v>
      </c>
      <c r="Q1808" t="s">
        <v>32</v>
      </c>
    </row>
    <row r="1809" spans="1:17" x14ac:dyDescent="0.25">
      <c r="A1809" t="s">
        <v>1926</v>
      </c>
      <c r="B1809" s="1">
        <v>45969</v>
      </c>
      <c r="C1809" t="s">
        <v>60</v>
      </c>
      <c r="D1809" t="s">
        <v>123</v>
      </c>
      <c r="E1809" t="s">
        <v>41</v>
      </c>
      <c r="F1809" t="s">
        <v>112</v>
      </c>
      <c r="G1809" t="s">
        <v>22</v>
      </c>
      <c r="H1809" t="s">
        <v>67</v>
      </c>
      <c r="I1809" t="s">
        <v>201</v>
      </c>
      <c r="J1809">
        <v>9</v>
      </c>
      <c r="K1809">
        <v>19842.830000000002</v>
      </c>
      <c r="L1809">
        <v>178585.47</v>
      </c>
      <c r="M1809">
        <v>1485.63</v>
      </c>
      <c r="N1809">
        <v>0</v>
      </c>
      <c r="O1809">
        <v>177099.84</v>
      </c>
      <c r="P1809" t="s">
        <v>73</v>
      </c>
      <c r="Q1809" t="s">
        <v>32</v>
      </c>
    </row>
    <row r="1810" spans="1:17" x14ac:dyDescent="0.25">
      <c r="A1810" t="s">
        <v>1927</v>
      </c>
      <c r="B1810" s="1">
        <v>45969</v>
      </c>
      <c r="C1810" t="s">
        <v>47</v>
      </c>
      <c r="D1810" t="s">
        <v>127</v>
      </c>
      <c r="E1810" t="s">
        <v>41</v>
      </c>
      <c r="F1810" t="s">
        <v>21</v>
      </c>
      <c r="G1810" t="s">
        <v>29</v>
      </c>
      <c r="H1810" t="s">
        <v>23</v>
      </c>
      <c r="I1810" t="s">
        <v>52</v>
      </c>
      <c r="J1810">
        <v>14</v>
      </c>
      <c r="K1810">
        <v>20406.21</v>
      </c>
      <c r="L1810">
        <v>285686.94</v>
      </c>
      <c r="M1810">
        <v>11967.75</v>
      </c>
      <c r="N1810">
        <v>0</v>
      </c>
      <c r="O1810">
        <v>273719.19</v>
      </c>
      <c r="P1810" t="s">
        <v>32</v>
      </c>
      <c r="Q1810" t="s">
        <v>26</v>
      </c>
    </row>
    <row r="1811" spans="1:17" x14ac:dyDescent="0.25">
      <c r="A1811" t="s">
        <v>1928</v>
      </c>
      <c r="B1811" s="1">
        <v>46035</v>
      </c>
      <c r="C1811" t="s">
        <v>18</v>
      </c>
      <c r="D1811" t="s">
        <v>75</v>
      </c>
      <c r="E1811" t="s">
        <v>20</v>
      </c>
      <c r="F1811" t="s">
        <v>62</v>
      </c>
      <c r="G1811" t="s">
        <v>98</v>
      </c>
      <c r="H1811" t="s">
        <v>38</v>
      </c>
      <c r="I1811" t="s">
        <v>82</v>
      </c>
      <c r="J1811">
        <v>9</v>
      </c>
      <c r="K1811">
        <v>34664.910000000003</v>
      </c>
      <c r="L1811">
        <v>311984.19</v>
      </c>
      <c r="M1811">
        <v>13649.27</v>
      </c>
      <c r="N1811">
        <v>2924.48</v>
      </c>
      <c r="O1811">
        <v>295410.44</v>
      </c>
      <c r="P1811" t="s">
        <v>25</v>
      </c>
      <c r="Q1811" t="s">
        <v>26</v>
      </c>
    </row>
    <row r="1812" spans="1:17" x14ac:dyDescent="0.25">
      <c r="A1812" t="s">
        <v>1929</v>
      </c>
      <c r="B1812" s="1">
        <v>46042</v>
      </c>
      <c r="C1812" t="s">
        <v>54</v>
      </c>
      <c r="D1812" t="s">
        <v>70</v>
      </c>
      <c r="E1812" t="s">
        <v>35</v>
      </c>
      <c r="F1812" t="s">
        <v>36</v>
      </c>
      <c r="G1812" t="s">
        <v>89</v>
      </c>
      <c r="H1812" t="s">
        <v>23</v>
      </c>
      <c r="I1812" t="s">
        <v>131</v>
      </c>
      <c r="J1812">
        <v>25</v>
      </c>
      <c r="K1812">
        <v>34406.120000000003</v>
      </c>
      <c r="L1812">
        <v>860153</v>
      </c>
      <c r="M1812">
        <v>79452.98</v>
      </c>
      <c r="N1812">
        <v>0</v>
      </c>
      <c r="O1812">
        <v>780700.02</v>
      </c>
      <c r="P1812" t="s">
        <v>32</v>
      </c>
      <c r="Q1812" t="s">
        <v>32</v>
      </c>
    </row>
    <row r="1813" spans="1:17" x14ac:dyDescent="0.25">
      <c r="A1813" t="s">
        <v>1930</v>
      </c>
      <c r="B1813" s="1">
        <v>45983</v>
      </c>
      <c r="C1813" t="s">
        <v>18</v>
      </c>
      <c r="D1813" t="s">
        <v>19</v>
      </c>
      <c r="E1813" t="s">
        <v>41</v>
      </c>
      <c r="F1813" t="s">
        <v>36</v>
      </c>
      <c r="G1813" t="s">
        <v>138</v>
      </c>
      <c r="H1813" t="s">
        <v>44</v>
      </c>
      <c r="I1813" t="s">
        <v>281</v>
      </c>
      <c r="J1813">
        <v>24</v>
      </c>
      <c r="K1813">
        <v>16291.46</v>
      </c>
      <c r="L1813">
        <v>390995.04</v>
      </c>
      <c r="M1813">
        <v>0</v>
      </c>
      <c r="N1813">
        <v>0</v>
      </c>
      <c r="O1813">
        <v>390995.04</v>
      </c>
      <c r="P1813" t="s">
        <v>31</v>
      </c>
      <c r="Q1813" t="s">
        <v>32</v>
      </c>
    </row>
    <row r="1814" spans="1:17" x14ac:dyDescent="0.25">
      <c r="A1814" t="s">
        <v>1931</v>
      </c>
      <c r="B1814" s="1">
        <v>46017</v>
      </c>
      <c r="C1814" t="s">
        <v>79</v>
      </c>
      <c r="D1814" t="s">
        <v>101</v>
      </c>
      <c r="E1814" t="s">
        <v>20</v>
      </c>
      <c r="F1814" t="s">
        <v>42</v>
      </c>
      <c r="G1814" t="s">
        <v>56</v>
      </c>
      <c r="H1814" t="s">
        <v>44</v>
      </c>
      <c r="I1814" t="s">
        <v>135</v>
      </c>
      <c r="J1814">
        <v>28</v>
      </c>
      <c r="K1814">
        <v>6852.68</v>
      </c>
      <c r="L1814">
        <v>191875.04</v>
      </c>
      <c r="M1814">
        <v>0</v>
      </c>
      <c r="N1814">
        <v>0</v>
      </c>
      <c r="O1814">
        <v>191875.04</v>
      </c>
      <c r="P1814" t="s">
        <v>25</v>
      </c>
      <c r="Q1814" t="s">
        <v>26</v>
      </c>
    </row>
    <row r="1815" spans="1:17" x14ac:dyDescent="0.25">
      <c r="A1815" t="s">
        <v>1932</v>
      </c>
      <c r="B1815" s="1">
        <v>46002</v>
      </c>
      <c r="C1815" t="s">
        <v>79</v>
      </c>
      <c r="D1815" t="s">
        <v>107</v>
      </c>
      <c r="E1815" t="s">
        <v>20</v>
      </c>
      <c r="F1815" t="s">
        <v>112</v>
      </c>
      <c r="G1815" t="s">
        <v>63</v>
      </c>
      <c r="H1815" t="s">
        <v>38</v>
      </c>
      <c r="I1815" t="s">
        <v>120</v>
      </c>
      <c r="J1815">
        <v>43</v>
      </c>
      <c r="K1815">
        <v>922.77</v>
      </c>
      <c r="L1815">
        <v>39679.11</v>
      </c>
      <c r="M1815">
        <v>0</v>
      </c>
      <c r="N1815">
        <v>0</v>
      </c>
      <c r="O1815">
        <v>39679.11</v>
      </c>
      <c r="P1815" t="s">
        <v>31</v>
      </c>
      <c r="Q1815" t="s">
        <v>32</v>
      </c>
    </row>
    <row r="1816" spans="1:17" x14ac:dyDescent="0.25">
      <c r="A1816" t="s">
        <v>1933</v>
      </c>
      <c r="B1816" s="1">
        <v>45959</v>
      </c>
      <c r="C1816" t="s">
        <v>54</v>
      </c>
      <c r="D1816" t="s">
        <v>55</v>
      </c>
      <c r="E1816" t="s">
        <v>41</v>
      </c>
      <c r="F1816" t="s">
        <v>105</v>
      </c>
      <c r="G1816" t="s">
        <v>43</v>
      </c>
      <c r="H1816" t="s">
        <v>67</v>
      </c>
      <c r="I1816" t="s">
        <v>170</v>
      </c>
      <c r="J1816">
        <v>38</v>
      </c>
      <c r="K1816">
        <v>38840.300000000003</v>
      </c>
      <c r="L1816">
        <v>1475931.4</v>
      </c>
      <c r="M1816">
        <v>206462.35</v>
      </c>
      <c r="N1816">
        <v>0</v>
      </c>
      <c r="O1816">
        <v>1269469.05</v>
      </c>
      <c r="P1816" t="s">
        <v>25</v>
      </c>
      <c r="Q1816" t="s">
        <v>26</v>
      </c>
    </row>
    <row r="1817" spans="1:17" x14ac:dyDescent="0.25">
      <c r="A1817" t="s">
        <v>1934</v>
      </c>
      <c r="B1817" s="1">
        <v>46016</v>
      </c>
      <c r="C1817" t="s">
        <v>60</v>
      </c>
      <c r="D1817" t="s">
        <v>123</v>
      </c>
      <c r="E1817" t="s">
        <v>35</v>
      </c>
      <c r="F1817" t="s">
        <v>105</v>
      </c>
      <c r="G1817" t="s">
        <v>140</v>
      </c>
      <c r="H1817" t="s">
        <v>23</v>
      </c>
      <c r="I1817" t="s">
        <v>99</v>
      </c>
      <c r="J1817">
        <v>23</v>
      </c>
      <c r="K1817">
        <v>28050.82</v>
      </c>
      <c r="L1817">
        <v>645168.86</v>
      </c>
      <c r="M1817">
        <v>48046.16</v>
      </c>
      <c r="N1817">
        <v>0</v>
      </c>
      <c r="O1817">
        <v>597122.69999999995</v>
      </c>
      <c r="P1817" t="s">
        <v>32</v>
      </c>
      <c r="Q1817" t="s">
        <v>26</v>
      </c>
    </row>
    <row r="1818" spans="1:17" x14ac:dyDescent="0.25">
      <c r="A1818" t="s">
        <v>1935</v>
      </c>
      <c r="B1818" s="1">
        <v>45990</v>
      </c>
      <c r="C1818" t="s">
        <v>79</v>
      </c>
      <c r="D1818" t="s">
        <v>91</v>
      </c>
      <c r="E1818" t="s">
        <v>35</v>
      </c>
      <c r="F1818" t="s">
        <v>71</v>
      </c>
      <c r="G1818" t="s">
        <v>138</v>
      </c>
      <c r="H1818" t="s">
        <v>23</v>
      </c>
      <c r="I1818" t="s">
        <v>99</v>
      </c>
      <c r="J1818">
        <v>50</v>
      </c>
      <c r="K1818">
        <v>50486.93</v>
      </c>
      <c r="L1818">
        <v>2524346.5</v>
      </c>
      <c r="M1818">
        <v>266483.93</v>
      </c>
      <c r="N1818">
        <v>0</v>
      </c>
      <c r="O1818">
        <v>2257862.5699999998</v>
      </c>
      <c r="P1818" t="s">
        <v>31</v>
      </c>
      <c r="Q1818" t="s">
        <v>32</v>
      </c>
    </row>
    <row r="1819" spans="1:17" x14ac:dyDescent="0.25">
      <c r="A1819" t="s">
        <v>1936</v>
      </c>
      <c r="B1819" s="1">
        <v>46011</v>
      </c>
      <c r="C1819" t="s">
        <v>47</v>
      </c>
      <c r="D1819" t="s">
        <v>88</v>
      </c>
      <c r="E1819" t="s">
        <v>49</v>
      </c>
      <c r="F1819" t="s">
        <v>21</v>
      </c>
      <c r="G1819" t="s">
        <v>51</v>
      </c>
      <c r="H1819" t="s">
        <v>38</v>
      </c>
      <c r="I1819" t="s">
        <v>175</v>
      </c>
      <c r="J1819">
        <v>45</v>
      </c>
      <c r="K1819">
        <v>30184.87</v>
      </c>
      <c r="L1819">
        <v>1358319.15</v>
      </c>
      <c r="M1819">
        <v>91029.91</v>
      </c>
      <c r="N1819">
        <v>299061.2</v>
      </c>
      <c r="O1819">
        <v>968228.04</v>
      </c>
      <c r="P1819" t="s">
        <v>73</v>
      </c>
      <c r="Q1819" t="s">
        <v>32</v>
      </c>
    </row>
    <row r="1820" spans="1:17" x14ac:dyDescent="0.25">
      <c r="A1820" t="s">
        <v>1937</v>
      </c>
      <c r="B1820" s="1">
        <v>45957</v>
      </c>
      <c r="C1820" t="s">
        <v>18</v>
      </c>
      <c r="D1820" t="s">
        <v>75</v>
      </c>
      <c r="E1820" t="s">
        <v>20</v>
      </c>
      <c r="F1820" t="s">
        <v>71</v>
      </c>
      <c r="G1820" t="s">
        <v>138</v>
      </c>
      <c r="H1820" t="s">
        <v>67</v>
      </c>
      <c r="I1820" t="s">
        <v>170</v>
      </c>
      <c r="J1820">
        <v>22</v>
      </c>
      <c r="K1820">
        <v>7741.17</v>
      </c>
      <c r="L1820">
        <v>170305.74</v>
      </c>
      <c r="M1820">
        <v>13459.73</v>
      </c>
      <c r="N1820">
        <v>0</v>
      </c>
      <c r="O1820">
        <v>156846.01</v>
      </c>
      <c r="P1820" t="s">
        <v>31</v>
      </c>
      <c r="Q1820" t="s">
        <v>32</v>
      </c>
    </row>
    <row r="1821" spans="1:17" x14ac:dyDescent="0.25">
      <c r="A1821" t="s">
        <v>1938</v>
      </c>
      <c r="B1821" s="1">
        <v>46029</v>
      </c>
      <c r="C1821" t="s">
        <v>79</v>
      </c>
      <c r="D1821" t="s">
        <v>107</v>
      </c>
      <c r="E1821" t="s">
        <v>35</v>
      </c>
      <c r="F1821" t="s">
        <v>105</v>
      </c>
      <c r="G1821" t="s">
        <v>89</v>
      </c>
      <c r="H1821" t="s">
        <v>94</v>
      </c>
      <c r="I1821" t="s">
        <v>193</v>
      </c>
      <c r="J1821">
        <v>34</v>
      </c>
      <c r="K1821">
        <v>1995.58</v>
      </c>
      <c r="L1821">
        <v>67849.72</v>
      </c>
      <c r="M1821">
        <v>0</v>
      </c>
      <c r="N1821">
        <v>0</v>
      </c>
      <c r="O1821">
        <v>67849.72</v>
      </c>
      <c r="P1821" t="s">
        <v>73</v>
      </c>
      <c r="Q1821" t="s">
        <v>32</v>
      </c>
    </row>
    <row r="1822" spans="1:17" x14ac:dyDescent="0.25">
      <c r="A1822" t="s">
        <v>1939</v>
      </c>
      <c r="B1822" s="1">
        <v>46034</v>
      </c>
      <c r="C1822" t="s">
        <v>60</v>
      </c>
      <c r="D1822" t="s">
        <v>61</v>
      </c>
      <c r="E1822" t="s">
        <v>49</v>
      </c>
      <c r="F1822" t="s">
        <v>105</v>
      </c>
      <c r="G1822" t="s">
        <v>43</v>
      </c>
      <c r="H1822" t="s">
        <v>23</v>
      </c>
      <c r="I1822" t="s">
        <v>110</v>
      </c>
      <c r="J1822">
        <v>29</v>
      </c>
      <c r="K1822">
        <v>44161.61</v>
      </c>
      <c r="L1822">
        <v>1280686.69</v>
      </c>
      <c r="M1822">
        <v>156025.29999999999</v>
      </c>
      <c r="N1822">
        <v>0</v>
      </c>
      <c r="O1822">
        <v>1124661.3899999999</v>
      </c>
      <c r="P1822" t="s">
        <v>73</v>
      </c>
      <c r="Q1822" t="s">
        <v>32</v>
      </c>
    </row>
    <row r="1823" spans="1:17" x14ac:dyDescent="0.25">
      <c r="A1823" t="s">
        <v>1940</v>
      </c>
      <c r="B1823" s="1">
        <v>45960</v>
      </c>
      <c r="C1823" t="s">
        <v>54</v>
      </c>
      <c r="D1823" t="s">
        <v>97</v>
      </c>
      <c r="E1823" t="s">
        <v>49</v>
      </c>
      <c r="F1823" t="s">
        <v>62</v>
      </c>
      <c r="G1823" t="s">
        <v>89</v>
      </c>
      <c r="H1823" t="s">
        <v>38</v>
      </c>
      <c r="I1823" t="s">
        <v>120</v>
      </c>
      <c r="J1823">
        <v>20</v>
      </c>
      <c r="K1823">
        <v>2796.24</v>
      </c>
      <c r="L1823">
        <v>55924.800000000003</v>
      </c>
      <c r="M1823">
        <v>901.98</v>
      </c>
      <c r="N1823">
        <v>0</v>
      </c>
      <c r="O1823">
        <v>55022.82</v>
      </c>
      <c r="P1823" t="s">
        <v>73</v>
      </c>
      <c r="Q1823" t="s">
        <v>32</v>
      </c>
    </row>
    <row r="1824" spans="1:17" x14ac:dyDescent="0.25">
      <c r="A1824" t="s">
        <v>1941</v>
      </c>
      <c r="B1824" s="1">
        <v>45962</v>
      </c>
      <c r="C1824" t="s">
        <v>47</v>
      </c>
      <c r="D1824" t="s">
        <v>88</v>
      </c>
      <c r="E1824" t="s">
        <v>20</v>
      </c>
      <c r="F1824" t="s">
        <v>62</v>
      </c>
      <c r="G1824" t="s">
        <v>81</v>
      </c>
      <c r="H1824" t="s">
        <v>38</v>
      </c>
      <c r="I1824" t="s">
        <v>86</v>
      </c>
      <c r="J1824">
        <v>1</v>
      </c>
      <c r="K1824">
        <v>19855.400000000001</v>
      </c>
      <c r="L1824">
        <v>19855.400000000001</v>
      </c>
      <c r="M1824">
        <v>785.1</v>
      </c>
      <c r="N1824">
        <v>0</v>
      </c>
      <c r="O1824">
        <v>19070.3</v>
      </c>
      <c r="P1824" t="s">
        <v>73</v>
      </c>
      <c r="Q1824" t="s">
        <v>32</v>
      </c>
    </row>
    <row r="1825" spans="1:17" x14ac:dyDescent="0.25">
      <c r="A1825" t="s">
        <v>1942</v>
      </c>
      <c r="B1825" s="1">
        <v>46040</v>
      </c>
      <c r="C1825" t="s">
        <v>79</v>
      </c>
      <c r="D1825" t="s">
        <v>107</v>
      </c>
      <c r="E1825" t="s">
        <v>35</v>
      </c>
      <c r="F1825" t="s">
        <v>84</v>
      </c>
      <c r="G1825" t="s">
        <v>89</v>
      </c>
      <c r="H1825" t="s">
        <v>38</v>
      </c>
      <c r="I1825" t="s">
        <v>82</v>
      </c>
      <c r="J1825">
        <v>34</v>
      </c>
      <c r="K1825">
        <v>42501.01</v>
      </c>
      <c r="L1825">
        <v>1445034.34</v>
      </c>
      <c r="M1825">
        <v>210250.36</v>
      </c>
      <c r="N1825">
        <v>0</v>
      </c>
      <c r="O1825">
        <v>1234783.98</v>
      </c>
      <c r="P1825" t="s">
        <v>73</v>
      </c>
      <c r="Q1825" t="s">
        <v>32</v>
      </c>
    </row>
    <row r="1826" spans="1:17" x14ac:dyDescent="0.25">
      <c r="A1826" t="s">
        <v>1943</v>
      </c>
      <c r="B1826" s="1">
        <v>46022</v>
      </c>
      <c r="C1826" t="s">
        <v>47</v>
      </c>
      <c r="D1826" t="s">
        <v>48</v>
      </c>
      <c r="E1826" t="s">
        <v>20</v>
      </c>
      <c r="F1826" t="s">
        <v>21</v>
      </c>
      <c r="G1826" t="s">
        <v>140</v>
      </c>
      <c r="H1826" t="s">
        <v>94</v>
      </c>
      <c r="I1826" t="s">
        <v>193</v>
      </c>
      <c r="J1826">
        <v>4</v>
      </c>
      <c r="K1826">
        <v>3473.25</v>
      </c>
      <c r="L1826">
        <v>13893</v>
      </c>
      <c r="M1826">
        <v>0</v>
      </c>
      <c r="N1826">
        <v>0</v>
      </c>
      <c r="O1826">
        <v>13893</v>
      </c>
      <c r="P1826" t="s">
        <v>32</v>
      </c>
      <c r="Q1826" t="s">
        <v>32</v>
      </c>
    </row>
    <row r="1827" spans="1:17" x14ac:dyDescent="0.25">
      <c r="A1827" t="s">
        <v>1944</v>
      </c>
      <c r="B1827" s="1">
        <v>45964</v>
      </c>
      <c r="C1827" t="s">
        <v>47</v>
      </c>
      <c r="D1827" t="s">
        <v>127</v>
      </c>
      <c r="E1827" t="s">
        <v>49</v>
      </c>
      <c r="F1827" t="s">
        <v>50</v>
      </c>
      <c r="G1827" t="s">
        <v>66</v>
      </c>
      <c r="H1827" t="s">
        <v>67</v>
      </c>
      <c r="I1827" t="s">
        <v>68</v>
      </c>
      <c r="J1827">
        <v>15</v>
      </c>
      <c r="K1827">
        <v>35318.22</v>
      </c>
      <c r="L1827">
        <v>529773.30000000005</v>
      </c>
      <c r="M1827">
        <v>25208.43</v>
      </c>
      <c r="N1827">
        <v>0</v>
      </c>
      <c r="O1827">
        <v>504564.87</v>
      </c>
      <c r="P1827" t="s">
        <v>32</v>
      </c>
      <c r="Q1827" t="s">
        <v>26</v>
      </c>
    </row>
    <row r="1828" spans="1:17" x14ac:dyDescent="0.25">
      <c r="A1828" t="s">
        <v>1945</v>
      </c>
      <c r="B1828" s="1">
        <v>46037</v>
      </c>
      <c r="C1828" t="s">
        <v>54</v>
      </c>
      <c r="D1828" t="s">
        <v>70</v>
      </c>
      <c r="E1828" t="s">
        <v>49</v>
      </c>
      <c r="F1828" t="s">
        <v>84</v>
      </c>
      <c r="G1828" t="s">
        <v>140</v>
      </c>
      <c r="H1828" t="s">
        <v>38</v>
      </c>
      <c r="I1828" t="s">
        <v>120</v>
      </c>
      <c r="J1828">
        <v>49</v>
      </c>
      <c r="K1828">
        <v>27682.400000000001</v>
      </c>
      <c r="L1828">
        <v>1356437.6</v>
      </c>
      <c r="M1828">
        <v>0</v>
      </c>
      <c r="N1828">
        <v>346671.71</v>
      </c>
      <c r="O1828">
        <v>1009765.89</v>
      </c>
      <c r="P1828" t="s">
        <v>73</v>
      </c>
      <c r="Q1828" t="s">
        <v>32</v>
      </c>
    </row>
    <row r="1829" spans="1:17" x14ac:dyDescent="0.25">
      <c r="A1829" t="s">
        <v>1946</v>
      </c>
      <c r="B1829" s="1">
        <v>45970</v>
      </c>
      <c r="C1829" t="s">
        <v>18</v>
      </c>
      <c r="D1829" t="s">
        <v>34</v>
      </c>
      <c r="E1829" t="s">
        <v>20</v>
      </c>
      <c r="F1829" t="s">
        <v>36</v>
      </c>
      <c r="G1829" t="s">
        <v>102</v>
      </c>
      <c r="H1829" t="s">
        <v>44</v>
      </c>
      <c r="I1829" t="s">
        <v>141</v>
      </c>
      <c r="J1829">
        <v>14</v>
      </c>
      <c r="K1829">
        <v>29878.82</v>
      </c>
      <c r="L1829">
        <v>418303.48</v>
      </c>
      <c r="M1829">
        <v>31890.7</v>
      </c>
      <c r="N1829">
        <v>0</v>
      </c>
      <c r="O1829">
        <v>386412.78</v>
      </c>
      <c r="P1829" t="s">
        <v>73</v>
      </c>
      <c r="Q1829" t="s">
        <v>26</v>
      </c>
    </row>
    <row r="1830" spans="1:17" x14ac:dyDescent="0.25">
      <c r="A1830" t="s">
        <v>1947</v>
      </c>
      <c r="B1830" s="1">
        <v>46008</v>
      </c>
      <c r="C1830" t="s">
        <v>18</v>
      </c>
      <c r="D1830" t="s">
        <v>19</v>
      </c>
      <c r="E1830" t="s">
        <v>41</v>
      </c>
      <c r="F1830" t="s">
        <v>71</v>
      </c>
      <c r="G1830" t="s">
        <v>66</v>
      </c>
      <c r="H1830" t="s">
        <v>44</v>
      </c>
      <c r="I1830" t="s">
        <v>45</v>
      </c>
      <c r="J1830">
        <v>4</v>
      </c>
      <c r="K1830">
        <v>25286.03</v>
      </c>
      <c r="L1830">
        <v>101144.12</v>
      </c>
      <c r="M1830">
        <v>0</v>
      </c>
      <c r="N1830">
        <v>0</v>
      </c>
      <c r="O1830">
        <v>101144.12</v>
      </c>
      <c r="P1830" t="s">
        <v>73</v>
      </c>
      <c r="Q1830" t="s">
        <v>26</v>
      </c>
    </row>
    <row r="1831" spans="1:17" x14ac:dyDescent="0.25">
      <c r="A1831" t="s">
        <v>1948</v>
      </c>
      <c r="B1831" s="1">
        <v>45986</v>
      </c>
      <c r="C1831" t="s">
        <v>79</v>
      </c>
      <c r="D1831" t="s">
        <v>91</v>
      </c>
      <c r="E1831" t="s">
        <v>35</v>
      </c>
      <c r="F1831" t="s">
        <v>71</v>
      </c>
      <c r="G1831" t="s">
        <v>29</v>
      </c>
      <c r="H1831" t="s">
        <v>94</v>
      </c>
      <c r="I1831" t="s">
        <v>95</v>
      </c>
      <c r="J1831">
        <v>32</v>
      </c>
      <c r="K1831">
        <v>8250.26</v>
      </c>
      <c r="L1831">
        <v>264008.32000000001</v>
      </c>
      <c r="M1831">
        <v>0</v>
      </c>
      <c r="N1831">
        <v>63580.6</v>
      </c>
      <c r="O1831">
        <v>200427.72</v>
      </c>
      <c r="P1831" t="s">
        <v>31</v>
      </c>
      <c r="Q1831" t="s">
        <v>32</v>
      </c>
    </row>
    <row r="1832" spans="1:17" x14ac:dyDescent="0.25">
      <c r="A1832" t="s">
        <v>1949</v>
      </c>
      <c r="B1832" s="1">
        <v>46007</v>
      </c>
      <c r="C1832" t="s">
        <v>79</v>
      </c>
      <c r="D1832" t="s">
        <v>91</v>
      </c>
      <c r="E1832" t="s">
        <v>41</v>
      </c>
      <c r="F1832" t="s">
        <v>71</v>
      </c>
      <c r="G1832" t="s">
        <v>22</v>
      </c>
      <c r="H1832" t="s">
        <v>94</v>
      </c>
      <c r="I1832" t="s">
        <v>193</v>
      </c>
      <c r="J1832">
        <v>34</v>
      </c>
      <c r="K1832">
        <v>39790.46</v>
      </c>
      <c r="L1832">
        <v>1352875.64</v>
      </c>
      <c r="M1832">
        <v>18796.169999999998</v>
      </c>
      <c r="N1832">
        <v>0</v>
      </c>
      <c r="O1832">
        <v>1334079.47</v>
      </c>
      <c r="P1832" t="s">
        <v>73</v>
      </c>
      <c r="Q1832" t="s">
        <v>32</v>
      </c>
    </row>
    <row r="1833" spans="1:17" x14ac:dyDescent="0.25">
      <c r="A1833" t="s">
        <v>1950</v>
      </c>
      <c r="B1833" s="1">
        <v>46024</v>
      </c>
      <c r="C1833" t="s">
        <v>47</v>
      </c>
      <c r="D1833" t="s">
        <v>127</v>
      </c>
      <c r="E1833" t="s">
        <v>20</v>
      </c>
      <c r="F1833" t="s">
        <v>112</v>
      </c>
      <c r="G1833" t="s">
        <v>43</v>
      </c>
      <c r="H1833" t="s">
        <v>23</v>
      </c>
      <c r="I1833" t="s">
        <v>24</v>
      </c>
      <c r="J1833">
        <v>38</v>
      </c>
      <c r="K1833">
        <v>37869</v>
      </c>
      <c r="L1833">
        <v>1439022</v>
      </c>
      <c r="M1833">
        <v>8128.24</v>
      </c>
      <c r="N1833">
        <v>0</v>
      </c>
      <c r="O1833">
        <v>1430893.76</v>
      </c>
      <c r="P1833" t="s">
        <v>31</v>
      </c>
      <c r="Q1833" t="s">
        <v>32</v>
      </c>
    </row>
    <row r="1834" spans="1:17" x14ac:dyDescent="0.25">
      <c r="A1834" t="s">
        <v>1951</v>
      </c>
      <c r="B1834" s="1">
        <v>46045</v>
      </c>
      <c r="C1834" t="s">
        <v>54</v>
      </c>
      <c r="D1834" t="s">
        <v>55</v>
      </c>
      <c r="E1834" t="s">
        <v>49</v>
      </c>
      <c r="F1834" t="s">
        <v>112</v>
      </c>
      <c r="G1834" t="s">
        <v>85</v>
      </c>
      <c r="H1834" t="s">
        <v>67</v>
      </c>
      <c r="I1834" t="s">
        <v>201</v>
      </c>
      <c r="J1834">
        <v>21</v>
      </c>
      <c r="K1834">
        <v>26032.47</v>
      </c>
      <c r="L1834">
        <v>546681.87</v>
      </c>
      <c r="M1834">
        <v>0</v>
      </c>
      <c r="N1834">
        <v>131825.94</v>
      </c>
      <c r="O1834">
        <v>414855.93</v>
      </c>
      <c r="P1834" t="s">
        <v>73</v>
      </c>
      <c r="Q1834" t="s">
        <v>32</v>
      </c>
    </row>
    <row r="1835" spans="1:17" x14ac:dyDescent="0.25">
      <c r="A1835" t="s">
        <v>1952</v>
      </c>
      <c r="B1835" s="1">
        <v>45978</v>
      </c>
      <c r="C1835" t="s">
        <v>79</v>
      </c>
      <c r="D1835" t="s">
        <v>101</v>
      </c>
      <c r="E1835" t="s">
        <v>41</v>
      </c>
      <c r="F1835" t="s">
        <v>84</v>
      </c>
      <c r="G1835" t="s">
        <v>63</v>
      </c>
      <c r="H1835" t="s">
        <v>57</v>
      </c>
      <c r="I1835" t="s">
        <v>118</v>
      </c>
      <c r="J1835">
        <v>28</v>
      </c>
      <c r="K1835">
        <v>2144.5700000000002</v>
      </c>
      <c r="L1835">
        <v>60047.96</v>
      </c>
      <c r="M1835">
        <v>4655.68</v>
      </c>
      <c r="N1835">
        <v>0</v>
      </c>
      <c r="O1835">
        <v>55392.28</v>
      </c>
      <c r="P1835" t="s">
        <v>25</v>
      </c>
      <c r="Q1835" t="s">
        <v>32</v>
      </c>
    </row>
    <row r="1836" spans="1:17" x14ac:dyDescent="0.25">
      <c r="A1836" t="s">
        <v>1953</v>
      </c>
      <c r="B1836" s="1">
        <v>45980</v>
      </c>
      <c r="C1836" t="s">
        <v>79</v>
      </c>
      <c r="D1836" t="s">
        <v>107</v>
      </c>
      <c r="E1836" t="s">
        <v>41</v>
      </c>
      <c r="F1836" t="s">
        <v>137</v>
      </c>
      <c r="G1836" t="s">
        <v>51</v>
      </c>
      <c r="H1836" t="s">
        <v>23</v>
      </c>
      <c r="I1836" t="s">
        <v>99</v>
      </c>
      <c r="J1836">
        <v>43</v>
      </c>
      <c r="K1836">
        <v>21179.72</v>
      </c>
      <c r="L1836">
        <v>910727.96</v>
      </c>
      <c r="M1836">
        <v>0</v>
      </c>
      <c r="N1836">
        <v>0</v>
      </c>
      <c r="O1836">
        <v>910727.96</v>
      </c>
      <c r="P1836" t="s">
        <v>31</v>
      </c>
      <c r="Q1836" t="s">
        <v>32</v>
      </c>
    </row>
    <row r="1837" spans="1:17" x14ac:dyDescent="0.25">
      <c r="A1837" t="s">
        <v>1954</v>
      </c>
      <c r="B1837" s="1">
        <v>45961</v>
      </c>
      <c r="C1837" t="s">
        <v>60</v>
      </c>
      <c r="D1837" t="s">
        <v>151</v>
      </c>
      <c r="E1837" t="s">
        <v>35</v>
      </c>
      <c r="F1837" t="s">
        <v>137</v>
      </c>
      <c r="G1837" t="s">
        <v>85</v>
      </c>
      <c r="H1837" t="s">
        <v>67</v>
      </c>
      <c r="I1837" t="s">
        <v>170</v>
      </c>
      <c r="J1837">
        <v>47</v>
      </c>
      <c r="K1837">
        <v>49960.46</v>
      </c>
      <c r="L1837">
        <v>2348141.62</v>
      </c>
      <c r="M1837">
        <v>0</v>
      </c>
      <c r="N1837">
        <v>0</v>
      </c>
      <c r="O1837">
        <v>2348141.62</v>
      </c>
      <c r="P1837" t="s">
        <v>25</v>
      </c>
      <c r="Q1837" t="s">
        <v>26</v>
      </c>
    </row>
    <row r="1838" spans="1:17" x14ac:dyDescent="0.25">
      <c r="A1838" t="s">
        <v>1955</v>
      </c>
      <c r="B1838" s="1">
        <v>46004</v>
      </c>
      <c r="C1838" t="s">
        <v>79</v>
      </c>
      <c r="D1838" t="s">
        <v>91</v>
      </c>
      <c r="E1838" t="s">
        <v>41</v>
      </c>
      <c r="F1838" t="s">
        <v>84</v>
      </c>
      <c r="G1838" t="s">
        <v>98</v>
      </c>
      <c r="H1838" t="s">
        <v>44</v>
      </c>
      <c r="I1838" t="s">
        <v>141</v>
      </c>
      <c r="J1838">
        <v>8</v>
      </c>
      <c r="K1838">
        <v>28060.18</v>
      </c>
      <c r="L1838">
        <v>224481.44</v>
      </c>
      <c r="M1838">
        <v>25346.05</v>
      </c>
      <c r="N1838">
        <v>0</v>
      </c>
      <c r="O1838">
        <v>199135.39</v>
      </c>
      <c r="P1838" t="s">
        <v>25</v>
      </c>
      <c r="Q1838" t="s">
        <v>26</v>
      </c>
    </row>
    <row r="1839" spans="1:17" x14ac:dyDescent="0.25">
      <c r="A1839" t="s">
        <v>1956</v>
      </c>
      <c r="B1839" s="1">
        <v>46029</v>
      </c>
      <c r="C1839" t="s">
        <v>47</v>
      </c>
      <c r="D1839" t="s">
        <v>88</v>
      </c>
      <c r="E1839" t="s">
        <v>35</v>
      </c>
      <c r="F1839" t="s">
        <v>50</v>
      </c>
      <c r="G1839" t="s">
        <v>29</v>
      </c>
      <c r="H1839" t="s">
        <v>57</v>
      </c>
      <c r="I1839" t="s">
        <v>58</v>
      </c>
      <c r="J1839">
        <v>8</v>
      </c>
      <c r="K1839">
        <v>6660.41</v>
      </c>
      <c r="L1839">
        <v>53283.28</v>
      </c>
      <c r="M1839">
        <v>2016.65</v>
      </c>
      <c r="N1839">
        <v>0</v>
      </c>
      <c r="O1839">
        <v>51266.63</v>
      </c>
      <c r="P1839" t="s">
        <v>25</v>
      </c>
      <c r="Q1839" t="s">
        <v>32</v>
      </c>
    </row>
    <row r="1840" spans="1:17" x14ac:dyDescent="0.25">
      <c r="A1840" t="s">
        <v>1957</v>
      </c>
      <c r="B1840" s="1">
        <v>46039</v>
      </c>
      <c r="C1840" t="s">
        <v>79</v>
      </c>
      <c r="D1840" t="s">
        <v>80</v>
      </c>
      <c r="E1840" t="s">
        <v>41</v>
      </c>
      <c r="F1840" t="s">
        <v>84</v>
      </c>
      <c r="G1840" t="s">
        <v>66</v>
      </c>
      <c r="H1840" t="s">
        <v>38</v>
      </c>
      <c r="I1840" t="s">
        <v>108</v>
      </c>
      <c r="J1840">
        <v>8</v>
      </c>
      <c r="K1840">
        <v>46449.1</v>
      </c>
      <c r="L1840">
        <v>371592.8</v>
      </c>
      <c r="M1840">
        <v>0</v>
      </c>
      <c r="N1840">
        <v>0</v>
      </c>
      <c r="O1840">
        <v>371592.8</v>
      </c>
      <c r="P1840" t="s">
        <v>31</v>
      </c>
      <c r="Q1840" t="s">
        <v>32</v>
      </c>
    </row>
    <row r="1841" spans="1:17" x14ac:dyDescent="0.25">
      <c r="A1841" t="s">
        <v>1958</v>
      </c>
      <c r="B1841" s="1">
        <v>46025</v>
      </c>
      <c r="C1841" t="s">
        <v>18</v>
      </c>
      <c r="D1841" t="s">
        <v>28</v>
      </c>
      <c r="E1841" t="s">
        <v>41</v>
      </c>
      <c r="F1841" t="s">
        <v>137</v>
      </c>
      <c r="G1841" t="s">
        <v>29</v>
      </c>
      <c r="H1841" t="s">
        <v>23</v>
      </c>
      <c r="I1841" t="s">
        <v>99</v>
      </c>
      <c r="J1841">
        <v>19</v>
      </c>
      <c r="K1841">
        <v>19461</v>
      </c>
      <c r="L1841">
        <v>369759</v>
      </c>
      <c r="M1841">
        <v>0</v>
      </c>
      <c r="N1841">
        <v>0</v>
      </c>
      <c r="O1841">
        <v>369759</v>
      </c>
      <c r="P1841" t="s">
        <v>25</v>
      </c>
      <c r="Q1841" t="s">
        <v>26</v>
      </c>
    </row>
    <row r="1842" spans="1:17" x14ac:dyDescent="0.25">
      <c r="A1842" t="s">
        <v>1959</v>
      </c>
      <c r="B1842" s="1">
        <v>46033</v>
      </c>
      <c r="C1842" t="s">
        <v>47</v>
      </c>
      <c r="D1842" t="s">
        <v>88</v>
      </c>
      <c r="E1842" t="s">
        <v>41</v>
      </c>
      <c r="F1842" t="s">
        <v>62</v>
      </c>
      <c r="G1842" t="s">
        <v>140</v>
      </c>
      <c r="H1842" t="s">
        <v>57</v>
      </c>
      <c r="I1842" t="s">
        <v>148</v>
      </c>
      <c r="J1842">
        <v>12</v>
      </c>
      <c r="K1842">
        <v>3783.96</v>
      </c>
      <c r="L1842">
        <v>45407.519999999997</v>
      </c>
      <c r="M1842">
        <v>0</v>
      </c>
      <c r="N1842">
        <v>0</v>
      </c>
      <c r="O1842">
        <v>45407.519999999997</v>
      </c>
      <c r="P1842" t="s">
        <v>32</v>
      </c>
      <c r="Q1842" t="s">
        <v>32</v>
      </c>
    </row>
    <row r="1843" spans="1:17" x14ac:dyDescent="0.25">
      <c r="A1843" t="s">
        <v>1960</v>
      </c>
      <c r="B1843" s="1">
        <v>45979</v>
      </c>
      <c r="C1843" t="s">
        <v>79</v>
      </c>
      <c r="D1843" t="s">
        <v>80</v>
      </c>
      <c r="E1843" t="s">
        <v>49</v>
      </c>
      <c r="F1843" t="s">
        <v>42</v>
      </c>
      <c r="G1843" t="s">
        <v>85</v>
      </c>
      <c r="H1843" t="s">
        <v>67</v>
      </c>
      <c r="I1843" t="s">
        <v>154</v>
      </c>
      <c r="J1843">
        <v>34</v>
      </c>
      <c r="K1843">
        <v>41640.870000000003</v>
      </c>
      <c r="L1843">
        <v>1415789.58</v>
      </c>
      <c r="M1843">
        <v>87769.01</v>
      </c>
      <c r="N1843">
        <v>0</v>
      </c>
      <c r="O1843">
        <v>1328020.57</v>
      </c>
      <c r="P1843" t="s">
        <v>73</v>
      </c>
      <c r="Q1843" t="s">
        <v>32</v>
      </c>
    </row>
    <row r="1844" spans="1:17" x14ac:dyDescent="0.25">
      <c r="A1844" t="s">
        <v>1961</v>
      </c>
      <c r="B1844" s="1">
        <v>45974</v>
      </c>
      <c r="C1844" t="s">
        <v>47</v>
      </c>
      <c r="D1844" t="s">
        <v>48</v>
      </c>
      <c r="E1844" t="s">
        <v>49</v>
      </c>
      <c r="F1844" t="s">
        <v>50</v>
      </c>
      <c r="G1844" t="s">
        <v>66</v>
      </c>
      <c r="H1844" t="s">
        <v>38</v>
      </c>
      <c r="I1844" t="s">
        <v>108</v>
      </c>
      <c r="J1844">
        <v>36</v>
      </c>
      <c r="K1844">
        <v>27226.21</v>
      </c>
      <c r="L1844">
        <v>980143.56</v>
      </c>
      <c r="M1844">
        <v>105317.46</v>
      </c>
      <c r="N1844">
        <v>57441.17</v>
      </c>
      <c r="O1844">
        <v>817384.93</v>
      </c>
      <c r="P1844" t="s">
        <v>25</v>
      </c>
      <c r="Q1844" t="s">
        <v>26</v>
      </c>
    </row>
    <row r="1845" spans="1:17" x14ac:dyDescent="0.25">
      <c r="A1845" t="s">
        <v>1962</v>
      </c>
      <c r="B1845" s="1">
        <v>45985</v>
      </c>
      <c r="C1845" t="s">
        <v>47</v>
      </c>
      <c r="D1845" t="s">
        <v>88</v>
      </c>
      <c r="E1845" t="s">
        <v>35</v>
      </c>
      <c r="F1845" t="s">
        <v>50</v>
      </c>
      <c r="G1845" t="s">
        <v>66</v>
      </c>
      <c r="H1845" t="s">
        <v>38</v>
      </c>
      <c r="I1845" t="s">
        <v>82</v>
      </c>
      <c r="J1845">
        <v>30</v>
      </c>
      <c r="K1845">
        <v>1576.9</v>
      </c>
      <c r="L1845">
        <v>47307</v>
      </c>
      <c r="M1845">
        <v>420.69</v>
      </c>
      <c r="N1845">
        <v>0</v>
      </c>
      <c r="O1845">
        <v>46886.31</v>
      </c>
      <c r="P1845" t="s">
        <v>31</v>
      </c>
      <c r="Q1845" t="s">
        <v>32</v>
      </c>
    </row>
    <row r="1846" spans="1:17" x14ac:dyDescent="0.25">
      <c r="A1846" t="s">
        <v>1963</v>
      </c>
      <c r="B1846" s="1">
        <v>45996</v>
      </c>
      <c r="C1846" t="s">
        <v>47</v>
      </c>
      <c r="D1846" t="s">
        <v>114</v>
      </c>
      <c r="E1846" t="s">
        <v>35</v>
      </c>
      <c r="F1846" t="s">
        <v>105</v>
      </c>
      <c r="G1846" t="s">
        <v>51</v>
      </c>
      <c r="H1846" t="s">
        <v>57</v>
      </c>
      <c r="I1846" t="s">
        <v>160</v>
      </c>
      <c r="J1846">
        <v>17</v>
      </c>
      <c r="K1846">
        <v>37199.32</v>
      </c>
      <c r="L1846">
        <v>632388.43999999994</v>
      </c>
      <c r="M1846">
        <v>72635.05</v>
      </c>
      <c r="N1846">
        <v>0</v>
      </c>
      <c r="O1846">
        <v>559753.39</v>
      </c>
      <c r="P1846" t="s">
        <v>73</v>
      </c>
      <c r="Q1846" t="s">
        <v>32</v>
      </c>
    </row>
    <row r="1847" spans="1:17" x14ac:dyDescent="0.25">
      <c r="A1847" t="s">
        <v>1964</v>
      </c>
      <c r="B1847" s="1">
        <v>45969</v>
      </c>
      <c r="C1847" t="s">
        <v>54</v>
      </c>
      <c r="D1847" t="s">
        <v>70</v>
      </c>
      <c r="E1847" t="s">
        <v>20</v>
      </c>
      <c r="F1847" t="s">
        <v>71</v>
      </c>
      <c r="G1847" t="s">
        <v>89</v>
      </c>
      <c r="H1847" t="s">
        <v>67</v>
      </c>
      <c r="I1847" t="s">
        <v>154</v>
      </c>
      <c r="J1847">
        <v>40</v>
      </c>
      <c r="K1847">
        <v>16728.810000000001</v>
      </c>
      <c r="L1847">
        <v>669152.4</v>
      </c>
      <c r="M1847">
        <v>27803.17</v>
      </c>
      <c r="N1847">
        <v>0</v>
      </c>
      <c r="O1847">
        <v>641349.23</v>
      </c>
      <c r="P1847" t="s">
        <v>32</v>
      </c>
      <c r="Q1847" t="s">
        <v>26</v>
      </c>
    </row>
    <row r="1848" spans="1:17" x14ac:dyDescent="0.25">
      <c r="A1848" t="s">
        <v>1965</v>
      </c>
      <c r="B1848" s="1">
        <v>46016</v>
      </c>
      <c r="C1848" t="s">
        <v>54</v>
      </c>
      <c r="D1848" t="s">
        <v>97</v>
      </c>
      <c r="E1848" t="s">
        <v>35</v>
      </c>
      <c r="F1848" t="s">
        <v>50</v>
      </c>
      <c r="G1848" t="s">
        <v>22</v>
      </c>
      <c r="H1848" t="s">
        <v>38</v>
      </c>
      <c r="I1848" t="s">
        <v>82</v>
      </c>
      <c r="J1848">
        <v>21</v>
      </c>
      <c r="K1848">
        <v>31328.95</v>
      </c>
      <c r="L1848">
        <v>657907.94999999995</v>
      </c>
      <c r="M1848">
        <v>0</v>
      </c>
      <c r="N1848">
        <v>0</v>
      </c>
      <c r="O1848">
        <v>657907.94999999995</v>
      </c>
      <c r="P1848" t="s">
        <v>32</v>
      </c>
      <c r="Q1848" t="s">
        <v>26</v>
      </c>
    </row>
    <row r="1849" spans="1:17" x14ac:dyDescent="0.25">
      <c r="A1849" t="s">
        <v>1966</v>
      </c>
      <c r="B1849" s="1">
        <v>45979</v>
      </c>
      <c r="C1849" t="s">
        <v>18</v>
      </c>
      <c r="D1849" t="s">
        <v>19</v>
      </c>
      <c r="E1849" t="s">
        <v>49</v>
      </c>
      <c r="F1849" t="s">
        <v>84</v>
      </c>
      <c r="G1849" t="s">
        <v>37</v>
      </c>
      <c r="H1849" t="s">
        <v>38</v>
      </c>
      <c r="I1849" t="s">
        <v>175</v>
      </c>
      <c r="J1849">
        <v>7</v>
      </c>
      <c r="K1849">
        <v>11321.11</v>
      </c>
      <c r="L1849">
        <v>79247.77</v>
      </c>
      <c r="M1849">
        <v>0</v>
      </c>
      <c r="N1849">
        <v>0</v>
      </c>
      <c r="O1849">
        <v>79247.77</v>
      </c>
      <c r="P1849" t="s">
        <v>25</v>
      </c>
      <c r="Q1849" t="s">
        <v>26</v>
      </c>
    </row>
    <row r="1850" spans="1:17" x14ac:dyDescent="0.25">
      <c r="A1850" t="s">
        <v>1967</v>
      </c>
      <c r="B1850" s="1">
        <v>46023</v>
      </c>
      <c r="C1850" t="s">
        <v>79</v>
      </c>
      <c r="D1850" t="s">
        <v>107</v>
      </c>
      <c r="E1850" t="s">
        <v>20</v>
      </c>
      <c r="F1850" t="s">
        <v>112</v>
      </c>
      <c r="G1850" t="s">
        <v>102</v>
      </c>
      <c r="H1850" t="s">
        <v>94</v>
      </c>
      <c r="I1850" t="s">
        <v>144</v>
      </c>
      <c r="J1850">
        <v>26</v>
      </c>
      <c r="K1850">
        <v>20275.7</v>
      </c>
      <c r="L1850">
        <v>527168.19999999995</v>
      </c>
      <c r="M1850">
        <v>0</v>
      </c>
      <c r="N1850">
        <v>114937.14</v>
      </c>
      <c r="O1850">
        <v>412231.06</v>
      </c>
      <c r="P1850" t="s">
        <v>31</v>
      </c>
      <c r="Q1850" t="s">
        <v>32</v>
      </c>
    </row>
    <row r="1851" spans="1:17" x14ac:dyDescent="0.25">
      <c r="A1851" t="s">
        <v>1968</v>
      </c>
      <c r="B1851" s="1">
        <v>45959</v>
      </c>
      <c r="C1851" t="s">
        <v>79</v>
      </c>
      <c r="D1851" t="s">
        <v>101</v>
      </c>
      <c r="E1851" t="s">
        <v>35</v>
      </c>
      <c r="F1851" t="s">
        <v>112</v>
      </c>
      <c r="G1851" t="s">
        <v>98</v>
      </c>
      <c r="H1851" t="s">
        <v>57</v>
      </c>
      <c r="I1851" t="s">
        <v>148</v>
      </c>
      <c r="J1851">
        <v>18</v>
      </c>
      <c r="K1851">
        <v>41672.559999999998</v>
      </c>
      <c r="L1851">
        <v>750106.08</v>
      </c>
      <c r="M1851">
        <v>51665.39</v>
      </c>
      <c r="N1851">
        <v>0</v>
      </c>
      <c r="O1851">
        <v>698440.69</v>
      </c>
      <c r="P1851" t="s">
        <v>32</v>
      </c>
      <c r="Q1851" t="s">
        <v>32</v>
      </c>
    </row>
    <row r="1852" spans="1:17" x14ac:dyDescent="0.25">
      <c r="A1852" t="s">
        <v>1969</v>
      </c>
      <c r="B1852" s="1">
        <v>46037</v>
      </c>
      <c r="C1852" t="s">
        <v>47</v>
      </c>
      <c r="D1852" t="s">
        <v>48</v>
      </c>
      <c r="E1852" t="s">
        <v>35</v>
      </c>
      <c r="F1852" t="s">
        <v>62</v>
      </c>
      <c r="G1852" t="s">
        <v>89</v>
      </c>
      <c r="H1852" t="s">
        <v>44</v>
      </c>
      <c r="I1852" t="s">
        <v>124</v>
      </c>
      <c r="J1852">
        <v>35</v>
      </c>
      <c r="K1852">
        <v>36100.080000000002</v>
      </c>
      <c r="L1852">
        <v>1263502.8</v>
      </c>
      <c r="M1852">
        <v>0</v>
      </c>
      <c r="N1852">
        <v>0</v>
      </c>
      <c r="O1852">
        <v>1263502.8</v>
      </c>
      <c r="P1852" t="s">
        <v>31</v>
      </c>
      <c r="Q1852" t="s">
        <v>32</v>
      </c>
    </row>
    <row r="1853" spans="1:17" x14ac:dyDescent="0.25">
      <c r="A1853" t="s">
        <v>1970</v>
      </c>
      <c r="B1853" s="1">
        <v>46023</v>
      </c>
      <c r="C1853" t="s">
        <v>54</v>
      </c>
      <c r="D1853" t="s">
        <v>133</v>
      </c>
      <c r="E1853" t="s">
        <v>20</v>
      </c>
      <c r="F1853" t="s">
        <v>42</v>
      </c>
      <c r="G1853" t="s">
        <v>37</v>
      </c>
      <c r="H1853" t="s">
        <v>67</v>
      </c>
      <c r="I1853" t="s">
        <v>68</v>
      </c>
      <c r="J1853">
        <v>11</v>
      </c>
      <c r="K1853">
        <v>22536.91</v>
      </c>
      <c r="L1853">
        <v>247906.01</v>
      </c>
      <c r="M1853">
        <v>0</v>
      </c>
      <c r="N1853">
        <v>0</v>
      </c>
      <c r="O1853">
        <v>247906.01</v>
      </c>
      <c r="P1853" t="s">
        <v>73</v>
      </c>
      <c r="Q1853" t="s">
        <v>26</v>
      </c>
    </row>
    <row r="1854" spans="1:17" x14ac:dyDescent="0.25">
      <c r="A1854" t="s">
        <v>1971</v>
      </c>
      <c r="B1854" s="1">
        <v>46031</v>
      </c>
      <c r="C1854" t="s">
        <v>60</v>
      </c>
      <c r="D1854" t="s">
        <v>61</v>
      </c>
      <c r="E1854" t="s">
        <v>35</v>
      </c>
      <c r="F1854" t="s">
        <v>62</v>
      </c>
      <c r="G1854" t="s">
        <v>98</v>
      </c>
      <c r="H1854" t="s">
        <v>94</v>
      </c>
      <c r="I1854" t="s">
        <v>193</v>
      </c>
      <c r="J1854">
        <v>7</v>
      </c>
      <c r="K1854">
        <v>50011.42</v>
      </c>
      <c r="L1854">
        <v>350079.94</v>
      </c>
      <c r="M1854">
        <v>13438.66</v>
      </c>
      <c r="N1854">
        <v>0</v>
      </c>
      <c r="O1854">
        <v>336641.28000000003</v>
      </c>
      <c r="P1854" t="s">
        <v>31</v>
      </c>
      <c r="Q1854" t="s">
        <v>32</v>
      </c>
    </row>
    <row r="1855" spans="1:17" x14ac:dyDescent="0.25">
      <c r="A1855" t="s">
        <v>1972</v>
      </c>
      <c r="B1855" s="1">
        <v>46013</v>
      </c>
      <c r="C1855" t="s">
        <v>18</v>
      </c>
      <c r="D1855" t="s">
        <v>75</v>
      </c>
      <c r="E1855" t="s">
        <v>41</v>
      </c>
      <c r="F1855" t="s">
        <v>84</v>
      </c>
      <c r="G1855" t="s">
        <v>89</v>
      </c>
      <c r="H1855" t="s">
        <v>94</v>
      </c>
      <c r="I1855" t="s">
        <v>115</v>
      </c>
      <c r="J1855">
        <v>4</v>
      </c>
      <c r="K1855">
        <v>10438.58</v>
      </c>
      <c r="L1855">
        <v>41754.32</v>
      </c>
      <c r="M1855">
        <v>6822.45</v>
      </c>
      <c r="N1855">
        <v>0</v>
      </c>
      <c r="O1855">
        <v>34931.870000000003</v>
      </c>
      <c r="P1855" t="s">
        <v>31</v>
      </c>
      <c r="Q1855" t="s">
        <v>32</v>
      </c>
    </row>
    <row r="1856" spans="1:17" x14ac:dyDescent="0.25">
      <c r="A1856" t="s">
        <v>1973</v>
      </c>
      <c r="B1856" s="1">
        <v>46041</v>
      </c>
      <c r="C1856" t="s">
        <v>79</v>
      </c>
      <c r="D1856" t="s">
        <v>80</v>
      </c>
      <c r="E1856" t="s">
        <v>20</v>
      </c>
      <c r="F1856" t="s">
        <v>42</v>
      </c>
      <c r="G1856" t="s">
        <v>140</v>
      </c>
      <c r="H1856" t="s">
        <v>94</v>
      </c>
      <c r="I1856" t="s">
        <v>163</v>
      </c>
      <c r="J1856">
        <v>12</v>
      </c>
      <c r="K1856">
        <v>29793.32</v>
      </c>
      <c r="L1856">
        <v>357519.84</v>
      </c>
      <c r="M1856">
        <v>51660.05</v>
      </c>
      <c r="N1856">
        <v>0</v>
      </c>
      <c r="O1856">
        <v>305859.78999999998</v>
      </c>
      <c r="P1856" t="s">
        <v>31</v>
      </c>
      <c r="Q1856" t="s">
        <v>32</v>
      </c>
    </row>
    <row r="1857" spans="1:17" x14ac:dyDescent="0.25">
      <c r="A1857" t="s">
        <v>1974</v>
      </c>
      <c r="B1857" s="1">
        <v>45988</v>
      </c>
      <c r="C1857" t="s">
        <v>54</v>
      </c>
      <c r="D1857" t="s">
        <v>70</v>
      </c>
      <c r="E1857" t="s">
        <v>35</v>
      </c>
      <c r="F1857" t="s">
        <v>21</v>
      </c>
      <c r="G1857" t="s">
        <v>140</v>
      </c>
      <c r="H1857" t="s">
        <v>44</v>
      </c>
      <c r="I1857" t="s">
        <v>135</v>
      </c>
      <c r="J1857">
        <v>40</v>
      </c>
      <c r="K1857">
        <v>16759.580000000002</v>
      </c>
      <c r="L1857">
        <v>670383.19999999995</v>
      </c>
      <c r="M1857">
        <v>0</v>
      </c>
      <c r="N1857">
        <v>0</v>
      </c>
      <c r="O1857">
        <v>670383.19999999995</v>
      </c>
      <c r="P1857" t="s">
        <v>25</v>
      </c>
      <c r="Q1857" t="s">
        <v>26</v>
      </c>
    </row>
    <row r="1858" spans="1:17" x14ac:dyDescent="0.25">
      <c r="A1858" t="s">
        <v>1975</v>
      </c>
      <c r="B1858" s="1">
        <v>46035</v>
      </c>
      <c r="C1858" t="s">
        <v>18</v>
      </c>
      <c r="D1858" t="s">
        <v>28</v>
      </c>
      <c r="E1858" t="s">
        <v>20</v>
      </c>
      <c r="F1858" t="s">
        <v>21</v>
      </c>
      <c r="G1858" t="s">
        <v>66</v>
      </c>
      <c r="H1858" t="s">
        <v>57</v>
      </c>
      <c r="I1858" t="s">
        <v>72</v>
      </c>
      <c r="J1858">
        <v>4</v>
      </c>
      <c r="K1858">
        <v>23180.38</v>
      </c>
      <c r="L1858">
        <v>92721.52</v>
      </c>
      <c r="M1858">
        <v>8492.9599999999991</v>
      </c>
      <c r="N1858">
        <v>0</v>
      </c>
      <c r="O1858">
        <v>84228.56</v>
      </c>
      <c r="P1858" t="s">
        <v>25</v>
      </c>
      <c r="Q1858" t="s">
        <v>32</v>
      </c>
    </row>
    <row r="1859" spans="1:17" x14ac:dyDescent="0.25">
      <c r="A1859" t="s">
        <v>1976</v>
      </c>
      <c r="B1859" s="1">
        <v>45962</v>
      </c>
      <c r="C1859" t="s">
        <v>18</v>
      </c>
      <c r="D1859" t="s">
        <v>75</v>
      </c>
      <c r="E1859" t="s">
        <v>41</v>
      </c>
      <c r="F1859" t="s">
        <v>42</v>
      </c>
      <c r="G1859" t="s">
        <v>63</v>
      </c>
      <c r="H1859" t="s">
        <v>23</v>
      </c>
      <c r="I1859" t="s">
        <v>30</v>
      </c>
      <c r="J1859">
        <v>49</v>
      </c>
      <c r="K1859">
        <v>11551</v>
      </c>
      <c r="L1859">
        <v>565999</v>
      </c>
      <c r="M1859">
        <v>0</v>
      </c>
      <c r="N1859">
        <v>0</v>
      </c>
      <c r="O1859">
        <v>565999</v>
      </c>
      <c r="P1859" t="s">
        <v>73</v>
      </c>
      <c r="Q1859" t="s">
        <v>32</v>
      </c>
    </row>
    <row r="1860" spans="1:17" x14ac:dyDescent="0.25">
      <c r="A1860" t="s">
        <v>1977</v>
      </c>
      <c r="B1860" s="1">
        <v>45967</v>
      </c>
      <c r="C1860" t="s">
        <v>54</v>
      </c>
      <c r="D1860" t="s">
        <v>133</v>
      </c>
      <c r="E1860" t="s">
        <v>41</v>
      </c>
      <c r="F1860" t="s">
        <v>112</v>
      </c>
      <c r="G1860" t="s">
        <v>98</v>
      </c>
      <c r="H1860" t="s">
        <v>57</v>
      </c>
      <c r="I1860" t="s">
        <v>58</v>
      </c>
      <c r="J1860">
        <v>28</v>
      </c>
      <c r="K1860">
        <v>39898.379999999997</v>
      </c>
      <c r="L1860">
        <v>1117154.6399999999</v>
      </c>
      <c r="M1860">
        <v>195062.94</v>
      </c>
      <c r="N1860">
        <v>0</v>
      </c>
      <c r="O1860">
        <v>922091.7</v>
      </c>
      <c r="P1860" t="s">
        <v>32</v>
      </c>
      <c r="Q1860" t="s">
        <v>32</v>
      </c>
    </row>
    <row r="1861" spans="1:17" x14ac:dyDescent="0.25">
      <c r="A1861" t="s">
        <v>1978</v>
      </c>
      <c r="B1861" s="1">
        <v>45968</v>
      </c>
      <c r="C1861" t="s">
        <v>60</v>
      </c>
      <c r="D1861" t="s">
        <v>123</v>
      </c>
      <c r="E1861" t="s">
        <v>20</v>
      </c>
      <c r="F1861" t="s">
        <v>105</v>
      </c>
      <c r="G1861" t="s">
        <v>37</v>
      </c>
      <c r="H1861" t="s">
        <v>23</v>
      </c>
      <c r="I1861" t="s">
        <v>30</v>
      </c>
      <c r="J1861">
        <v>47</v>
      </c>
      <c r="K1861">
        <v>31087.64</v>
      </c>
      <c r="L1861">
        <v>1461119.08</v>
      </c>
      <c r="M1861">
        <v>159494.15</v>
      </c>
      <c r="N1861">
        <v>0</v>
      </c>
      <c r="O1861">
        <v>1301624.93</v>
      </c>
      <c r="P1861" t="s">
        <v>31</v>
      </c>
      <c r="Q1861" t="s">
        <v>32</v>
      </c>
    </row>
    <row r="1862" spans="1:17" x14ac:dyDescent="0.25">
      <c r="A1862" t="s">
        <v>1979</v>
      </c>
      <c r="B1862" s="1">
        <v>45971</v>
      </c>
      <c r="C1862" t="s">
        <v>47</v>
      </c>
      <c r="D1862" t="s">
        <v>48</v>
      </c>
      <c r="E1862" t="s">
        <v>41</v>
      </c>
      <c r="F1862" t="s">
        <v>62</v>
      </c>
      <c r="G1862" t="s">
        <v>56</v>
      </c>
      <c r="H1862" t="s">
        <v>67</v>
      </c>
      <c r="I1862" t="s">
        <v>170</v>
      </c>
      <c r="J1862">
        <v>21</v>
      </c>
      <c r="K1862">
        <v>48590.64</v>
      </c>
      <c r="L1862">
        <v>1020403.44</v>
      </c>
      <c r="M1862">
        <v>0</v>
      </c>
      <c r="N1862">
        <v>0</v>
      </c>
      <c r="O1862">
        <v>1020403.44</v>
      </c>
      <c r="P1862" t="s">
        <v>31</v>
      </c>
      <c r="Q1862" t="s">
        <v>32</v>
      </c>
    </row>
    <row r="1863" spans="1:17" x14ac:dyDescent="0.25">
      <c r="A1863" t="s">
        <v>1980</v>
      </c>
      <c r="B1863" s="1">
        <v>45969</v>
      </c>
      <c r="C1863" t="s">
        <v>18</v>
      </c>
      <c r="D1863" t="s">
        <v>19</v>
      </c>
      <c r="E1863" t="s">
        <v>41</v>
      </c>
      <c r="F1863" t="s">
        <v>84</v>
      </c>
      <c r="G1863" t="s">
        <v>102</v>
      </c>
      <c r="H1863" t="s">
        <v>23</v>
      </c>
      <c r="I1863" t="s">
        <v>99</v>
      </c>
      <c r="J1863">
        <v>42</v>
      </c>
      <c r="K1863">
        <v>37881.949999999997</v>
      </c>
      <c r="L1863">
        <v>1591041.9</v>
      </c>
      <c r="M1863">
        <v>58242.879999999997</v>
      </c>
      <c r="N1863">
        <v>0</v>
      </c>
      <c r="O1863">
        <v>1532799.02</v>
      </c>
      <c r="P1863" t="s">
        <v>32</v>
      </c>
      <c r="Q1863" t="s">
        <v>32</v>
      </c>
    </row>
    <row r="1864" spans="1:17" x14ac:dyDescent="0.25">
      <c r="A1864" t="s">
        <v>1981</v>
      </c>
      <c r="B1864" s="1">
        <v>46018</v>
      </c>
      <c r="C1864" t="s">
        <v>47</v>
      </c>
      <c r="D1864" t="s">
        <v>48</v>
      </c>
      <c r="E1864" t="s">
        <v>35</v>
      </c>
      <c r="F1864" t="s">
        <v>42</v>
      </c>
      <c r="G1864" t="s">
        <v>51</v>
      </c>
      <c r="H1864" t="s">
        <v>38</v>
      </c>
      <c r="I1864" t="s">
        <v>39</v>
      </c>
      <c r="J1864">
        <v>3</v>
      </c>
      <c r="K1864">
        <v>23689.85</v>
      </c>
      <c r="L1864">
        <v>71069.55</v>
      </c>
      <c r="M1864">
        <v>0</v>
      </c>
      <c r="N1864">
        <v>0</v>
      </c>
      <c r="O1864">
        <v>71069.55</v>
      </c>
      <c r="P1864" t="s">
        <v>73</v>
      </c>
      <c r="Q1864" t="s">
        <v>32</v>
      </c>
    </row>
    <row r="1865" spans="1:17" x14ac:dyDescent="0.25">
      <c r="A1865" t="s">
        <v>1982</v>
      </c>
      <c r="B1865" s="1">
        <v>46008</v>
      </c>
      <c r="C1865" t="s">
        <v>54</v>
      </c>
      <c r="D1865" t="s">
        <v>70</v>
      </c>
      <c r="E1865" t="s">
        <v>35</v>
      </c>
      <c r="F1865" t="s">
        <v>105</v>
      </c>
      <c r="G1865" t="s">
        <v>43</v>
      </c>
      <c r="H1865" t="s">
        <v>38</v>
      </c>
      <c r="I1865" t="s">
        <v>175</v>
      </c>
      <c r="J1865">
        <v>43</v>
      </c>
      <c r="K1865">
        <v>37720.58</v>
      </c>
      <c r="L1865">
        <v>1621984.94</v>
      </c>
      <c r="M1865">
        <v>42087.58</v>
      </c>
      <c r="N1865">
        <v>370942.02</v>
      </c>
      <c r="O1865">
        <v>1208955.3400000001</v>
      </c>
      <c r="P1865" t="s">
        <v>32</v>
      </c>
      <c r="Q1865" t="s">
        <v>32</v>
      </c>
    </row>
    <row r="1866" spans="1:17" x14ac:dyDescent="0.25">
      <c r="A1866" t="s">
        <v>1983</v>
      </c>
      <c r="B1866" s="1">
        <v>46018</v>
      </c>
      <c r="C1866" t="s">
        <v>79</v>
      </c>
      <c r="D1866" t="s">
        <v>80</v>
      </c>
      <c r="E1866" t="s">
        <v>35</v>
      </c>
      <c r="F1866" t="s">
        <v>36</v>
      </c>
      <c r="G1866" t="s">
        <v>56</v>
      </c>
      <c r="H1866" t="s">
        <v>38</v>
      </c>
      <c r="I1866" t="s">
        <v>86</v>
      </c>
      <c r="J1866">
        <v>20</v>
      </c>
      <c r="K1866">
        <v>35715.629999999997</v>
      </c>
      <c r="L1866">
        <v>714312.6</v>
      </c>
      <c r="M1866">
        <v>119588.31</v>
      </c>
      <c r="N1866">
        <v>0</v>
      </c>
      <c r="O1866">
        <v>594724.29</v>
      </c>
      <c r="P1866" t="s">
        <v>25</v>
      </c>
      <c r="Q1866" t="s">
        <v>26</v>
      </c>
    </row>
    <row r="1867" spans="1:17" x14ac:dyDescent="0.25">
      <c r="A1867" t="s">
        <v>1984</v>
      </c>
      <c r="B1867" s="1">
        <v>45987</v>
      </c>
      <c r="C1867" t="s">
        <v>18</v>
      </c>
      <c r="D1867" t="s">
        <v>28</v>
      </c>
      <c r="E1867" t="s">
        <v>49</v>
      </c>
      <c r="F1867" t="s">
        <v>112</v>
      </c>
      <c r="G1867" t="s">
        <v>43</v>
      </c>
      <c r="H1867" t="s">
        <v>67</v>
      </c>
      <c r="I1867" t="s">
        <v>68</v>
      </c>
      <c r="J1867">
        <v>22</v>
      </c>
      <c r="K1867">
        <v>23550.25</v>
      </c>
      <c r="L1867">
        <v>518105.5</v>
      </c>
      <c r="M1867">
        <v>0</v>
      </c>
      <c r="N1867">
        <v>11475.69</v>
      </c>
      <c r="O1867">
        <v>506629.81</v>
      </c>
      <c r="P1867" t="s">
        <v>73</v>
      </c>
      <c r="Q1867" t="s">
        <v>32</v>
      </c>
    </row>
    <row r="1868" spans="1:17" x14ac:dyDescent="0.25">
      <c r="A1868" t="s">
        <v>1985</v>
      </c>
      <c r="B1868" s="1">
        <v>46026</v>
      </c>
      <c r="C1868" t="s">
        <v>47</v>
      </c>
      <c r="D1868" t="s">
        <v>127</v>
      </c>
      <c r="E1868" t="s">
        <v>41</v>
      </c>
      <c r="F1868" t="s">
        <v>42</v>
      </c>
      <c r="G1868" t="s">
        <v>85</v>
      </c>
      <c r="H1868" t="s">
        <v>67</v>
      </c>
      <c r="I1868" t="s">
        <v>170</v>
      </c>
      <c r="J1868">
        <v>9</v>
      </c>
      <c r="K1868">
        <v>7353.7</v>
      </c>
      <c r="L1868">
        <v>66183.3</v>
      </c>
      <c r="M1868">
        <v>9489.02</v>
      </c>
      <c r="N1868">
        <v>0</v>
      </c>
      <c r="O1868">
        <v>56694.28</v>
      </c>
      <c r="P1868" t="s">
        <v>32</v>
      </c>
      <c r="Q1868" t="s">
        <v>32</v>
      </c>
    </row>
    <row r="1869" spans="1:17" x14ac:dyDescent="0.25">
      <c r="A1869" t="s">
        <v>1986</v>
      </c>
      <c r="B1869" s="1">
        <v>45970</v>
      </c>
      <c r="C1869" t="s">
        <v>18</v>
      </c>
      <c r="D1869" t="s">
        <v>28</v>
      </c>
      <c r="E1869" t="s">
        <v>41</v>
      </c>
      <c r="F1869" t="s">
        <v>71</v>
      </c>
      <c r="G1869" t="s">
        <v>43</v>
      </c>
      <c r="H1869" t="s">
        <v>23</v>
      </c>
      <c r="I1869" t="s">
        <v>30</v>
      </c>
      <c r="J1869">
        <v>43</v>
      </c>
      <c r="K1869">
        <v>7269.51</v>
      </c>
      <c r="L1869">
        <v>312588.93</v>
      </c>
      <c r="M1869">
        <v>51251.71</v>
      </c>
      <c r="N1869">
        <v>0</v>
      </c>
      <c r="O1869">
        <v>261337.22</v>
      </c>
      <c r="P1869" t="s">
        <v>32</v>
      </c>
      <c r="Q1869" t="s">
        <v>32</v>
      </c>
    </row>
    <row r="1870" spans="1:17" x14ac:dyDescent="0.25">
      <c r="A1870" t="s">
        <v>1987</v>
      </c>
      <c r="B1870" s="1">
        <v>46021</v>
      </c>
      <c r="C1870" t="s">
        <v>47</v>
      </c>
      <c r="D1870" t="s">
        <v>48</v>
      </c>
      <c r="E1870" t="s">
        <v>20</v>
      </c>
      <c r="F1870" t="s">
        <v>84</v>
      </c>
      <c r="G1870" t="s">
        <v>43</v>
      </c>
      <c r="H1870" t="s">
        <v>44</v>
      </c>
      <c r="I1870" t="s">
        <v>124</v>
      </c>
      <c r="J1870">
        <v>27</v>
      </c>
      <c r="K1870">
        <v>3989.09</v>
      </c>
      <c r="L1870">
        <v>107705.43</v>
      </c>
      <c r="M1870">
        <v>8079.44</v>
      </c>
      <c r="N1870">
        <v>0</v>
      </c>
      <c r="O1870">
        <v>99625.99</v>
      </c>
      <c r="P1870" t="s">
        <v>25</v>
      </c>
      <c r="Q1870" t="s">
        <v>32</v>
      </c>
    </row>
    <row r="1871" spans="1:17" x14ac:dyDescent="0.25">
      <c r="A1871" t="s">
        <v>1988</v>
      </c>
      <c r="B1871" s="1">
        <v>45984</v>
      </c>
      <c r="C1871" t="s">
        <v>18</v>
      </c>
      <c r="D1871" t="s">
        <v>34</v>
      </c>
      <c r="E1871" t="s">
        <v>49</v>
      </c>
      <c r="F1871" t="s">
        <v>105</v>
      </c>
      <c r="G1871" t="s">
        <v>66</v>
      </c>
      <c r="H1871" t="s">
        <v>57</v>
      </c>
      <c r="I1871" t="s">
        <v>148</v>
      </c>
      <c r="J1871">
        <v>19</v>
      </c>
      <c r="K1871">
        <v>23316.77</v>
      </c>
      <c r="L1871">
        <v>443018.63</v>
      </c>
      <c r="M1871">
        <v>0</v>
      </c>
      <c r="N1871">
        <v>0</v>
      </c>
      <c r="O1871">
        <v>443018.63</v>
      </c>
      <c r="P1871" t="s">
        <v>31</v>
      </c>
      <c r="Q1871" t="s">
        <v>32</v>
      </c>
    </row>
    <row r="1872" spans="1:17" x14ac:dyDescent="0.25">
      <c r="A1872" t="s">
        <v>1989</v>
      </c>
      <c r="B1872" s="1">
        <v>45976</v>
      </c>
      <c r="C1872" t="s">
        <v>79</v>
      </c>
      <c r="D1872" t="s">
        <v>91</v>
      </c>
      <c r="E1872" t="s">
        <v>20</v>
      </c>
      <c r="F1872" t="s">
        <v>137</v>
      </c>
      <c r="G1872" t="s">
        <v>89</v>
      </c>
      <c r="H1872" t="s">
        <v>38</v>
      </c>
      <c r="I1872" t="s">
        <v>120</v>
      </c>
      <c r="J1872">
        <v>38</v>
      </c>
      <c r="K1872">
        <v>34008.74</v>
      </c>
      <c r="L1872">
        <v>1292332.1200000001</v>
      </c>
      <c r="M1872">
        <v>0</v>
      </c>
      <c r="N1872">
        <v>272411.46000000002</v>
      </c>
      <c r="O1872">
        <v>1019920.66</v>
      </c>
      <c r="P1872" t="s">
        <v>32</v>
      </c>
      <c r="Q1872" t="s">
        <v>32</v>
      </c>
    </row>
    <row r="1873" spans="1:17" x14ac:dyDescent="0.25">
      <c r="A1873" t="s">
        <v>1990</v>
      </c>
      <c r="B1873" s="1">
        <v>45984</v>
      </c>
      <c r="C1873" t="s">
        <v>54</v>
      </c>
      <c r="D1873" t="s">
        <v>70</v>
      </c>
      <c r="E1873" t="s">
        <v>20</v>
      </c>
      <c r="F1873" t="s">
        <v>21</v>
      </c>
      <c r="G1873" t="s">
        <v>98</v>
      </c>
      <c r="H1873" t="s">
        <v>38</v>
      </c>
      <c r="I1873" t="s">
        <v>175</v>
      </c>
      <c r="J1873">
        <v>16</v>
      </c>
      <c r="K1873">
        <v>7555.96</v>
      </c>
      <c r="L1873">
        <v>120895.36</v>
      </c>
      <c r="M1873">
        <v>22691.55</v>
      </c>
      <c r="N1873">
        <v>4543.2</v>
      </c>
      <c r="O1873">
        <v>93660.61</v>
      </c>
      <c r="P1873" t="s">
        <v>73</v>
      </c>
      <c r="Q1873" t="s">
        <v>32</v>
      </c>
    </row>
    <row r="1874" spans="1:17" x14ac:dyDescent="0.25">
      <c r="A1874" t="s">
        <v>1991</v>
      </c>
      <c r="B1874" s="1">
        <v>46039</v>
      </c>
      <c r="C1874" t="s">
        <v>54</v>
      </c>
      <c r="D1874" t="s">
        <v>133</v>
      </c>
      <c r="E1874" t="s">
        <v>35</v>
      </c>
      <c r="F1874" t="s">
        <v>62</v>
      </c>
      <c r="G1874" t="s">
        <v>22</v>
      </c>
      <c r="H1874" t="s">
        <v>38</v>
      </c>
      <c r="I1874" t="s">
        <v>82</v>
      </c>
      <c r="J1874">
        <v>27</v>
      </c>
      <c r="K1874">
        <v>11903.8</v>
      </c>
      <c r="L1874">
        <v>321402.59999999998</v>
      </c>
      <c r="M1874">
        <v>6117.75</v>
      </c>
      <c r="N1874">
        <v>31279.34</v>
      </c>
      <c r="O1874">
        <v>284005.51</v>
      </c>
      <c r="P1874" t="s">
        <v>32</v>
      </c>
      <c r="Q1874" t="s">
        <v>32</v>
      </c>
    </row>
    <row r="1875" spans="1:17" x14ac:dyDescent="0.25">
      <c r="A1875" t="s">
        <v>1992</v>
      </c>
      <c r="B1875" s="1">
        <v>46026</v>
      </c>
      <c r="C1875" t="s">
        <v>18</v>
      </c>
      <c r="D1875" t="s">
        <v>75</v>
      </c>
      <c r="E1875" t="s">
        <v>35</v>
      </c>
      <c r="F1875" t="s">
        <v>84</v>
      </c>
      <c r="G1875" t="s">
        <v>29</v>
      </c>
      <c r="H1875" t="s">
        <v>23</v>
      </c>
      <c r="I1875" t="s">
        <v>24</v>
      </c>
      <c r="J1875">
        <v>46</v>
      </c>
      <c r="K1875">
        <v>4726.49</v>
      </c>
      <c r="L1875">
        <v>217418.54</v>
      </c>
      <c r="M1875">
        <v>0</v>
      </c>
      <c r="N1875">
        <v>0</v>
      </c>
      <c r="O1875">
        <v>217418.54</v>
      </c>
      <c r="P1875" t="s">
        <v>73</v>
      </c>
      <c r="Q1875" t="s">
        <v>32</v>
      </c>
    </row>
    <row r="1876" spans="1:17" x14ac:dyDescent="0.25">
      <c r="A1876" t="s">
        <v>1993</v>
      </c>
      <c r="B1876" s="1">
        <v>45955</v>
      </c>
      <c r="C1876" t="s">
        <v>18</v>
      </c>
      <c r="D1876" t="s">
        <v>28</v>
      </c>
      <c r="E1876" t="s">
        <v>20</v>
      </c>
      <c r="F1876" t="s">
        <v>105</v>
      </c>
      <c r="G1876" t="s">
        <v>89</v>
      </c>
      <c r="H1876" t="s">
        <v>44</v>
      </c>
      <c r="I1876" t="s">
        <v>124</v>
      </c>
      <c r="J1876">
        <v>28</v>
      </c>
      <c r="K1876">
        <v>23996.79</v>
      </c>
      <c r="L1876">
        <v>671910.12</v>
      </c>
      <c r="M1876">
        <v>67340.820000000007</v>
      </c>
      <c r="N1876">
        <v>0</v>
      </c>
      <c r="O1876">
        <v>604569.30000000005</v>
      </c>
      <c r="P1876" t="s">
        <v>73</v>
      </c>
      <c r="Q1876" t="s">
        <v>32</v>
      </c>
    </row>
    <row r="1877" spans="1:17" x14ac:dyDescent="0.25">
      <c r="A1877" t="s">
        <v>1994</v>
      </c>
      <c r="B1877" s="1">
        <v>46043</v>
      </c>
      <c r="C1877" t="s">
        <v>18</v>
      </c>
      <c r="D1877" t="s">
        <v>34</v>
      </c>
      <c r="E1877" t="s">
        <v>41</v>
      </c>
      <c r="F1877" t="s">
        <v>105</v>
      </c>
      <c r="G1877" t="s">
        <v>56</v>
      </c>
      <c r="H1877" t="s">
        <v>57</v>
      </c>
      <c r="I1877" t="s">
        <v>58</v>
      </c>
      <c r="J1877">
        <v>42</v>
      </c>
      <c r="K1877">
        <v>18465.03</v>
      </c>
      <c r="L1877">
        <v>775531.26</v>
      </c>
      <c r="M1877">
        <v>136687.94</v>
      </c>
      <c r="N1877">
        <v>0</v>
      </c>
      <c r="O1877">
        <v>638843.31999999995</v>
      </c>
      <c r="P1877" t="s">
        <v>73</v>
      </c>
      <c r="Q1877" t="s">
        <v>26</v>
      </c>
    </row>
    <row r="1878" spans="1:17" x14ac:dyDescent="0.25">
      <c r="A1878" t="s">
        <v>1995</v>
      </c>
      <c r="B1878" s="1">
        <v>45967</v>
      </c>
      <c r="C1878" t="s">
        <v>18</v>
      </c>
      <c r="D1878" t="s">
        <v>19</v>
      </c>
      <c r="E1878" t="s">
        <v>35</v>
      </c>
      <c r="F1878" t="s">
        <v>105</v>
      </c>
      <c r="G1878" t="s">
        <v>102</v>
      </c>
      <c r="H1878" t="s">
        <v>38</v>
      </c>
      <c r="I1878" t="s">
        <v>86</v>
      </c>
      <c r="J1878">
        <v>33</v>
      </c>
      <c r="K1878">
        <v>20617.96</v>
      </c>
      <c r="L1878">
        <v>680392.68</v>
      </c>
      <c r="M1878">
        <v>0</v>
      </c>
      <c r="N1878">
        <v>0</v>
      </c>
      <c r="O1878">
        <v>680392.68</v>
      </c>
      <c r="P1878" t="s">
        <v>25</v>
      </c>
      <c r="Q1878" t="s">
        <v>26</v>
      </c>
    </row>
    <row r="1879" spans="1:17" x14ac:dyDescent="0.25">
      <c r="A1879" t="s">
        <v>1996</v>
      </c>
      <c r="B1879" s="1">
        <v>46026</v>
      </c>
      <c r="C1879" t="s">
        <v>54</v>
      </c>
      <c r="D1879" t="s">
        <v>70</v>
      </c>
      <c r="E1879" t="s">
        <v>20</v>
      </c>
      <c r="F1879" t="s">
        <v>21</v>
      </c>
      <c r="G1879" t="s">
        <v>56</v>
      </c>
      <c r="H1879" t="s">
        <v>57</v>
      </c>
      <c r="I1879" t="s">
        <v>58</v>
      </c>
      <c r="J1879">
        <v>10</v>
      </c>
      <c r="K1879">
        <v>946.47</v>
      </c>
      <c r="L1879">
        <v>9464.7000000000007</v>
      </c>
      <c r="M1879">
        <v>1491.5</v>
      </c>
      <c r="N1879">
        <v>0</v>
      </c>
      <c r="O1879">
        <v>7973.2</v>
      </c>
      <c r="P1879" t="s">
        <v>31</v>
      </c>
      <c r="Q1879" t="s">
        <v>32</v>
      </c>
    </row>
    <row r="1880" spans="1:17" x14ac:dyDescent="0.25">
      <c r="A1880" t="s">
        <v>1997</v>
      </c>
      <c r="B1880" s="1">
        <v>45972</v>
      </c>
      <c r="C1880" t="s">
        <v>60</v>
      </c>
      <c r="D1880" t="s">
        <v>123</v>
      </c>
      <c r="E1880" t="s">
        <v>41</v>
      </c>
      <c r="F1880" t="s">
        <v>50</v>
      </c>
      <c r="G1880" t="s">
        <v>66</v>
      </c>
      <c r="H1880" t="s">
        <v>57</v>
      </c>
      <c r="I1880" t="s">
        <v>118</v>
      </c>
      <c r="J1880">
        <v>38</v>
      </c>
      <c r="K1880">
        <v>17819.57</v>
      </c>
      <c r="L1880">
        <v>677143.66</v>
      </c>
      <c r="M1880">
        <v>50342.6</v>
      </c>
      <c r="N1880">
        <v>0</v>
      </c>
      <c r="O1880">
        <v>626801.06000000006</v>
      </c>
      <c r="P1880" t="s">
        <v>32</v>
      </c>
      <c r="Q1880" t="s">
        <v>32</v>
      </c>
    </row>
    <row r="1881" spans="1:17" x14ac:dyDescent="0.25">
      <c r="A1881" t="s">
        <v>1998</v>
      </c>
      <c r="B1881" s="1">
        <v>46026</v>
      </c>
      <c r="C1881" t="s">
        <v>54</v>
      </c>
      <c r="D1881" t="s">
        <v>97</v>
      </c>
      <c r="E1881" t="s">
        <v>20</v>
      </c>
      <c r="F1881" t="s">
        <v>71</v>
      </c>
      <c r="G1881" t="s">
        <v>37</v>
      </c>
      <c r="H1881" t="s">
        <v>57</v>
      </c>
      <c r="I1881" t="s">
        <v>148</v>
      </c>
      <c r="J1881">
        <v>20</v>
      </c>
      <c r="K1881">
        <v>9077.1200000000008</v>
      </c>
      <c r="L1881">
        <v>181542.39999999999</v>
      </c>
      <c r="M1881">
        <v>0</v>
      </c>
      <c r="N1881">
        <v>0</v>
      </c>
      <c r="O1881">
        <v>181542.39999999999</v>
      </c>
      <c r="P1881" t="s">
        <v>32</v>
      </c>
      <c r="Q1881" t="s">
        <v>26</v>
      </c>
    </row>
    <row r="1882" spans="1:17" x14ac:dyDescent="0.25">
      <c r="A1882" t="s">
        <v>1999</v>
      </c>
      <c r="B1882" s="1">
        <v>46039</v>
      </c>
      <c r="C1882" t="s">
        <v>47</v>
      </c>
      <c r="D1882" t="s">
        <v>88</v>
      </c>
      <c r="E1882" t="s">
        <v>35</v>
      </c>
      <c r="F1882" t="s">
        <v>36</v>
      </c>
      <c r="G1882" t="s">
        <v>138</v>
      </c>
      <c r="H1882" t="s">
        <v>67</v>
      </c>
      <c r="I1882" t="s">
        <v>68</v>
      </c>
      <c r="J1882">
        <v>12</v>
      </c>
      <c r="K1882">
        <v>27881.42</v>
      </c>
      <c r="L1882">
        <v>334577.03999999998</v>
      </c>
      <c r="M1882">
        <v>23227.52</v>
      </c>
      <c r="N1882">
        <v>0</v>
      </c>
      <c r="O1882">
        <v>311349.52</v>
      </c>
      <c r="P1882" t="s">
        <v>25</v>
      </c>
      <c r="Q1882" t="s">
        <v>128</v>
      </c>
    </row>
    <row r="1883" spans="1:17" x14ac:dyDescent="0.25">
      <c r="A1883" t="s">
        <v>2000</v>
      </c>
      <c r="B1883" s="1">
        <v>45974</v>
      </c>
      <c r="C1883" t="s">
        <v>54</v>
      </c>
      <c r="D1883" t="s">
        <v>97</v>
      </c>
      <c r="E1883" t="s">
        <v>49</v>
      </c>
      <c r="F1883" t="s">
        <v>21</v>
      </c>
      <c r="G1883" t="s">
        <v>51</v>
      </c>
      <c r="H1883" t="s">
        <v>57</v>
      </c>
      <c r="I1883" t="s">
        <v>148</v>
      </c>
      <c r="J1883">
        <v>13</v>
      </c>
      <c r="K1883">
        <v>47414.49</v>
      </c>
      <c r="L1883">
        <v>616388.37</v>
      </c>
      <c r="M1883">
        <v>1410.62</v>
      </c>
      <c r="N1883">
        <v>0</v>
      </c>
      <c r="O1883">
        <v>614977.75</v>
      </c>
      <c r="P1883" t="s">
        <v>73</v>
      </c>
      <c r="Q1883" t="s">
        <v>26</v>
      </c>
    </row>
    <row r="1884" spans="1:17" x14ac:dyDescent="0.25">
      <c r="A1884" t="s">
        <v>2001</v>
      </c>
      <c r="B1884" s="1">
        <v>46015</v>
      </c>
      <c r="C1884" t="s">
        <v>79</v>
      </c>
      <c r="D1884" t="s">
        <v>91</v>
      </c>
      <c r="E1884" t="s">
        <v>41</v>
      </c>
      <c r="F1884" t="s">
        <v>62</v>
      </c>
      <c r="G1884" t="s">
        <v>102</v>
      </c>
      <c r="H1884" t="s">
        <v>94</v>
      </c>
      <c r="I1884" t="s">
        <v>115</v>
      </c>
      <c r="J1884">
        <v>6</v>
      </c>
      <c r="K1884">
        <v>29577.119999999999</v>
      </c>
      <c r="L1884">
        <v>177462.72</v>
      </c>
      <c r="M1884">
        <v>0</v>
      </c>
      <c r="N1884">
        <v>0</v>
      </c>
      <c r="O1884">
        <v>177462.72</v>
      </c>
      <c r="P1884" t="s">
        <v>25</v>
      </c>
      <c r="Q1884" t="s">
        <v>26</v>
      </c>
    </row>
    <row r="1885" spans="1:17" x14ac:dyDescent="0.25">
      <c r="A1885" t="s">
        <v>2002</v>
      </c>
      <c r="B1885" s="1">
        <v>45992</v>
      </c>
      <c r="C1885" t="s">
        <v>79</v>
      </c>
      <c r="D1885" t="s">
        <v>80</v>
      </c>
      <c r="E1885" t="s">
        <v>20</v>
      </c>
      <c r="F1885" t="s">
        <v>84</v>
      </c>
      <c r="G1885" t="s">
        <v>102</v>
      </c>
      <c r="H1885" t="s">
        <v>44</v>
      </c>
      <c r="I1885" t="s">
        <v>124</v>
      </c>
      <c r="J1885">
        <v>8</v>
      </c>
      <c r="K1885">
        <v>10586.06</v>
      </c>
      <c r="L1885">
        <v>84688.48</v>
      </c>
      <c r="M1885">
        <v>0</v>
      </c>
      <c r="N1885">
        <v>2440.71</v>
      </c>
      <c r="O1885">
        <v>82247.77</v>
      </c>
      <c r="P1885" t="s">
        <v>25</v>
      </c>
      <c r="Q1885" t="s">
        <v>26</v>
      </c>
    </row>
    <row r="1886" spans="1:17" x14ac:dyDescent="0.25">
      <c r="A1886" t="s">
        <v>2003</v>
      </c>
      <c r="B1886" s="1">
        <v>46020</v>
      </c>
      <c r="C1886" t="s">
        <v>54</v>
      </c>
      <c r="D1886" t="s">
        <v>97</v>
      </c>
      <c r="E1886" t="s">
        <v>35</v>
      </c>
      <c r="F1886" t="s">
        <v>105</v>
      </c>
      <c r="G1886" t="s">
        <v>43</v>
      </c>
      <c r="H1886" t="s">
        <v>23</v>
      </c>
      <c r="I1886" t="s">
        <v>52</v>
      </c>
      <c r="J1886">
        <v>41</v>
      </c>
      <c r="K1886">
        <v>29963.21</v>
      </c>
      <c r="L1886">
        <v>1228491.6100000001</v>
      </c>
      <c r="M1886">
        <v>144817.19</v>
      </c>
      <c r="N1886">
        <v>0</v>
      </c>
      <c r="O1886">
        <v>1083674.42</v>
      </c>
      <c r="P1886" t="s">
        <v>31</v>
      </c>
      <c r="Q1886" t="s">
        <v>32</v>
      </c>
    </row>
    <row r="1887" spans="1:17" x14ac:dyDescent="0.25">
      <c r="A1887" t="s">
        <v>2004</v>
      </c>
      <c r="B1887" s="1">
        <v>46035</v>
      </c>
      <c r="C1887" t="s">
        <v>54</v>
      </c>
      <c r="D1887" t="s">
        <v>55</v>
      </c>
      <c r="E1887" t="s">
        <v>41</v>
      </c>
      <c r="F1887" t="s">
        <v>42</v>
      </c>
      <c r="G1887" t="s">
        <v>66</v>
      </c>
      <c r="H1887" t="s">
        <v>23</v>
      </c>
      <c r="I1887" t="s">
        <v>99</v>
      </c>
      <c r="J1887">
        <v>29</v>
      </c>
      <c r="K1887">
        <v>697.17</v>
      </c>
      <c r="L1887">
        <v>20217.93</v>
      </c>
      <c r="M1887">
        <v>1889.96</v>
      </c>
      <c r="N1887">
        <v>1429.21</v>
      </c>
      <c r="O1887">
        <v>16898.759999999998</v>
      </c>
      <c r="P1887" t="s">
        <v>25</v>
      </c>
      <c r="Q1887" t="s">
        <v>26</v>
      </c>
    </row>
    <row r="1888" spans="1:17" x14ac:dyDescent="0.25">
      <c r="A1888" t="s">
        <v>2005</v>
      </c>
      <c r="B1888" s="1">
        <v>45997</v>
      </c>
      <c r="C1888" t="s">
        <v>54</v>
      </c>
      <c r="D1888" t="s">
        <v>97</v>
      </c>
      <c r="E1888" t="s">
        <v>35</v>
      </c>
      <c r="F1888" t="s">
        <v>50</v>
      </c>
      <c r="G1888" t="s">
        <v>43</v>
      </c>
      <c r="H1888" t="s">
        <v>23</v>
      </c>
      <c r="I1888" t="s">
        <v>99</v>
      </c>
      <c r="J1888">
        <v>22</v>
      </c>
      <c r="K1888">
        <v>31052.7</v>
      </c>
      <c r="L1888">
        <v>683159.4</v>
      </c>
      <c r="M1888">
        <v>116790.05</v>
      </c>
      <c r="N1888">
        <v>0</v>
      </c>
      <c r="O1888">
        <v>566369.35</v>
      </c>
      <c r="P1888" t="s">
        <v>25</v>
      </c>
      <c r="Q1888" t="s">
        <v>26</v>
      </c>
    </row>
    <row r="1889" spans="1:17" x14ac:dyDescent="0.25">
      <c r="A1889" t="s">
        <v>2006</v>
      </c>
      <c r="B1889" s="1">
        <v>46011</v>
      </c>
      <c r="C1889" t="s">
        <v>60</v>
      </c>
      <c r="D1889" t="s">
        <v>151</v>
      </c>
      <c r="E1889" t="s">
        <v>41</v>
      </c>
      <c r="F1889" t="s">
        <v>50</v>
      </c>
      <c r="G1889" t="s">
        <v>102</v>
      </c>
      <c r="H1889" t="s">
        <v>94</v>
      </c>
      <c r="I1889" t="s">
        <v>163</v>
      </c>
      <c r="J1889">
        <v>4</v>
      </c>
      <c r="K1889">
        <v>49359.78</v>
      </c>
      <c r="L1889">
        <v>197439.12</v>
      </c>
      <c r="M1889">
        <v>7978.27</v>
      </c>
      <c r="N1889">
        <v>0</v>
      </c>
      <c r="O1889">
        <v>189460.85</v>
      </c>
      <c r="P1889" t="s">
        <v>73</v>
      </c>
      <c r="Q1889" t="s">
        <v>32</v>
      </c>
    </row>
    <row r="1890" spans="1:17" x14ac:dyDescent="0.25">
      <c r="A1890" t="s">
        <v>2007</v>
      </c>
      <c r="B1890" s="1">
        <v>46044</v>
      </c>
      <c r="C1890" t="s">
        <v>60</v>
      </c>
      <c r="D1890" t="s">
        <v>151</v>
      </c>
      <c r="E1890" t="s">
        <v>20</v>
      </c>
      <c r="F1890" t="s">
        <v>42</v>
      </c>
      <c r="G1890" t="s">
        <v>98</v>
      </c>
      <c r="H1890" t="s">
        <v>94</v>
      </c>
      <c r="I1890" t="s">
        <v>144</v>
      </c>
      <c r="J1890">
        <v>28</v>
      </c>
      <c r="K1890">
        <v>25205.53</v>
      </c>
      <c r="L1890">
        <v>705754.84</v>
      </c>
      <c r="M1890">
        <v>0</v>
      </c>
      <c r="N1890">
        <v>0</v>
      </c>
      <c r="O1890">
        <v>705754.84</v>
      </c>
      <c r="P1890" t="s">
        <v>31</v>
      </c>
      <c r="Q1890" t="s">
        <v>32</v>
      </c>
    </row>
    <row r="1891" spans="1:17" x14ac:dyDescent="0.25">
      <c r="A1891" t="s">
        <v>2008</v>
      </c>
      <c r="B1891" s="1">
        <v>46027</v>
      </c>
      <c r="C1891" t="s">
        <v>54</v>
      </c>
      <c r="D1891" t="s">
        <v>133</v>
      </c>
      <c r="E1891" t="s">
        <v>41</v>
      </c>
      <c r="F1891" t="s">
        <v>105</v>
      </c>
      <c r="G1891" t="s">
        <v>89</v>
      </c>
      <c r="H1891" t="s">
        <v>44</v>
      </c>
      <c r="I1891" t="s">
        <v>152</v>
      </c>
      <c r="J1891">
        <v>20</v>
      </c>
      <c r="K1891">
        <v>3021.61</v>
      </c>
      <c r="L1891">
        <v>60432.2</v>
      </c>
      <c r="M1891">
        <v>5605.8</v>
      </c>
      <c r="N1891">
        <v>0</v>
      </c>
      <c r="O1891">
        <v>54826.400000000001</v>
      </c>
      <c r="P1891" t="s">
        <v>73</v>
      </c>
      <c r="Q1891" t="s">
        <v>32</v>
      </c>
    </row>
    <row r="1892" spans="1:17" x14ac:dyDescent="0.25">
      <c r="A1892" t="s">
        <v>2009</v>
      </c>
      <c r="B1892" s="1">
        <v>45965</v>
      </c>
      <c r="C1892" t="s">
        <v>79</v>
      </c>
      <c r="D1892" t="s">
        <v>107</v>
      </c>
      <c r="E1892" t="s">
        <v>35</v>
      </c>
      <c r="F1892" t="s">
        <v>71</v>
      </c>
      <c r="G1892" t="s">
        <v>89</v>
      </c>
      <c r="H1892" t="s">
        <v>38</v>
      </c>
      <c r="I1892" t="s">
        <v>86</v>
      </c>
      <c r="J1892">
        <v>9</v>
      </c>
      <c r="K1892">
        <v>6736.01</v>
      </c>
      <c r="L1892">
        <v>60624.09</v>
      </c>
      <c r="M1892">
        <v>11163.42</v>
      </c>
      <c r="N1892">
        <v>0</v>
      </c>
      <c r="O1892">
        <v>49460.67</v>
      </c>
      <c r="P1892" t="s">
        <v>73</v>
      </c>
      <c r="Q1892" t="s">
        <v>32</v>
      </c>
    </row>
    <row r="1893" spans="1:17" x14ac:dyDescent="0.25">
      <c r="A1893" t="s">
        <v>2010</v>
      </c>
      <c r="B1893" s="1">
        <v>46014</v>
      </c>
      <c r="C1893" t="s">
        <v>18</v>
      </c>
      <c r="D1893" t="s">
        <v>75</v>
      </c>
      <c r="E1893" t="s">
        <v>20</v>
      </c>
      <c r="F1893" t="s">
        <v>71</v>
      </c>
      <c r="G1893" t="s">
        <v>37</v>
      </c>
      <c r="H1893" t="s">
        <v>38</v>
      </c>
      <c r="I1893" t="s">
        <v>86</v>
      </c>
      <c r="J1893">
        <v>16</v>
      </c>
      <c r="K1893">
        <v>42831.22</v>
      </c>
      <c r="L1893">
        <v>685299.52</v>
      </c>
      <c r="M1893">
        <v>0</v>
      </c>
      <c r="N1893">
        <v>0</v>
      </c>
      <c r="O1893">
        <v>685299.52</v>
      </c>
      <c r="P1893" t="s">
        <v>31</v>
      </c>
      <c r="Q1893" t="s">
        <v>32</v>
      </c>
    </row>
    <row r="1894" spans="1:17" x14ac:dyDescent="0.25">
      <c r="A1894" t="s">
        <v>2011</v>
      </c>
      <c r="B1894" s="1">
        <v>46040</v>
      </c>
      <c r="C1894" t="s">
        <v>47</v>
      </c>
      <c r="D1894" t="s">
        <v>88</v>
      </c>
      <c r="E1894" t="s">
        <v>41</v>
      </c>
      <c r="F1894" t="s">
        <v>21</v>
      </c>
      <c r="G1894" t="s">
        <v>140</v>
      </c>
      <c r="H1894" t="s">
        <v>67</v>
      </c>
      <c r="I1894" t="s">
        <v>103</v>
      </c>
      <c r="J1894">
        <v>16</v>
      </c>
      <c r="K1894">
        <v>13280.84</v>
      </c>
      <c r="L1894">
        <v>212493.44</v>
      </c>
      <c r="M1894">
        <v>0</v>
      </c>
      <c r="N1894">
        <v>0</v>
      </c>
      <c r="O1894">
        <v>212493.44</v>
      </c>
      <c r="P1894" t="s">
        <v>25</v>
      </c>
      <c r="Q1894" t="s">
        <v>26</v>
      </c>
    </row>
    <row r="1895" spans="1:17" x14ac:dyDescent="0.25">
      <c r="A1895" t="s">
        <v>2012</v>
      </c>
      <c r="B1895" s="1">
        <v>46039</v>
      </c>
      <c r="C1895" t="s">
        <v>79</v>
      </c>
      <c r="D1895" t="s">
        <v>101</v>
      </c>
      <c r="E1895" t="s">
        <v>35</v>
      </c>
      <c r="F1895" t="s">
        <v>84</v>
      </c>
      <c r="G1895" t="s">
        <v>102</v>
      </c>
      <c r="H1895" t="s">
        <v>67</v>
      </c>
      <c r="I1895" t="s">
        <v>201</v>
      </c>
      <c r="J1895">
        <v>25</v>
      </c>
      <c r="K1895">
        <v>38837.67</v>
      </c>
      <c r="L1895">
        <v>970941.75</v>
      </c>
      <c r="M1895">
        <v>143647.69</v>
      </c>
      <c r="N1895">
        <v>0</v>
      </c>
      <c r="O1895">
        <v>827294.06</v>
      </c>
      <c r="P1895" t="s">
        <v>32</v>
      </c>
      <c r="Q1895" t="s">
        <v>26</v>
      </c>
    </row>
    <row r="1896" spans="1:17" x14ac:dyDescent="0.25">
      <c r="A1896" t="s">
        <v>2013</v>
      </c>
      <c r="B1896" s="1">
        <v>45987</v>
      </c>
      <c r="C1896" t="s">
        <v>47</v>
      </c>
      <c r="D1896" t="s">
        <v>127</v>
      </c>
      <c r="E1896" t="s">
        <v>35</v>
      </c>
      <c r="F1896" t="s">
        <v>50</v>
      </c>
      <c r="G1896" t="s">
        <v>51</v>
      </c>
      <c r="H1896" t="s">
        <v>23</v>
      </c>
      <c r="I1896" t="s">
        <v>99</v>
      </c>
      <c r="J1896">
        <v>11</v>
      </c>
      <c r="K1896">
        <v>10589.03</v>
      </c>
      <c r="L1896">
        <v>116479.33</v>
      </c>
      <c r="M1896">
        <v>3488.09</v>
      </c>
      <c r="N1896">
        <v>1041.81</v>
      </c>
      <c r="O1896">
        <v>111949.43</v>
      </c>
      <c r="P1896" t="s">
        <v>32</v>
      </c>
      <c r="Q1896" t="s">
        <v>26</v>
      </c>
    </row>
    <row r="1897" spans="1:17" x14ac:dyDescent="0.25">
      <c r="A1897" t="s">
        <v>2014</v>
      </c>
      <c r="B1897" s="1">
        <v>46026</v>
      </c>
      <c r="C1897" t="s">
        <v>47</v>
      </c>
      <c r="D1897" t="s">
        <v>48</v>
      </c>
      <c r="E1897" t="s">
        <v>49</v>
      </c>
      <c r="F1897" t="s">
        <v>112</v>
      </c>
      <c r="G1897" t="s">
        <v>43</v>
      </c>
      <c r="H1897" t="s">
        <v>38</v>
      </c>
      <c r="I1897" t="s">
        <v>120</v>
      </c>
      <c r="J1897">
        <v>36</v>
      </c>
      <c r="K1897">
        <v>8761.27</v>
      </c>
      <c r="L1897">
        <v>315405.71999999997</v>
      </c>
      <c r="M1897">
        <v>24532.15</v>
      </c>
      <c r="N1897">
        <v>0</v>
      </c>
      <c r="O1897">
        <v>290873.57</v>
      </c>
      <c r="P1897" t="s">
        <v>73</v>
      </c>
      <c r="Q1897" t="s">
        <v>32</v>
      </c>
    </row>
    <row r="1898" spans="1:17" x14ac:dyDescent="0.25">
      <c r="A1898" t="s">
        <v>2015</v>
      </c>
      <c r="B1898" s="1">
        <v>45991</v>
      </c>
      <c r="C1898" t="s">
        <v>47</v>
      </c>
      <c r="D1898" t="s">
        <v>127</v>
      </c>
      <c r="E1898" t="s">
        <v>49</v>
      </c>
      <c r="F1898" t="s">
        <v>105</v>
      </c>
      <c r="G1898" t="s">
        <v>98</v>
      </c>
      <c r="H1898" t="s">
        <v>67</v>
      </c>
      <c r="I1898" t="s">
        <v>68</v>
      </c>
      <c r="J1898">
        <v>37</v>
      </c>
      <c r="K1898">
        <v>2849.19</v>
      </c>
      <c r="L1898">
        <v>105420.03</v>
      </c>
      <c r="M1898">
        <v>10459.18</v>
      </c>
      <c r="N1898">
        <v>0</v>
      </c>
      <c r="O1898">
        <v>94960.85</v>
      </c>
      <c r="P1898" t="s">
        <v>31</v>
      </c>
      <c r="Q1898" t="s">
        <v>32</v>
      </c>
    </row>
    <row r="1899" spans="1:17" x14ac:dyDescent="0.25">
      <c r="A1899" t="s">
        <v>2016</v>
      </c>
      <c r="B1899" s="1">
        <v>46036</v>
      </c>
      <c r="C1899" t="s">
        <v>18</v>
      </c>
      <c r="D1899" t="s">
        <v>75</v>
      </c>
      <c r="E1899" t="s">
        <v>41</v>
      </c>
      <c r="F1899" t="s">
        <v>105</v>
      </c>
      <c r="G1899" t="s">
        <v>140</v>
      </c>
      <c r="H1899" t="s">
        <v>38</v>
      </c>
      <c r="I1899" t="s">
        <v>82</v>
      </c>
      <c r="J1899">
        <v>43</v>
      </c>
      <c r="K1899">
        <v>2979.72</v>
      </c>
      <c r="L1899">
        <v>128127.96</v>
      </c>
      <c r="M1899">
        <v>10443.780000000001</v>
      </c>
      <c r="N1899">
        <v>0</v>
      </c>
      <c r="O1899">
        <v>117684.18</v>
      </c>
      <c r="P1899" t="s">
        <v>32</v>
      </c>
      <c r="Q1899" t="s">
        <v>26</v>
      </c>
    </row>
    <row r="1900" spans="1:17" x14ac:dyDescent="0.25">
      <c r="A1900" t="s">
        <v>2017</v>
      </c>
      <c r="B1900" s="1">
        <v>46029</v>
      </c>
      <c r="C1900" t="s">
        <v>47</v>
      </c>
      <c r="D1900" t="s">
        <v>88</v>
      </c>
      <c r="E1900" t="s">
        <v>20</v>
      </c>
      <c r="F1900" t="s">
        <v>42</v>
      </c>
      <c r="G1900" t="s">
        <v>37</v>
      </c>
      <c r="H1900" t="s">
        <v>23</v>
      </c>
      <c r="I1900" t="s">
        <v>131</v>
      </c>
      <c r="J1900">
        <v>37</v>
      </c>
      <c r="K1900">
        <v>16660.22</v>
      </c>
      <c r="L1900">
        <v>616428.14</v>
      </c>
      <c r="M1900">
        <v>6089.19</v>
      </c>
      <c r="N1900">
        <v>0</v>
      </c>
      <c r="O1900">
        <v>610338.94999999995</v>
      </c>
      <c r="P1900" t="s">
        <v>32</v>
      </c>
      <c r="Q1900" t="s">
        <v>26</v>
      </c>
    </row>
    <row r="1901" spans="1:17" x14ac:dyDescent="0.25">
      <c r="A1901" t="s">
        <v>2018</v>
      </c>
      <c r="B1901" s="1">
        <v>45963</v>
      </c>
      <c r="C1901" t="s">
        <v>54</v>
      </c>
      <c r="D1901" t="s">
        <v>70</v>
      </c>
      <c r="E1901" t="s">
        <v>41</v>
      </c>
      <c r="F1901" t="s">
        <v>62</v>
      </c>
      <c r="G1901" t="s">
        <v>138</v>
      </c>
      <c r="H1901" t="s">
        <v>67</v>
      </c>
      <c r="I1901" t="s">
        <v>154</v>
      </c>
      <c r="J1901">
        <v>47</v>
      </c>
      <c r="K1901">
        <v>14837.96</v>
      </c>
      <c r="L1901">
        <v>697384.12</v>
      </c>
      <c r="M1901">
        <v>0</v>
      </c>
      <c r="N1901">
        <v>0</v>
      </c>
      <c r="O1901">
        <v>697384.12</v>
      </c>
      <c r="P1901" t="s">
        <v>32</v>
      </c>
      <c r="Q1901" t="s">
        <v>32</v>
      </c>
    </row>
    <row r="1902" spans="1:17" x14ac:dyDescent="0.25">
      <c r="A1902" t="s">
        <v>2019</v>
      </c>
      <c r="B1902" s="1">
        <v>45966</v>
      </c>
      <c r="C1902" t="s">
        <v>54</v>
      </c>
      <c r="D1902" t="s">
        <v>97</v>
      </c>
      <c r="E1902" t="s">
        <v>49</v>
      </c>
      <c r="F1902" t="s">
        <v>42</v>
      </c>
      <c r="G1902" t="s">
        <v>37</v>
      </c>
      <c r="H1902" t="s">
        <v>38</v>
      </c>
      <c r="I1902" t="s">
        <v>120</v>
      </c>
      <c r="J1902">
        <v>48</v>
      </c>
      <c r="K1902">
        <v>46937.95</v>
      </c>
      <c r="L1902">
        <v>2253021.6</v>
      </c>
      <c r="M1902">
        <v>0</v>
      </c>
      <c r="N1902">
        <v>0</v>
      </c>
      <c r="O1902">
        <v>2253021.6</v>
      </c>
      <c r="P1902" t="s">
        <v>73</v>
      </c>
      <c r="Q1902" t="s">
        <v>26</v>
      </c>
    </row>
    <row r="1903" spans="1:17" x14ac:dyDescent="0.25">
      <c r="A1903" t="s">
        <v>2020</v>
      </c>
      <c r="B1903" s="1">
        <v>45960</v>
      </c>
      <c r="C1903" t="s">
        <v>47</v>
      </c>
      <c r="D1903" t="s">
        <v>48</v>
      </c>
      <c r="E1903" t="s">
        <v>20</v>
      </c>
      <c r="F1903" t="s">
        <v>112</v>
      </c>
      <c r="G1903" t="s">
        <v>29</v>
      </c>
      <c r="H1903" t="s">
        <v>57</v>
      </c>
      <c r="I1903" t="s">
        <v>72</v>
      </c>
      <c r="J1903">
        <v>15</v>
      </c>
      <c r="K1903">
        <v>37770.36</v>
      </c>
      <c r="L1903">
        <v>566555.4</v>
      </c>
      <c r="M1903">
        <v>87040.24</v>
      </c>
      <c r="N1903">
        <v>0</v>
      </c>
      <c r="O1903">
        <v>479515.16</v>
      </c>
      <c r="P1903" t="s">
        <v>32</v>
      </c>
      <c r="Q1903" t="s">
        <v>32</v>
      </c>
    </row>
    <row r="1904" spans="1:17" x14ac:dyDescent="0.25">
      <c r="A1904" t="s">
        <v>2021</v>
      </c>
      <c r="B1904" s="1">
        <v>45972</v>
      </c>
      <c r="C1904" t="s">
        <v>54</v>
      </c>
      <c r="D1904" t="s">
        <v>97</v>
      </c>
      <c r="E1904" t="s">
        <v>41</v>
      </c>
      <c r="F1904" t="s">
        <v>50</v>
      </c>
      <c r="G1904" t="s">
        <v>37</v>
      </c>
      <c r="H1904" t="s">
        <v>94</v>
      </c>
      <c r="I1904" t="s">
        <v>144</v>
      </c>
      <c r="J1904">
        <v>3</v>
      </c>
      <c r="K1904">
        <v>29413.86</v>
      </c>
      <c r="L1904">
        <v>88241.58</v>
      </c>
      <c r="M1904">
        <v>8718.59</v>
      </c>
      <c r="N1904">
        <v>0</v>
      </c>
      <c r="O1904">
        <v>79522.990000000005</v>
      </c>
      <c r="P1904" t="s">
        <v>73</v>
      </c>
      <c r="Q1904" t="s">
        <v>26</v>
      </c>
    </row>
    <row r="1905" spans="1:17" x14ac:dyDescent="0.25">
      <c r="A1905" t="s">
        <v>2022</v>
      </c>
      <c r="B1905" s="1">
        <v>45974</v>
      </c>
      <c r="C1905" t="s">
        <v>54</v>
      </c>
      <c r="D1905" t="s">
        <v>97</v>
      </c>
      <c r="E1905" t="s">
        <v>20</v>
      </c>
      <c r="F1905" t="s">
        <v>112</v>
      </c>
      <c r="G1905" t="s">
        <v>140</v>
      </c>
      <c r="H1905" t="s">
        <v>23</v>
      </c>
      <c r="I1905" t="s">
        <v>24</v>
      </c>
      <c r="J1905">
        <v>21</v>
      </c>
      <c r="K1905">
        <v>16082.78</v>
      </c>
      <c r="L1905">
        <v>337738.38</v>
      </c>
      <c r="M1905">
        <v>0</v>
      </c>
      <c r="N1905">
        <v>0</v>
      </c>
      <c r="O1905">
        <v>337738.38</v>
      </c>
      <c r="P1905" t="s">
        <v>25</v>
      </c>
      <c r="Q1905" t="s">
        <v>26</v>
      </c>
    </row>
    <row r="1906" spans="1:17" x14ac:dyDescent="0.25">
      <c r="A1906" t="s">
        <v>2023</v>
      </c>
      <c r="B1906" s="1">
        <v>46038</v>
      </c>
      <c r="C1906" t="s">
        <v>47</v>
      </c>
      <c r="D1906" t="s">
        <v>114</v>
      </c>
      <c r="E1906" t="s">
        <v>41</v>
      </c>
      <c r="F1906" t="s">
        <v>42</v>
      </c>
      <c r="G1906" t="s">
        <v>51</v>
      </c>
      <c r="H1906" t="s">
        <v>57</v>
      </c>
      <c r="I1906" t="s">
        <v>72</v>
      </c>
      <c r="J1906">
        <v>16</v>
      </c>
      <c r="K1906">
        <v>7458.64</v>
      </c>
      <c r="L1906">
        <v>119338.24000000001</v>
      </c>
      <c r="M1906">
        <v>10315.81</v>
      </c>
      <c r="N1906">
        <v>21846.05</v>
      </c>
      <c r="O1906">
        <v>87176.38</v>
      </c>
      <c r="P1906" t="s">
        <v>25</v>
      </c>
      <c r="Q1906" t="s">
        <v>26</v>
      </c>
    </row>
    <row r="1907" spans="1:17" x14ac:dyDescent="0.25">
      <c r="A1907" t="s">
        <v>2024</v>
      </c>
      <c r="B1907" s="1">
        <v>45956</v>
      </c>
      <c r="C1907" t="s">
        <v>18</v>
      </c>
      <c r="D1907" t="s">
        <v>28</v>
      </c>
      <c r="E1907" t="s">
        <v>41</v>
      </c>
      <c r="F1907" t="s">
        <v>21</v>
      </c>
      <c r="G1907" t="s">
        <v>85</v>
      </c>
      <c r="H1907" t="s">
        <v>67</v>
      </c>
      <c r="I1907" t="s">
        <v>154</v>
      </c>
      <c r="J1907">
        <v>13</v>
      </c>
      <c r="K1907">
        <v>35948.07</v>
      </c>
      <c r="L1907">
        <v>467324.91</v>
      </c>
      <c r="M1907">
        <v>24240.74</v>
      </c>
      <c r="N1907">
        <v>0</v>
      </c>
      <c r="O1907">
        <v>443084.17</v>
      </c>
      <c r="P1907" t="s">
        <v>25</v>
      </c>
      <c r="Q1907" t="s">
        <v>128</v>
      </c>
    </row>
    <row r="1908" spans="1:17" x14ac:dyDescent="0.25">
      <c r="A1908" t="s">
        <v>2025</v>
      </c>
      <c r="B1908" s="1">
        <v>46032</v>
      </c>
      <c r="C1908" t="s">
        <v>54</v>
      </c>
      <c r="D1908" t="s">
        <v>133</v>
      </c>
      <c r="E1908" t="s">
        <v>35</v>
      </c>
      <c r="F1908" t="s">
        <v>105</v>
      </c>
      <c r="G1908" t="s">
        <v>98</v>
      </c>
      <c r="H1908" t="s">
        <v>38</v>
      </c>
      <c r="I1908" t="s">
        <v>86</v>
      </c>
      <c r="J1908">
        <v>6</v>
      </c>
      <c r="K1908">
        <v>21976.43</v>
      </c>
      <c r="L1908">
        <v>131858.57999999999</v>
      </c>
      <c r="M1908">
        <v>21433.94</v>
      </c>
      <c r="N1908">
        <v>0</v>
      </c>
      <c r="O1908">
        <v>110424.64</v>
      </c>
      <c r="P1908" t="s">
        <v>73</v>
      </c>
      <c r="Q1908" t="s">
        <v>26</v>
      </c>
    </row>
    <row r="1909" spans="1:17" x14ac:dyDescent="0.25">
      <c r="A1909" t="s">
        <v>2026</v>
      </c>
      <c r="B1909" s="1">
        <v>46035</v>
      </c>
      <c r="C1909" t="s">
        <v>54</v>
      </c>
      <c r="D1909" t="s">
        <v>55</v>
      </c>
      <c r="E1909" t="s">
        <v>20</v>
      </c>
      <c r="F1909" t="s">
        <v>21</v>
      </c>
      <c r="G1909" t="s">
        <v>43</v>
      </c>
      <c r="H1909" t="s">
        <v>67</v>
      </c>
      <c r="I1909" t="s">
        <v>201</v>
      </c>
      <c r="J1909">
        <v>4</v>
      </c>
      <c r="K1909">
        <v>5001.5</v>
      </c>
      <c r="L1909">
        <v>20006</v>
      </c>
      <c r="M1909">
        <v>0</v>
      </c>
      <c r="N1909">
        <v>0</v>
      </c>
      <c r="O1909">
        <v>20006</v>
      </c>
      <c r="P1909" t="s">
        <v>31</v>
      </c>
      <c r="Q1909" t="s">
        <v>32</v>
      </c>
    </row>
    <row r="1910" spans="1:17" x14ac:dyDescent="0.25">
      <c r="A1910" t="s">
        <v>2027</v>
      </c>
      <c r="B1910" s="1">
        <v>46004</v>
      </c>
      <c r="C1910" t="s">
        <v>60</v>
      </c>
      <c r="D1910" t="s">
        <v>123</v>
      </c>
      <c r="E1910" t="s">
        <v>41</v>
      </c>
      <c r="F1910" t="s">
        <v>21</v>
      </c>
      <c r="G1910" t="s">
        <v>98</v>
      </c>
      <c r="H1910" t="s">
        <v>23</v>
      </c>
      <c r="I1910" t="s">
        <v>99</v>
      </c>
      <c r="J1910">
        <v>18</v>
      </c>
      <c r="K1910">
        <v>39124.300000000003</v>
      </c>
      <c r="L1910">
        <v>704237.4</v>
      </c>
      <c r="M1910">
        <v>28154.33</v>
      </c>
      <c r="N1910">
        <v>0</v>
      </c>
      <c r="O1910">
        <v>676083.07</v>
      </c>
      <c r="P1910" t="s">
        <v>31</v>
      </c>
      <c r="Q1910" t="s">
        <v>32</v>
      </c>
    </row>
    <row r="1911" spans="1:17" x14ac:dyDescent="0.25">
      <c r="A1911" t="s">
        <v>2028</v>
      </c>
      <c r="B1911" s="1">
        <v>46037</v>
      </c>
      <c r="C1911" t="s">
        <v>60</v>
      </c>
      <c r="D1911" t="s">
        <v>61</v>
      </c>
      <c r="E1911" t="s">
        <v>41</v>
      </c>
      <c r="F1911" t="s">
        <v>62</v>
      </c>
      <c r="G1911" t="s">
        <v>102</v>
      </c>
      <c r="H1911" t="s">
        <v>38</v>
      </c>
      <c r="I1911" t="s">
        <v>82</v>
      </c>
      <c r="J1911">
        <v>46</v>
      </c>
      <c r="K1911">
        <v>17445.22</v>
      </c>
      <c r="L1911">
        <v>802480.12</v>
      </c>
      <c r="M1911">
        <v>0</v>
      </c>
      <c r="N1911">
        <v>0</v>
      </c>
      <c r="O1911">
        <v>802480.12</v>
      </c>
      <c r="P1911" t="s">
        <v>73</v>
      </c>
      <c r="Q1911" t="s">
        <v>26</v>
      </c>
    </row>
    <row r="1912" spans="1:17" x14ac:dyDescent="0.25">
      <c r="A1912" t="s">
        <v>2029</v>
      </c>
      <c r="B1912" s="1">
        <v>45974</v>
      </c>
      <c r="C1912" t="s">
        <v>79</v>
      </c>
      <c r="D1912" t="s">
        <v>101</v>
      </c>
      <c r="E1912" t="s">
        <v>20</v>
      </c>
      <c r="F1912" t="s">
        <v>50</v>
      </c>
      <c r="G1912" t="s">
        <v>102</v>
      </c>
      <c r="H1912" t="s">
        <v>38</v>
      </c>
      <c r="I1912" t="s">
        <v>108</v>
      </c>
      <c r="J1912">
        <v>48</v>
      </c>
      <c r="K1912">
        <v>30544.81</v>
      </c>
      <c r="L1912">
        <v>1466150.88</v>
      </c>
      <c r="M1912">
        <v>0</v>
      </c>
      <c r="N1912">
        <v>0</v>
      </c>
      <c r="O1912">
        <v>1466150.88</v>
      </c>
      <c r="P1912" t="s">
        <v>31</v>
      </c>
      <c r="Q1912" t="s">
        <v>32</v>
      </c>
    </row>
    <row r="1913" spans="1:17" x14ac:dyDescent="0.25">
      <c r="A1913" t="s">
        <v>2030</v>
      </c>
      <c r="B1913" s="1">
        <v>45958</v>
      </c>
      <c r="C1913" t="s">
        <v>47</v>
      </c>
      <c r="D1913" t="s">
        <v>88</v>
      </c>
      <c r="E1913" t="s">
        <v>41</v>
      </c>
      <c r="F1913" t="s">
        <v>137</v>
      </c>
      <c r="G1913" t="s">
        <v>43</v>
      </c>
      <c r="H1913" t="s">
        <v>94</v>
      </c>
      <c r="I1913" t="s">
        <v>177</v>
      </c>
      <c r="J1913">
        <v>18</v>
      </c>
      <c r="K1913">
        <v>36446.31</v>
      </c>
      <c r="L1913">
        <v>656033.57999999996</v>
      </c>
      <c r="M1913">
        <v>0</v>
      </c>
      <c r="N1913">
        <v>0</v>
      </c>
      <c r="O1913">
        <v>656033.57999999996</v>
      </c>
      <c r="P1913" t="s">
        <v>31</v>
      </c>
      <c r="Q1913" t="s">
        <v>32</v>
      </c>
    </row>
    <row r="1914" spans="1:17" x14ac:dyDescent="0.25">
      <c r="A1914" t="s">
        <v>2031</v>
      </c>
      <c r="B1914" s="1">
        <v>45992</v>
      </c>
      <c r="C1914" t="s">
        <v>47</v>
      </c>
      <c r="D1914" t="s">
        <v>127</v>
      </c>
      <c r="E1914" t="s">
        <v>49</v>
      </c>
      <c r="F1914" t="s">
        <v>112</v>
      </c>
      <c r="G1914" t="s">
        <v>140</v>
      </c>
      <c r="H1914" t="s">
        <v>67</v>
      </c>
      <c r="I1914" t="s">
        <v>103</v>
      </c>
      <c r="J1914">
        <v>26</v>
      </c>
      <c r="K1914">
        <v>36295.96</v>
      </c>
      <c r="L1914">
        <v>943694.96</v>
      </c>
      <c r="M1914">
        <v>0</v>
      </c>
      <c r="N1914">
        <v>0</v>
      </c>
      <c r="O1914">
        <v>943694.96</v>
      </c>
      <c r="P1914" t="s">
        <v>32</v>
      </c>
      <c r="Q1914" t="s">
        <v>32</v>
      </c>
    </row>
    <row r="1915" spans="1:17" x14ac:dyDescent="0.25">
      <c r="A1915" t="s">
        <v>2032</v>
      </c>
      <c r="B1915" s="1">
        <v>45958</v>
      </c>
      <c r="C1915" t="s">
        <v>79</v>
      </c>
      <c r="D1915" t="s">
        <v>80</v>
      </c>
      <c r="E1915" t="s">
        <v>20</v>
      </c>
      <c r="F1915" t="s">
        <v>71</v>
      </c>
      <c r="G1915" t="s">
        <v>85</v>
      </c>
      <c r="H1915" t="s">
        <v>67</v>
      </c>
      <c r="I1915" t="s">
        <v>170</v>
      </c>
      <c r="J1915">
        <v>23</v>
      </c>
      <c r="K1915">
        <v>17460.96</v>
      </c>
      <c r="L1915">
        <v>401602.08</v>
      </c>
      <c r="M1915">
        <v>63496.800000000003</v>
      </c>
      <c r="N1915">
        <v>0</v>
      </c>
      <c r="O1915">
        <v>338105.28</v>
      </c>
      <c r="P1915" t="s">
        <v>32</v>
      </c>
      <c r="Q1915" t="s">
        <v>26</v>
      </c>
    </row>
    <row r="1916" spans="1:17" x14ac:dyDescent="0.25">
      <c r="A1916" t="s">
        <v>2033</v>
      </c>
      <c r="B1916" s="1">
        <v>45960</v>
      </c>
      <c r="C1916" t="s">
        <v>47</v>
      </c>
      <c r="D1916" t="s">
        <v>48</v>
      </c>
      <c r="E1916" t="s">
        <v>41</v>
      </c>
      <c r="F1916" t="s">
        <v>105</v>
      </c>
      <c r="G1916" t="s">
        <v>138</v>
      </c>
      <c r="H1916" t="s">
        <v>67</v>
      </c>
      <c r="I1916" t="s">
        <v>77</v>
      </c>
      <c r="J1916">
        <v>1</v>
      </c>
      <c r="K1916">
        <v>24559.69</v>
      </c>
      <c r="L1916">
        <v>24559.69</v>
      </c>
      <c r="M1916">
        <v>0</v>
      </c>
      <c r="N1916">
        <v>0</v>
      </c>
      <c r="O1916">
        <v>24559.69</v>
      </c>
      <c r="P1916" t="s">
        <v>31</v>
      </c>
      <c r="Q1916" t="s">
        <v>32</v>
      </c>
    </row>
    <row r="1917" spans="1:17" x14ac:dyDescent="0.25">
      <c r="A1917" t="s">
        <v>2034</v>
      </c>
      <c r="B1917" s="1">
        <v>45986</v>
      </c>
      <c r="C1917" t="s">
        <v>79</v>
      </c>
      <c r="D1917" t="s">
        <v>101</v>
      </c>
      <c r="E1917" t="s">
        <v>49</v>
      </c>
      <c r="F1917" t="s">
        <v>21</v>
      </c>
      <c r="G1917" t="s">
        <v>85</v>
      </c>
      <c r="H1917" t="s">
        <v>94</v>
      </c>
      <c r="I1917" t="s">
        <v>144</v>
      </c>
      <c r="J1917">
        <v>33</v>
      </c>
      <c r="K1917">
        <v>7830.11</v>
      </c>
      <c r="L1917">
        <v>258393.63</v>
      </c>
      <c r="M1917">
        <v>0</v>
      </c>
      <c r="N1917">
        <v>0</v>
      </c>
      <c r="O1917">
        <v>258393.63</v>
      </c>
      <c r="P1917" t="s">
        <v>73</v>
      </c>
      <c r="Q1917" t="s">
        <v>26</v>
      </c>
    </row>
    <row r="1918" spans="1:17" x14ac:dyDescent="0.25">
      <c r="A1918" t="s">
        <v>2035</v>
      </c>
      <c r="B1918" s="1">
        <v>46001</v>
      </c>
      <c r="C1918" t="s">
        <v>79</v>
      </c>
      <c r="D1918" t="s">
        <v>107</v>
      </c>
      <c r="E1918" t="s">
        <v>49</v>
      </c>
      <c r="F1918" t="s">
        <v>21</v>
      </c>
      <c r="G1918" t="s">
        <v>81</v>
      </c>
      <c r="H1918" t="s">
        <v>23</v>
      </c>
      <c r="I1918" t="s">
        <v>30</v>
      </c>
      <c r="J1918">
        <v>50</v>
      </c>
      <c r="K1918">
        <v>986.65</v>
      </c>
      <c r="L1918">
        <v>49332.5</v>
      </c>
      <c r="M1918">
        <v>8146.26</v>
      </c>
      <c r="N1918">
        <v>0</v>
      </c>
      <c r="O1918">
        <v>41186.239999999998</v>
      </c>
      <c r="P1918" t="s">
        <v>73</v>
      </c>
      <c r="Q1918" t="s">
        <v>32</v>
      </c>
    </row>
    <row r="1919" spans="1:17" x14ac:dyDescent="0.25">
      <c r="A1919" t="s">
        <v>2036</v>
      </c>
      <c r="B1919" s="1">
        <v>46044</v>
      </c>
      <c r="C1919" t="s">
        <v>47</v>
      </c>
      <c r="D1919" t="s">
        <v>48</v>
      </c>
      <c r="E1919" t="s">
        <v>35</v>
      </c>
      <c r="F1919" t="s">
        <v>36</v>
      </c>
      <c r="G1919" t="s">
        <v>37</v>
      </c>
      <c r="H1919" t="s">
        <v>38</v>
      </c>
      <c r="I1919" t="s">
        <v>108</v>
      </c>
      <c r="J1919">
        <v>13</v>
      </c>
      <c r="K1919">
        <v>17892.939999999999</v>
      </c>
      <c r="L1919">
        <v>232608.22</v>
      </c>
      <c r="M1919">
        <v>0</v>
      </c>
      <c r="N1919">
        <v>0</v>
      </c>
      <c r="O1919">
        <v>232608.22</v>
      </c>
      <c r="P1919" t="s">
        <v>73</v>
      </c>
      <c r="Q1919" t="s">
        <v>32</v>
      </c>
    </row>
    <row r="1920" spans="1:17" x14ac:dyDescent="0.25">
      <c r="A1920" t="s">
        <v>2037</v>
      </c>
      <c r="B1920" s="1">
        <v>46044</v>
      </c>
      <c r="C1920" t="s">
        <v>60</v>
      </c>
      <c r="D1920" t="s">
        <v>65</v>
      </c>
      <c r="E1920" t="s">
        <v>49</v>
      </c>
      <c r="F1920" t="s">
        <v>112</v>
      </c>
      <c r="G1920" t="s">
        <v>138</v>
      </c>
      <c r="H1920" t="s">
        <v>67</v>
      </c>
      <c r="I1920" t="s">
        <v>170</v>
      </c>
      <c r="J1920">
        <v>33</v>
      </c>
      <c r="K1920">
        <v>31161.07</v>
      </c>
      <c r="L1920">
        <v>1028315.31</v>
      </c>
      <c r="M1920">
        <v>0</v>
      </c>
      <c r="N1920">
        <v>0</v>
      </c>
      <c r="O1920">
        <v>1028315.31</v>
      </c>
      <c r="P1920" t="s">
        <v>73</v>
      </c>
      <c r="Q1920" t="s">
        <v>32</v>
      </c>
    </row>
    <row r="1921" spans="1:17" x14ac:dyDescent="0.25">
      <c r="A1921" t="s">
        <v>2038</v>
      </c>
      <c r="B1921" s="1">
        <v>45960</v>
      </c>
      <c r="C1921" t="s">
        <v>79</v>
      </c>
      <c r="D1921" t="s">
        <v>101</v>
      </c>
      <c r="E1921" t="s">
        <v>35</v>
      </c>
      <c r="F1921" t="s">
        <v>105</v>
      </c>
      <c r="G1921" t="s">
        <v>29</v>
      </c>
      <c r="H1921" t="s">
        <v>38</v>
      </c>
      <c r="I1921" t="s">
        <v>86</v>
      </c>
      <c r="J1921">
        <v>41</v>
      </c>
      <c r="K1921">
        <v>29363.98</v>
      </c>
      <c r="L1921">
        <v>1203923.18</v>
      </c>
      <c r="M1921">
        <v>21757.06</v>
      </c>
      <c r="N1921">
        <v>0</v>
      </c>
      <c r="O1921">
        <v>1182166.1200000001</v>
      </c>
      <c r="P1921" t="s">
        <v>73</v>
      </c>
      <c r="Q1921" t="s">
        <v>32</v>
      </c>
    </row>
    <row r="1922" spans="1:17" x14ac:dyDescent="0.25">
      <c r="A1922" t="s">
        <v>2039</v>
      </c>
      <c r="B1922" s="1">
        <v>45997</v>
      </c>
      <c r="C1922" t="s">
        <v>18</v>
      </c>
      <c r="D1922" t="s">
        <v>28</v>
      </c>
      <c r="E1922" t="s">
        <v>49</v>
      </c>
      <c r="F1922" t="s">
        <v>50</v>
      </c>
      <c r="G1922" t="s">
        <v>43</v>
      </c>
      <c r="H1922" t="s">
        <v>67</v>
      </c>
      <c r="I1922" t="s">
        <v>77</v>
      </c>
      <c r="J1922">
        <v>24</v>
      </c>
      <c r="K1922">
        <v>25620.55</v>
      </c>
      <c r="L1922">
        <v>614893.19999999995</v>
      </c>
      <c r="M1922">
        <v>0</v>
      </c>
      <c r="N1922">
        <v>12946.68</v>
      </c>
      <c r="O1922">
        <v>601946.52</v>
      </c>
      <c r="P1922" t="s">
        <v>25</v>
      </c>
      <c r="Q1922" t="s">
        <v>128</v>
      </c>
    </row>
    <row r="1923" spans="1:17" x14ac:dyDescent="0.25">
      <c r="A1923" t="s">
        <v>2040</v>
      </c>
      <c r="B1923" s="1">
        <v>46012</v>
      </c>
      <c r="C1923" t="s">
        <v>54</v>
      </c>
      <c r="D1923" t="s">
        <v>133</v>
      </c>
      <c r="E1923" t="s">
        <v>49</v>
      </c>
      <c r="F1923" t="s">
        <v>36</v>
      </c>
      <c r="G1923" t="s">
        <v>29</v>
      </c>
      <c r="H1923" t="s">
        <v>67</v>
      </c>
      <c r="I1923" t="s">
        <v>68</v>
      </c>
      <c r="J1923">
        <v>18</v>
      </c>
      <c r="K1923">
        <v>37102.25</v>
      </c>
      <c r="L1923">
        <v>667840.5</v>
      </c>
      <c r="M1923">
        <v>75093.64</v>
      </c>
      <c r="N1923">
        <v>0</v>
      </c>
      <c r="O1923">
        <v>592746.86</v>
      </c>
      <c r="P1923" t="s">
        <v>32</v>
      </c>
      <c r="Q1923" t="s">
        <v>32</v>
      </c>
    </row>
    <row r="1924" spans="1:17" x14ac:dyDescent="0.25">
      <c r="A1924" t="s">
        <v>2041</v>
      </c>
      <c r="B1924" s="1">
        <v>45965</v>
      </c>
      <c r="C1924" t="s">
        <v>18</v>
      </c>
      <c r="D1924" t="s">
        <v>19</v>
      </c>
      <c r="E1924" t="s">
        <v>35</v>
      </c>
      <c r="F1924" t="s">
        <v>42</v>
      </c>
      <c r="G1924" t="s">
        <v>29</v>
      </c>
      <c r="H1924" t="s">
        <v>38</v>
      </c>
      <c r="I1924" t="s">
        <v>86</v>
      </c>
      <c r="J1924">
        <v>35</v>
      </c>
      <c r="K1924">
        <v>48504.35</v>
      </c>
      <c r="L1924">
        <v>1697652.25</v>
      </c>
      <c r="M1924">
        <v>332764.25</v>
      </c>
      <c r="N1924">
        <v>0</v>
      </c>
      <c r="O1924">
        <v>1364888</v>
      </c>
      <c r="P1924" t="s">
        <v>25</v>
      </c>
      <c r="Q1924" t="s">
        <v>26</v>
      </c>
    </row>
    <row r="1925" spans="1:17" x14ac:dyDescent="0.25">
      <c r="A1925" t="s">
        <v>2042</v>
      </c>
      <c r="B1925" s="1">
        <v>45980</v>
      </c>
      <c r="C1925" t="s">
        <v>18</v>
      </c>
      <c r="D1925" t="s">
        <v>28</v>
      </c>
      <c r="E1925" t="s">
        <v>41</v>
      </c>
      <c r="F1925" t="s">
        <v>105</v>
      </c>
      <c r="G1925" t="s">
        <v>29</v>
      </c>
      <c r="H1925" t="s">
        <v>38</v>
      </c>
      <c r="I1925" t="s">
        <v>82</v>
      </c>
      <c r="J1925">
        <v>14</v>
      </c>
      <c r="K1925">
        <v>32910.050000000003</v>
      </c>
      <c r="L1925">
        <v>460740.7</v>
      </c>
      <c r="M1925">
        <v>50209.54</v>
      </c>
      <c r="N1925">
        <v>0</v>
      </c>
      <c r="O1925">
        <v>410531.16</v>
      </c>
      <c r="P1925" t="s">
        <v>32</v>
      </c>
      <c r="Q1925" t="s">
        <v>32</v>
      </c>
    </row>
    <row r="1926" spans="1:17" x14ac:dyDescent="0.25">
      <c r="A1926" t="s">
        <v>2043</v>
      </c>
      <c r="B1926" s="1">
        <v>46037</v>
      </c>
      <c r="C1926" t="s">
        <v>18</v>
      </c>
      <c r="D1926" t="s">
        <v>34</v>
      </c>
      <c r="E1926" t="s">
        <v>35</v>
      </c>
      <c r="F1926" t="s">
        <v>36</v>
      </c>
      <c r="G1926" t="s">
        <v>102</v>
      </c>
      <c r="H1926" t="s">
        <v>44</v>
      </c>
      <c r="I1926" t="s">
        <v>124</v>
      </c>
      <c r="J1926">
        <v>42</v>
      </c>
      <c r="K1926">
        <v>30194.82</v>
      </c>
      <c r="L1926">
        <v>1268182.44</v>
      </c>
      <c r="M1926">
        <v>99125.54</v>
      </c>
      <c r="N1926">
        <v>0</v>
      </c>
      <c r="O1926">
        <v>1169056.8999999999</v>
      </c>
      <c r="P1926" t="s">
        <v>31</v>
      </c>
      <c r="Q1926" t="s">
        <v>32</v>
      </c>
    </row>
    <row r="1927" spans="1:17" x14ac:dyDescent="0.25">
      <c r="A1927" t="s">
        <v>2044</v>
      </c>
      <c r="B1927" s="1">
        <v>46021</v>
      </c>
      <c r="C1927" t="s">
        <v>47</v>
      </c>
      <c r="D1927" t="s">
        <v>127</v>
      </c>
      <c r="E1927" t="s">
        <v>41</v>
      </c>
      <c r="F1927" t="s">
        <v>84</v>
      </c>
      <c r="G1927" t="s">
        <v>63</v>
      </c>
      <c r="H1927" t="s">
        <v>94</v>
      </c>
      <c r="I1927" t="s">
        <v>177</v>
      </c>
      <c r="J1927">
        <v>19</v>
      </c>
      <c r="K1927">
        <v>32902.339999999997</v>
      </c>
      <c r="L1927">
        <v>625144.46</v>
      </c>
      <c r="M1927">
        <v>74989.98</v>
      </c>
      <c r="N1927">
        <v>0</v>
      </c>
      <c r="O1927">
        <v>550154.48</v>
      </c>
      <c r="P1927" t="s">
        <v>73</v>
      </c>
      <c r="Q1927" t="s">
        <v>32</v>
      </c>
    </row>
    <row r="1928" spans="1:17" x14ac:dyDescent="0.25">
      <c r="A1928" t="s">
        <v>2045</v>
      </c>
      <c r="B1928" s="1">
        <v>46028</v>
      </c>
      <c r="C1928" t="s">
        <v>79</v>
      </c>
      <c r="D1928" t="s">
        <v>80</v>
      </c>
      <c r="E1928" t="s">
        <v>20</v>
      </c>
      <c r="F1928" t="s">
        <v>71</v>
      </c>
      <c r="G1928" t="s">
        <v>140</v>
      </c>
      <c r="H1928" t="s">
        <v>38</v>
      </c>
      <c r="I1928" t="s">
        <v>82</v>
      </c>
      <c r="J1928">
        <v>20</v>
      </c>
      <c r="K1928">
        <v>3635.07</v>
      </c>
      <c r="L1928">
        <v>72701.399999999994</v>
      </c>
      <c r="M1928">
        <v>964.17</v>
      </c>
      <c r="N1928">
        <v>0</v>
      </c>
      <c r="O1928">
        <v>71737.23</v>
      </c>
      <c r="P1928" t="s">
        <v>73</v>
      </c>
      <c r="Q1928" t="s">
        <v>26</v>
      </c>
    </row>
    <row r="1929" spans="1:17" x14ac:dyDescent="0.25">
      <c r="A1929" t="s">
        <v>2046</v>
      </c>
      <c r="B1929" s="1">
        <v>45986</v>
      </c>
      <c r="C1929" t="s">
        <v>79</v>
      </c>
      <c r="D1929" t="s">
        <v>107</v>
      </c>
      <c r="E1929" t="s">
        <v>41</v>
      </c>
      <c r="F1929" t="s">
        <v>71</v>
      </c>
      <c r="G1929" t="s">
        <v>37</v>
      </c>
      <c r="H1929" t="s">
        <v>44</v>
      </c>
      <c r="I1929" t="s">
        <v>135</v>
      </c>
      <c r="J1929">
        <v>40</v>
      </c>
      <c r="K1929">
        <v>18125.7</v>
      </c>
      <c r="L1929">
        <v>725028</v>
      </c>
      <c r="M1929">
        <v>952.82</v>
      </c>
      <c r="N1929">
        <v>0</v>
      </c>
      <c r="O1929">
        <v>724075.18</v>
      </c>
      <c r="P1929" t="s">
        <v>73</v>
      </c>
      <c r="Q1929" t="s">
        <v>26</v>
      </c>
    </row>
    <row r="1930" spans="1:17" x14ac:dyDescent="0.25">
      <c r="A1930" t="s">
        <v>2047</v>
      </c>
      <c r="B1930" s="1">
        <v>46001</v>
      </c>
      <c r="C1930" t="s">
        <v>47</v>
      </c>
      <c r="D1930" t="s">
        <v>48</v>
      </c>
      <c r="E1930" t="s">
        <v>41</v>
      </c>
      <c r="F1930" t="s">
        <v>84</v>
      </c>
      <c r="G1930" t="s">
        <v>63</v>
      </c>
      <c r="H1930" t="s">
        <v>94</v>
      </c>
      <c r="I1930" t="s">
        <v>163</v>
      </c>
      <c r="J1930">
        <v>10</v>
      </c>
      <c r="K1930">
        <v>13617.94</v>
      </c>
      <c r="L1930">
        <v>136179.4</v>
      </c>
      <c r="M1930">
        <v>14006.65</v>
      </c>
      <c r="N1930">
        <v>0</v>
      </c>
      <c r="O1930">
        <v>122172.75</v>
      </c>
      <c r="P1930" t="s">
        <v>25</v>
      </c>
      <c r="Q1930" t="s">
        <v>32</v>
      </c>
    </row>
    <row r="1931" spans="1:17" x14ac:dyDescent="0.25">
      <c r="A1931" t="s">
        <v>2048</v>
      </c>
      <c r="B1931" s="1">
        <v>46002</v>
      </c>
      <c r="C1931" t="s">
        <v>47</v>
      </c>
      <c r="D1931" t="s">
        <v>114</v>
      </c>
      <c r="E1931" t="s">
        <v>20</v>
      </c>
      <c r="F1931" t="s">
        <v>50</v>
      </c>
      <c r="G1931" t="s">
        <v>22</v>
      </c>
      <c r="H1931" t="s">
        <v>94</v>
      </c>
      <c r="I1931" t="s">
        <v>163</v>
      </c>
      <c r="J1931">
        <v>34</v>
      </c>
      <c r="K1931">
        <v>19703.62</v>
      </c>
      <c r="L1931">
        <v>669923.07999999996</v>
      </c>
      <c r="M1931">
        <v>16686.150000000001</v>
      </c>
      <c r="N1931">
        <v>0</v>
      </c>
      <c r="O1931">
        <v>653236.93000000005</v>
      </c>
      <c r="P1931" t="s">
        <v>31</v>
      </c>
      <c r="Q1931" t="s">
        <v>32</v>
      </c>
    </row>
    <row r="1932" spans="1:17" x14ac:dyDescent="0.25">
      <c r="A1932" t="s">
        <v>2049</v>
      </c>
      <c r="B1932" s="1">
        <v>45957</v>
      </c>
      <c r="C1932" t="s">
        <v>54</v>
      </c>
      <c r="D1932" t="s">
        <v>70</v>
      </c>
      <c r="E1932" t="s">
        <v>20</v>
      </c>
      <c r="F1932" t="s">
        <v>50</v>
      </c>
      <c r="G1932" t="s">
        <v>43</v>
      </c>
      <c r="H1932" t="s">
        <v>94</v>
      </c>
      <c r="I1932" t="s">
        <v>193</v>
      </c>
      <c r="J1932">
        <v>8</v>
      </c>
      <c r="K1932">
        <v>14071.07</v>
      </c>
      <c r="L1932">
        <v>112568.56</v>
      </c>
      <c r="M1932">
        <v>0</v>
      </c>
      <c r="N1932">
        <v>0</v>
      </c>
      <c r="O1932">
        <v>112568.56</v>
      </c>
      <c r="P1932" t="s">
        <v>31</v>
      </c>
      <c r="Q1932" t="s">
        <v>32</v>
      </c>
    </row>
    <row r="1933" spans="1:17" x14ac:dyDescent="0.25">
      <c r="A1933" t="s">
        <v>2050</v>
      </c>
      <c r="B1933" s="1">
        <v>46018</v>
      </c>
      <c r="C1933" t="s">
        <v>60</v>
      </c>
      <c r="D1933" t="s">
        <v>65</v>
      </c>
      <c r="E1933" t="s">
        <v>49</v>
      </c>
      <c r="F1933" t="s">
        <v>62</v>
      </c>
      <c r="G1933" t="s">
        <v>22</v>
      </c>
      <c r="H1933" t="s">
        <v>67</v>
      </c>
      <c r="I1933" t="s">
        <v>201</v>
      </c>
      <c r="J1933">
        <v>15</v>
      </c>
      <c r="K1933">
        <v>39489.81</v>
      </c>
      <c r="L1933">
        <v>592347.15</v>
      </c>
      <c r="M1933">
        <v>113416.33</v>
      </c>
      <c r="N1933">
        <v>0</v>
      </c>
      <c r="O1933">
        <v>478930.82</v>
      </c>
      <c r="P1933" t="s">
        <v>32</v>
      </c>
      <c r="Q1933" t="s">
        <v>32</v>
      </c>
    </row>
    <row r="1934" spans="1:17" x14ac:dyDescent="0.25">
      <c r="A1934" t="s">
        <v>2051</v>
      </c>
      <c r="B1934" s="1">
        <v>45970</v>
      </c>
      <c r="C1934" t="s">
        <v>79</v>
      </c>
      <c r="D1934" t="s">
        <v>80</v>
      </c>
      <c r="E1934" t="s">
        <v>49</v>
      </c>
      <c r="F1934" t="s">
        <v>62</v>
      </c>
      <c r="G1934" t="s">
        <v>138</v>
      </c>
      <c r="H1934" t="s">
        <v>38</v>
      </c>
      <c r="I1934" t="s">
        <v>82</v>
      </c>
      <c r="J1934">
        <v>36</v>
      </c>
      <c r="K1934">
        <v>46573.15</v>
      </c>
      <c r="L1934">
        <v>1676633.4</v>
      </c>
      <c r="M1934">
        <v>168273.82</v>
      </c>
      <c r="N1934">
        <v>384183.29</v>
      </c>
      <c r="O1934">
        <v>1124176.29</v>
      </c>
      <c r="P1934" t="s">
        <v>25</v>
      </c>
      <c r="Q1934" t="s">
        <v>26</v>
      </c>
    </row>
    <row r="1935" spans="1:17" x14ac:dyDescent="0.25">
      <c r="A1935" t="s">
        <v>2052</v>
      </c>
      <c r="B1935" s="1">
        <v>46037</v>
      </c>
      <c r="C1935" t="s">
        <v>60</v>
      </c>
      <c r="D1935" t="s">
        <v>151</v>
      </c>
      <c r="E1935" t="s">
        <v>49</v>
      </c>
      <c r="F1935" t="s">
        <v>50</v>
      </c>
      <c r="G1935" t="s">
        <v>51</v>
      </c>
      <c r="H1935" t="s">
        <v>57</v>
      </c>
      <c r="I1935" t="s">
        <v>148</v>
      </c>
      <c r="J1935">
        <v>1</v>
      </c>
      <c r="K1935">
        <v>15879.95</v>
      </c>
      <c r="L1935">
        <v>15879.95</v>
      </c>
      <c r="M1935">
        <v>0</v>
      </c>
      <c r="N1935">
        <v>0</v>
      </c>
      <c r="O1935">
        <v>15879.95</v>
      </c>
      <c r="P1935" t="s">
        <v>25</v>
      </c>
      <c r="Q1935" t="s">
        <v>26</v>
      </c>
    </row>
    <row r="1936" spans="1:17" x14ac:dyDescent="0.25">
      <c r="A1936" t="s">
        <v>2053</v>
      </c>
      <c r="B1936" s="1">
        <v>46015</v>
      </c>
      <c r="C1936" t="s">
        <v>60</v>
      </c>
      <c r="D1936" t="s">
        <v>151</v>
      </c>
      <c r="E1936" t="s">
        <v>35</v>
      </c>
      <c r="F1936" t="s">
        <v>112</v>
      </c>
      <c r="G1936" t="s">
        <v>22</v>
      </c>
      <c r="H1936" t="s">
        <v>57</v>
      </c>
      <c r="I1936" t="s">
        <v>148</v>
      </c>
      <c r="J1936">
        <v>43</v>
      </c>
      <c r="K1936">
        <v>33342.42</v>
      </c>
      <c r="L1936">
        <v>1433724.06</v>
      </c>
      <c r="M1936">
        <v>174940.76</v>
      </c>
      <c r="N1936">
        <v>0</v>
      </c>
      <c r="O1936">
        <v>1258783.3</v>
      </c>
      <c r="P1936" t="s">
        <v>73</v>
      </c>
      <c r="Q1936" t="s">
        <v>32</v>
      </c>
    </row>
    <row r="1937" spans="1:17" x14ac:dyDescent="0.25">
      <c r="A1937" t="s">
        <v>2054</v>
      </c>
      <c r="B1937" s="1">
        <v>46034</v>
      </c>
      <c r="C1937" t="s">
        <v>79</v>
      </c>
      <c r="D1937" t="s">
        <v>80</v>
      </c>
      <c r="E1937" t="s">
        <v>35</v>
      </c>
      <c r="F1937" t="s">
        <v>84</v>
      </c>
      <c r="G1937" t="s">
        <v>98</v>
      </c>
      <c r="H1937" t="s">
        <v>94</v>
      </c>
      <c r="I1937" t="s">
        <v>144</v>
      </c>
      <c r="J1937">
        <v>25</v>
      </c>
      <c r="K1937">
        <v>40191.230000000003</v>
      </c>
      <c r="L1937">
        <v>1004780.75</v>
      </c>
      <c r="M1937">
        <v>0</v>
      </c>
      <c r="N1937">
        <v>3795.33</v>
      </c>
      <c r="O1937">
        <v>1000985.42</v>
      </c>
      <c r="P1937" t="s">
        <v>25</v>
      </c>
      <c r="Q1937" t="s">
        <v>32</v>
      </c>
    </row>
    <row r="1938" spans="1:17" x14ac:dyDescent="0.25">
      <c r="A1938" t="s">
        <v>2055</v>
      </c>
      <c r="B1938" s="1">
        <v>45989</v>
      </c>
      <c r="C1938" t="s">
        <v>60</v>
      </c>
      <c r="D1938" t="s">
        <v>123</v>
      </c>
      <c r="E1938" t="s">
        <v>49</v>
      </c>
      <c r="F1938" t="s">
        <v>84</v>
      </c>
      <c r="G1938" t="s">
        <v>43</v>
      </c>
      <c r="H1938" t="s">
        <v>44</v>
      </c>
      <c r="I1938" t="s">
        <v>135</v>
      </c>
      <c r="J1938">
        <v>49</v>
      </c>
      <c r="K1938">
        <v>46317.46</v>
      </c>
      <c r="L1938">
        <v>2269555.54</v>
      </c>
      <c r="M1938">
        <v>0</v>
      </c>
      <c r="N1938">
        <v>0</v>
      </c>
      <c r="O1938">
        <v>2269555.54</v>
      </c>
      <c r="P1938" t="s">
        <v>73</v>
      </c>
      <c r="Q1938" t="s">
        <v>32</v>
      </c>
    </row>
    <row r="1939" spans="1:17" x14ac:dyDescent="0.25">
      <c r="A1939" t="s">
        <v>2056</v>
      </c>
      <c r="B1939" s="1">
        <v>46032</v>
      </c>
      <c r="C1939" t="s">
        <v>18</v>
      </c>
      <c r="D1939" t="s">
        <v>34</v>
      </c>
      <c r="E1939" t="s">
        <v>20</v>
      </c>
      <c r="F1939" t="s">
        <v>50</v>
      </c>
      <c r="G1939" t="s">
        <v>66</v>
      </c>
      <c r="H1939" t="s">
        <v>38</v>
      </c>
      <c r="I1939" t="s">
        <v>39</v>
      </c>
      <c r="J1939">
        <v>21</v>
      </c>
      <c r="K1939">
        <v>45914.400000000001</v>
      </c>
      <c r="L1939">
        <v>964202.4</v>
      </c>
      <c r="M1939">
        <v>176910.65</v>
      </c>
      <c r="N1939">
        <v>0</v>
      </c>
      <c r="O1939">
        <v>787291.75</v>
      </c>
      <c r="P1939" t="s">
        <v>32</v>
      </c>
      <c r="Q1939" t="s">
        <v>26</v>
      </c>
    </row>
    <row r="1940" spans="1:17" x14ac:dyDescent="0.25">
      <c r="A1940" t="s">
        <v>2057</v>
      </c>
      <c r="B1940" s="1">
        <v>45999</v>
      </c>
      <c r="C1940" t="s">
        <v>47</v>
      </c>
      <c r="D1940" t="s">
        <v>127</v>
      </c>
      <c r="E1940" t="s">
        <v>49</v>
      </c>
      <c r="F1940" t="s">
        <v>112</v>
      </c>
      <c r="G1940" t="s">
        <v>140</v>
      </c>
      <c r="H1940" t="s">
        <v>57</v>
      </c>
      <c r="I1940" t="s">
        <v>58</v>
      </c>
      <c r="J1940">
        <v>12</v>
      </c>
      <c r="K1940">
        <v>48653.03</v>
      </c>
      <c r="L1940">
        <v>583836.36</v>
      </c>
      <c r="M1940">
        <v>62530.36</v>
      </c>
      <c r="N1940">
        <v>0</v>
      </c>
      <c r="O1940">
        <v>521306</v>
      </c>
      <c r="P1940" t="s">
        <v>73</v>
      </c>
      <c r="Q1940" t="s">
        <v>32</v>
      </c>
    </row>
    <row r="1941" spans="1:17" x14ac:dyDescent="0.25">
      <c r="A1941" t="s">
        <v>2058</v>
      </c>
      <c r="B1941" s="1">
        <v>46001</v>
      </c>
      <c r="C1941" t="s">
        <v>60</v>
      </c>
      <c r="D1941" t="s">
        <v>151</v>
      </c>
      <c r="E1941" t="s">
        <v>20</v>
      </c>
      <c r="F1941" t="s">
        <v>62</v>
      </c>
      <c r="G1941" t="s">
        <v>63</v>
      </c>
      <c r="H1941" t="s">
        <v>44</v>
      </c>
      <c r="I1941" t="s">
        <v>141</v>
      </c>
      <c r="J1941">
        <v>5</v>
      </c>
      <c r="K1941">
        <v>22386.3</v>
      </c>
      <c r="L1941">
        <v>111931.5</v>
      </c>
      <c r="M1941">
        <v>0</v>
      </c>
      <c r="N1941">
        <v>0</v>
      </c>
      <c r="O1941">
        <v>111931.5</v>
      </c>
      <c r="P1941" t="s">
        <v>25</v>
      </c>
      <c r="Q1941" t="s">
        <v>26</v>
      </c>
    </row>
    <row r="1942" spans="1:17" x14ac:dyDescent="0.25">
      <c r="A1942" t="s">
        <v>2059</v>
      </c>
      <c r="B1942" s="1">
        <v>46011</v>
      </c>
      <c r="C1942" t="s">
        <v>54</v>
      </c>
      <c r="D1942" t="s">
        <v>133</v>
      </c>
      <c r="E1942" t="s">
        <v>41</v>
      </c>
      <c r="F1942" t="s">
        <v>62</v>
      </c>
      <c r="G1942" t="s">
        <v>56</v>
      </c>
      <c r="H1942" t="s">
        <v>38</v>
      </c>
      <c r="I1942" t="s">
        <v>120</v>
      </c>
      <c r="J1942">
        <v>27</v>
      </c>
      <c r="K1942">
        <v>29775.32</v>
      </c>
      <c r="L1942">
        <v>803933.64</v>
      </c>
      <c r="M1942">
        <v>20449.88</v>
      </c>
      <c r="N1942">
        <v>0</v>
      </c>
      <c r="O1942">
        <v>783483.76</v>
      </c>
      <c r="P1942" t="s">
        <v>32</v>
      </c>
      <c r="Q1942" t="s">
        <v>26</v>
      </c>
    </row>
    <row r="1943" spans="1:17" x14ac:dyDescent="0.25">
      <c r="A1943" t="s">
        <v>2060</v>
      </c>
      <c r="B1943" s="1">
        <v>45975</v>
      </c>
      <c r="C1943" t="s">
        <v>18</v>
      </c>
      <c r="D1943" t="s">
        <v>28</v>
      </c>
      <c r="E1943" t="s">
        <v>41</v>
      </c>
      <c r="F1943" t="s">
        <v>62</v>
      </c>
      <c r="G1943" t="s">
        <v>138</v>
      </c>
      <c r="H1943" t="s">
        <v>94</v>
      </c>
      <c r="I1943" t="s">
        <v>177</v>
      </c>
      <c r="J1943">
        <v>19</v>
      </c>
      <c r="K1943">
        <v>33944.97</v>
      </c>
      <c r="L1943">
        <v>644954.43000000005</v>
      </c>
      <c r="M1943">
        <v>113921.45</v>
      </c>
      <c r="N1943">
        <v>0</v>
      </c>
      <c r="O1943">
        <v>531032.98</v>
      </c>
      <c r="P1943" t="s">
        <v>25</v>
      </c>
      <c r="Q1943" t="s">
        <v>26</v>
      </c>
    </row>
    <row r="1944" spans="1:17" x14ac:dyDescent="0.25">
      <c r="A1944" t="s">
        <v>2061</v>
      </c>
      <c r="B1944" s="1">
        <v>45955</v>
      </c>
      <c r="C1944" t="s">
        <v>60</v>
      </c>
      <c r="D1944" t="s">
        <v>65</v>
      </c>
      <c r="E1944" t="s">
        <v>35</v>
      </c>
      <c r="F1944" t="s">
        <v>21</v>
      </c>
      <c r="G1944" t="s">
        <v>85</v>
      </c>
      <c r="H1944" t="s">
        <v>44</v>
      </c>
      <c r="I1944" t="s">
        <v>152</v>
      </c>
      <c r="J1944">
        <v>39</v>
      </c>
      <c r="K1944">
        <v>24370.54</v>
      </c>
      <c r="L1944">
        <v>950451.06</v>
      </c>
      <c r="M1944">
        <v>8850.84</v>
      </c>
      <c r="N1944">
        <v>0</v>
      </c>
      <c r="O1944">
        <v>941600.22</v>
      </c>
      <c r="P1944" t="s">
        <v>73</v>
      </c>
      <c r="Q1944" t="s">
        <v>26</v>
      </c>
    </row>
    <row r="1945" spans="1:17" x14ac:dyDescent="0.25">
      <c r="A1945" t="s">
        <v>2062</v>
      </c>
      <c r="B1945" s="1">
        <v>46014</v>
      </c>
      <c r="C1945" t="s">
        <v>47</v>
      </c>
      <c r="D1945" t="s">
        <v>127</v>
      </c>
      <c r="E1945" t="s">
        <v>41</v>
      </c>
      <c r="F1945" t="s">
        <v>112</v>
      </c>
      <c r="G1945" t="s">
        <v>29</v>
      </c>
      <c r="H1945" t="s">
        <v>23</v>
      </c>
      <c r="I1945" t="s">
        <v>52</v>
      </c>
      <c r="J1945">
        <v>43</v>
      </c>
      <c r="K1945">
        <v>18518.79</v>
      </c>
      <c r="L1945">
        <v>796307.97</v>
      </c>
      <c r="M1945">
        <v>34375.01</v>
      </c>
      <c r="N1945">
        <v>0</v>
      </c>
      <c r="O1945">
        <v>761932.96</v>
      </c>
      <c r="P1945" t="s">
        <v>31</v>
      </c>
      <c r="Q1945" t="s">
        <v>32</v>
      </c>
    </row>
    <row r="1946" spans="1:17" x14ac:dyDescent="0.25">
      <c r="A1946" t="s">
        <v>2063</v>
      </c>
      <c r="B1946" s="1">
        <v>45998</v>
      </c>
      <c r="C1946" t="s">
        <v>47</v>
      </c>
      <c r="D1946" t="s">
        <v>114</v>
      </c>
      <c r="E1946" t="s">
        <v>49</v>
      </c>
      <c r="F1946" t="s">
        <v>62</v>
      </c>
      <c r="G1946" t="s">
        <v>66</v>
      </c>
      <c r="H1946" t="s">
        <v>23</v>
      </c>
      <c r="I1946" t="s">
        <v>131</v>
      </c>
      <c r="J1946">
        <v>14</v>
      </c>
      <c r="K1946">
        <v>31750.42</v>
      </c>
      <c r="L1946">
        <v>444505.88</v>
      </c>
      <c r="M1946">
        <v>0</v>
      </c>
      <c r="N1946">
        <v>0</v>
      </c>
      <c r="O1946">
        <v>444505.88</v>
      </c>
      <c r="P1946" t="s">
        <v>31</v>
      </c>
      <c r="Q1946" t="s">
        <v>32</v>
      </c>
    </row>
    <row r="1947" spans="1:17" x14ac:dyDescent="0.25">
      <c r="A1947" t="s">
        <v>2064</v>
      </c>
      <c r="B1947" s="1">
        <v>45991</v>
      </c>
      <c r="C1947" t="s">
        <v>47</v>
      </c>
      <c r="D1947" t="s">
        <v>127</v>
      </c>
      <c r="E1947" t="s">
        <v>20</v>
      </c>
      <c r="F1947" t="s">
        <v>42</v>
      </c>
      <c r="G1947" t="s">
        <v>102</v>
      </c>
      <c r="H1947" t="s">
        <v>44</v>
      </c>
      <c r="I1947" t="s">
        <v>152</v>
      </c>
      <c r="J1947">
        <v>50</v>
      </c>
      <c r="K1947">
        <v>15499.99</v>
      </c>
      <c r="L1947">
        <v>774999.5</v>
      </c>
      <c r="M1947">
        <v>0</v>
      </c>
      <c r="N1947">
        <v>0</v>
      </c>
      <c r="O1947">
        <v>774999.5</v>
      </c>
      <c r="P1947" t="s">
        <v>31</v>
      </c>
      <c r="Q1947" t="s">
        <v>32</v>
      </c>
    </row>
    <row r="1948" spans="1:17" x14ac:dyDescent="0.25">
      <c r="A1948" t="s">
        <v>2065</v>
      </c>
      <c r="B1948" s="1">
        <v>46023</v>
      </c>
      <c r="C1948" t="s">
        <v>18</v>
      </c>
      <c r="D1948" t="s">
        <v>19</v>
      </c>
      <c r="E1948" t="s">
        <v>41</v>
      </c>
      <c r="F1948" t="s">
        <v>71</v>
      </c>
      <c r="G1948" t="s">
        <v>43</v>
      </c>
      <c r="H1948" t="s">
        <v>23</v>
      </c>
      <c r="I1948" t="s">
        <v>110</v>
      </c>
      <c r="J1948">
        <v>15</v>
      </c>
      <c r="K1948">
        <v>31803.63</v>
      </c>
      <c r="L1948">
        <v>477054.45</v>
      </c>
      <c r="M1948">
        <v>0</v>
      </c>
      <c r="N1948">
        <v>0</v>
      </c>
      <c r="O1948">
        <v>477054.45</v>
      </c>
      <c r="P1948" t="s">
        <v>25</v>
      </c>
      <c r="Q1948" t="s">
        <v>128</v>
      </c>
    </row>
    <row r="1949" spans="1:17" x14ac:dyDescent="0.25">
      <c r="A1949" t="s">
        <v>2066</v>
      </c>
      <c r="B1949" s="1">
        <v>46009</v>
      </c>
      <c r="C1949" t="s">
        <v>47</v>
      </c>
      <c r="D1949" t="s">
        <v>48</v>
      </c>
      <c r="E1949" t="s">
        <v>20</v>
      </c>
      <c r="F1949" t="s">
        <v>50</v>
      </c>
      <c r="G1949" t="s">
        <v>138</v>
      </c>
      <c r="H1949" t="s">
        <v>23</v>
      </c>
      <c r="I1949" t="s">
        <v>24</v>
      </c>
      <c r="J1949">
        <v>13</v>
      </c>
      <c r="K1949">
        <v>42307.21</v>
      </c>
      <c r="L1949">
        <v>549993.73</v>
      </c>
      <c r="M1949">
        <v>0</v>
      </c>
      <c r="N1949">
        <v>77203.83</v>
      </c>
      <c r="O1949">
        <v>472789.9</v>
      </c>
      <c r="P1949" t="s">
        <v>32</v>
      </c>
      <c r="Q1949" t="s">
        <v>26</v>
      </c>
    </row>
    <row r="1950" spans="1:17" x14ac:dyDescent="0.25">
      <c r="A1950" t="s">
        <v>2067</v>
      </c>
      <c r="B1950" s="1">
        <v>45989</v>
      </c>
      <c r="C1950" t="s">
        <v>60</v>
      </c>
      <c r="D1950" t="s">
        <v>61</v>
      </c>
      <c r="E1950" t="s">
        <v>41</v>
      </c>
      <c r="F1950" t="s">
        <v>71</v>
      </c>
      <c r="G1950" t="s">
        <v>22</v>
      </c>
      <c r="H1950" t="s">
        <v>57</v>
      </c>
      <c r="I1950" t="s">
        <v>148</v>
      </c>
      <c r="J1950">
        <v>13</v>
      </c>
      <c r="K1950">
        <v>17069.259999999998</v>
      </c>
      <c r="L1950">
        <v>221900.38</v>
      </c>
      <c r="M1950">
        <v>0</v>
      </c>
      <c r="N1950">
        <v>0</v>
      </c>
      <c r="O1950">
        <v>221900.38</v>
      </c>
      <c r="P1950" t="s">
        <v>31</v>
      </c>
      <c r="Q1950" t="s">
        <v>32</v>
      </c>
    </row>
    <row r="1951" spans="1:17" x14ac:dyDescent="0.25">
      <c r="A1951" t="s">
        <v>2068</v>
      </c>
      <c r="B1951" s="1">
        <v>46041</v>
      </c>
      <c r="C1951" t="s">
        <v>54</v>
      </c>
      <c r="D1951" t="s">
        <v>133</v>
      </c>
      <c r="E1951" t="s">
        <v>35</v>
      </c>
      <c r="F1951" t="s">
        <v>36</v>
      </c>
      <c r="G1951" t="s">
        <v>43</v>
      </c>
      <c r="H1951" t="s">
        <v>23</v>
      </c>
      <c r="I1951" t="s">
        <v>99</v>
      </c>
      <c r="J1951">
        <v>34</v>
      </c>
      <c r="K1951">
        <v>8182.34</v>
      </c>
      <c r="L1951">
        <v>278199.56</v>
      </c>
      <c r="M1951">
        <v>53342.54</v>
      </c>
      <c r="N1951">
        <v>0</v>
      </c>
      <c r="O1951">
        <v>224857.02</v>
      </c>
      <c r="P1951" t="s">
        <v>73</v>
      </c>
      <c r="Q1951" t="s">
        <v>32</v>
      </c>
    </row>
    <row r="1952" spans="1:17" x14ac:dyDescent="0.25">
      <c r="A1952" t="s">
        <v>2069</v>
      </c>
      <c r="B1952" s="1">
        <v>45965</v>
      </c>
      <c r="C1952" t="s">
        <v>54</v>
      </c>
      <c r="D1952" t="s">
        <v>97</v>
      </c>
      <c r="E1952" t="s">
        <v>41</v>
      </c>
      <c r="F1952" t="s">
        <v>36</v>
      </c>
      <c r="G1952" t="s">
        <v>29</v>
      </c>
      <c r="H1952" t="s">
        <v>44</v>
      </c>
      <c r="I1952" t="s">
        <v>141</v>
      </c>
      <c r="J1952">
        <v>41</v>
      </c>
      <c r="K1952">
        <v>31272.959999999999</v>
      </c>
      <c r="L1952">
        <v>1282191.3600000001</v>
      </c>
      <c r="M1952">
        <v>0</v>
      </c>
      <c r="N1952">
        <v>0</v>
      </c>
      <c r="O1952">
        <v>1282191.3600000001</v>
      </c>
      <c r="P1952" t="s">
        <v>73</v>
      </c>
      <c r="Q1952" t="s">
        <v>32</v>
      </c>
    </row>
    <row r="1953" spans="1:17" x14ac:dyDescent="0.25">
      <c r="A1953" t="s">
        <v>2070</v>
      </c>
      <c r="B1953" s="1">
        <v>46003</v>
      </c>
      <c r="C1953" t="s">
        <v>18</v>
      </c>
      <c r="D1953" t="s">
        <v>75</v>
      </c>
      <c r="E1953" t="s">
        <v>49</v>
      </c>
      <c r="F1953" t="s">
        <v>112</v>
      </c>
      <c r="G1953" t="s">
        <v>81</v>
      </c>
      <c r="H1953" t="s">
        <v>94</v>
      </c>
      <c r="I1953" t="s">
        <v>115</v>
      </c>
      <c r="J1953">
        <v>22</v>
      </c>
      <c r="K1953">
        <v>16127.97</v>
      </c>
      <c r="L1953">
        <v>354815.34</v>
      </c>
      <c r="M1953">
        <v>53694.43</v>
      </c>
      <c r="N1953">
        <v>0</v>
      </c>
      <c r="O1953">
        <v>301120.90999999997</v>
      </c>
      <c r="P1953" t="s">
        <v>25</v>
      </c>
      <c r="Q1953" t="s">
        <v>26</v>
      </c>
    </row>
    <row r="1954" spans="1:17" x14ac:dyDescent="0.25">
      <c r="A1954" t="s">
        <v>2071</v>
      </c>
      <c r="B1954" s="1">
        <v>45965</v>
      </c>
      <c r="C1954" t="s">
        <v>18</v>
      </c>
      <c r="D1954" t="s">
        <v>28</v>
      </c>
      <c r="E1954" t="s">
        <v>49</v>
      </c>
      <c r="F1954" t="s">
        <v>62</v>
      </c>
      <c r="G1954" t="s">
        <v>85</v>
      </c>
      <c r="H1954" t="s">
        <v>94</v>
      </c>
      <c r="I1954" t="s">
        <v>177</v>
      </c>
      <c r="J1954">
        <v>13</v>
      </c>
      <c r="K1954">
        <v>35791.040000000001</v>
      </c>
      <c r="L1954">
        <v>465283.52</v>
      </c>
      <c r="M1954">
        <v>62465.08</v>
      </c>
      <c r="N1954">
        <v>0</v>
      </c>
      <c r="O1954">
        <v>402818.44</v>
      </c>
      <c r="P1954" t="s">
        <v>73</v>
      </c>
      <c r="Q1954" t="s">
        <v>32</v>
      </c>
    </row>
    <row r="1955" spans="1:17" x14ac:dyDescent="0.25">
      <c r="A1955" t="s">
        <v>2072</v>
      </c>
      <c r="B1955" s="1">
        <v>45981</v>
      </c>
      <c r="C1955" t="s">
        <v>60</v>
      </c>
      <c r="D1955" t="s">
        <v>65</v>
      </c>
      <c r="E1955" t="s">
        <v>35</v>
      </c>
      <c r="F1955" t="s">
        <v>50</v>
      </c>
      <c r="G1955" t="s">
        <v>37</v>
      </c>
      <c r="H1955" t="s">
        <v>44</v>
      </c>
      <c r="I1955" t="s">
        <v>152</v>
      </c>
      <c r="J1955">
        <v>42</v>
      </c>
      <c r="K1955">
        <v>12282.24</v>
      </c>
      <c r="L1955">
        <v>515854.08000000002</v>
      </c>
      <c r="M1955">
        <v>0</v>
      </c>
      <c r="N1955">
        <v>0</v>
      </c>
      <c r="O1955">
        <v>515854.08000000002</v>
      </c>
      <c r="P1955" t="s">
        <v>31</v>
      </c>
      <c r="Q1955" t="s">
        <v>32</v>
      </c>
    </row>
    <row r="1956" spans="1:17" x14ac:dyDescent="0.25">
      <c r="A1956" t="s">
        <v>2073</v>
      </c>
      <c r="B1956" s="1">
        <v>46024</v>
      </c>
      <c r="C1956" t="s">
        <v>60</v>
      </c>
      <c r="D1956" t="s">
        <v>65</v>
      </c>
      <c r="E1956" t="s">
        <v>20</v>
      </c>
      <c r="F1956" t="s">
        <v>21</v>
      </c>
      <c r="G1956" t="s">
        <v>81</v>
      </c>
      <c r="H1956" t="s">
        <v>44</v>
      </c>
      <c r="I1956" t="s">
        <v>141</v>
      </c>
      <c r="J1956">
        <v>14</v>
      </c>
      <c r="K1956">
        <v>45857.03</v>
      </c>
      <c r="L1956">
        <v>641998.42000000004</v>
      </c>
      <c r="M1956">
        <v>0</v>
      </c>
      <c r="N1956">
        <v>0</v>
      </c>
      <c r="O1956">
        <v>641998.42000000004</v>
      </c>
      <c r="P1956" t="s">
        <v>73</v>
      </c>
      <c r="Q1956" t="s">
        <v>32</v>
      </c>
    </row>
    <row r="1957" spans="1:17" x14ac:dyDescent="0.25">
      <c r="A1957" t="s">
        <v>2074</v>
      </c>
      <c r="B1957" s="1">
        <v>45974</v>
      </c>
      <c r="C1957" t="s">
        <v>60</v>
      </c>
      <c r="D1957" t="s">
        <v>65</v>
      </c>
      <c r="E1957" t="s">
        <v>35</v>
      </c>
      <c r="F1957" t="s">
        <v>84</v>
      </c>
      <c r="G1957" t="s">
        <v>102</v>
      </c>
      <c r="H1957" t="s">
        <v>38</v>
      </c>
      <c r="I1957" t="s">
        <v>175</v>
      </c>
      <c r="J1957">
        <v>39</v>
      </c>
      <c r="K1957">
        <v>26139.25</v>
      </c>
      <c r="L1957">
        <v>1019430.75</v>
      </c>
      <c r="M1957">
        <v>0</v>
      </c>
      <c r="N1957">
        <v>0</v>
      </c>
      <c r="O1957">
        <v>1019430.75</v>
      </c>
      <c r="P1957" t="s">
        <v>32</v>
      </c>
      <c r="Q1957" t="s">
        <v>32</v>
      </c>
    </row>
    <row r="1958" spans="1:17" x14ac:dyDescent="0.25">
      <c r="A1958" t="s">
        <v>2075</v>
      </c>
      <c r="B1958" s="1">
        <v>46026</v>
      </c>
      <c r="C1958" t="s">
        <v>79</v>
      </c>
      <c r="D1958" t="s">
        <v>107</v>
      </c>
      <c r="E1958" t="s">
        <v>20</v>
      </c>
      <c r="F1958" t="s">
        <v>42</v>
      </c>
      <c r="G1958" t="s">
        <v>56</v>
      </c>
      <c r="H1958" t="s">
        <v>38</v>
      </c>
      <c r="I1958" t="s">
        <v>175</v>
      </c>
      <c r="J1958">
        <v>41</v>
      </c>
      <c r="K1958">
        <v>16033.9</v>
      </c>
      <c r="L1958">
        <v>657389.9</v>
      </c>
      <c r="M1958">
        <v>14086.45</v>
      </c>
      <c r="N1958">
        <v>0</v>
      </c>
      <c r="O1958">
        <v>643303.44999999995</v>
      </c>
      <c r="P1958" t="s">
        <v>31</v>
      </c>
      <c r="Q1958" t="s">
        <v>32</v>
      </c>
    </row>
    <row r="1959" spans="1:17" x14ac:dyDescent="0.25">
      <c r="A1959" t="s">
        <v>2076</v>
      </c>
      <c r="B1959" s="1">
        <v>45994</v>
      </c>
      <c r="C1959" t="s">
        <v>60</v>
      </c>
      <c r="D1959" t="s">
        <v>123</v>
      </c>
      <c r="E1959" t="s">
        <v>49</v>
      </c>
      <c r="F1959" t="s">
        <v>112</v>
      </c>
      <c r="G1959" t="s">
        <v>98</v>
      </c>
      <c r="H1959" t="s">
        <v>57</v>
      </c>
      <c r="I1959" t="s">
        <v>92</v>
      </c>
      <c r="J1959">
        <v>34</v>
      </c>
      <c r="K1959">
        <v>49409.04</v>
      </c>
      <c r="L1959">
        <v>1679907.36</v>
      </c>
      <c r="M1959">
        <v>83439.289999999994</v>
      </c>
      <c r="N1959">
        <v>367827.26</v>
      </c>
      <c r="O1959">
        <v>1228640.81</v>
      </c>
      <c r="P1959" t="s">
        <v>25</v>
      </c>
      <c r="Q1959" t="s">
        <v>26</v>
      </c>
    </row>
    <row r="1960" spans="1:17" x14ac:dyDescent="0.25">
      <c r="A1960" t="s">
        <v>2077</v>
      </c>
      <c r="B1960" s="1">
        <v>46022</v>
      </c>
      <c r="C1960" t="s">
        <v>18</v>
      </c>
      <c r="D1960" t="s">
        <v>19</v>
      </c>
      <c r="E1960" t="s">
        <v>49</v>
      </c>
      <c r="F1960" t="s">
        <v>62</v>
      </c>
      <c r="G1960" t="s">
        <v>89</v>
      </c>
      <c r="H1960" t="s">
        <v>23</v>
      </c>
      <c r="I1960" t="s">
        <v>52</v>
      </c>
      <c r="J1960">
        <v>41</v>
      </c>
      <c r="K1960">
        <v>2055.6</v>
      </c>
      <c r="L1960">
        <v>84279.6</v>
      </c>
      <c r="M1960">
        <v>0</v>
      </c>
      <c r="N1960">
        <v>0</v>
      </c>
      <c r="O1960">
        <v>84279.6</v>
      </c>
      <c r="P1960" t="s">
        <v>73</v>
      </c>
      <c r="Q1960" t="s">
        <v>32</v>
      </c>
    </row>
    <row r="1961" spans="1:17" x14ac:dyDescent="0.25">
      <c r="A1961" t="s">
        <v>2078</v>
      </c>
      <c r="B1961" s="1">
        <v>46031</v>
      </c>
      <c r="C1961" t="s">
        <v>79</v>
      </c>
      <c r="D1961" t="s">
        <v>107</v>
      </c>
      <c r="E1961" t="s">
        <v>41</v>
      </c>
      <c r="F1961" t="s">
        <v>42</v>
      </c>
      <c r="G1961" t="s">
        <v>43</v>
      </c>
      <c r="H1961" t="s">
        <v>57</v>
      </c>
      <c r="I1961" t="s">
        <v>148</v>
      </c>
      <c r="J1961">
        <v>30</v>
      </c>
      <c r="K1961">
        <v>47638.67</v>
      </c>
      <c r="L1961">
        <v>1429160.1</v>
      </c>
      <c r="M1961">
        <v>0</v>
      </c>
      <c r="N1961">
        <v>0</v>
      </c>
      <c r="O1961">
        <v>1429160.1</v>
      </c>
      <c r="P1961" t="s">
        <v>31</v>
      </c>
      <c r="Q1961" t="s">
        <v>32</v>
      </c>
    </row>
    <row r="1962" spans="1:17" x14ac:dyDescent="0.25">
      <c r="A1962" t="s">
        <v>2079</v>
      </c>
      <c r="B1962" s="1">
        <v>45972</v>
      </c>
      <c r="C1962" t="s">
        <v>79</v>
      </c>
      <c r="D1962" t="s">
        <v>107</v>
      </c>
      <c r="E1962" t="s">
        <v>49</v>
      </c>
      <c r="F1962" t="s">
        <v>50</v>
      </c>
      <c r="G1962" t="s">
        <v>22</v>
      </c>
      <c r="H1962" t="s">
        <v>57</v>
      </c>
      <c r="I1962" t="s">
        <v>58</v>
      </c>
      <c r="J1962">
        <v>37</v>
      </c>
      <c r="K1962">
        <v>48273.15</v>
      </c>
      <c r="L1962">
        <v>1786106.55</v>
      </c>
      <c r="M1962">
        <v>217658.59</v>
      </c>
      <c r="N1962">
        <v>0</v>
      </c>
      <c r="O1962">
        <v>1568447.96</v>
      </c>
      <c r="P1962" t="s">
        <v>32</v>
      </c>
      <c r="Q1962" t="s">
        <v>32</v>
      </c>
    </row>
    <row r="1963" spans="1:17" x14ac:dyDescent="0.25">
      <c r="A1963" t="s">
        <v>2080</v>
      </c>
      <c r="B1963" s="1">
        <v>46042</v>
      </c>
      <c r="C1963" t="s">
        <v>54</v>
      </c>
      <c r="D1963" t="s">
        <v>55</v>
      </c>
      <c r="E1963" t="s">
        <v>41</v>
      </c>
      <c r="F1963" t="s">
        <v>36</v>
      </c>
      <c r="G1963" t="s">
        <v>37</v>
      </c>
      <c r="H1963" t="s">
        <v>67</v>
      </c>
      <c r="I1963" t="s">
        <v>77</v>
      </c>
      <c r="J1963">
        <v>5</v>
      </c>
      <c r="K1963">
        <v>37880.879999999997</v>
      </c>
      <c r="L1963">
        <v>189404.4</v>
      </c>
      <c r="M1963">
        <v>5426.4</v>
      </c>
      <c r="N1963">
        <v>0</v>
      </c>
      <c r="O1963">
        <v>183978</v>
      </c>
      <c r="P1963" t="s">
        <v>31</v>
      </c>
      <c r="Q1963" t="s">
        <v>32</v>
      </c>
    </row>
    <row r="1964" spans="1:17" x14ac:dyDescent="0.25">
      <c r="A1964" t="s">
        <v>2081</v>
      </c>
      <c r="B1964" s="1">
        <v>45955</v>
      </c>
      <c r="C1964" t="s">
        <v>47</v>
      </c>
      <c r="D1964" t="s">
        <v>114</v>
      </c>
      <c r="E1964" t="s">
        <v>20</v>
      </c>
      <c r="F1964" t="s">
        <v>137</v>
      </c>
      <c r="G1964" t="s">
        <v>138</v>
      </c>
      <c r="H1964" t="s">
        <v>44</v>
      </c>
      <c r="I1964" t="s">
        <v>135</v>
      </c>
      <c r="J1964">
        <v>13</v>
      </c>
      <c r="K1964">
        <v>7599.65</v>
      </c>
      <c r="L1964">
        <v>98795.45</v>
      </c>
      <c r="M1964">
        <v>3668.66</v>
      </c>
      <c r="N1964">
        <v>0</v>
      </c>
      <c r="O1964">
        <v>95126.79</v>
      </c>
      <c r="P1964" t="s">
        <v>32</v>
      </c>
      <c r="Q1964" t="s">
        <v>32</v>
      </c>
    </row>
    <row r="1965" spans="1:17" x14ac:dyDescent="0.25">
      <c r="A1965" t="s">
        <v>2082</v>
      </c>
      <c r="B1965" s="1">
        <v>45998</v>
      </c>
      <c r="C1965" t="s">
        <v>18</v>
      </c>
      <c r="D1965" t="s">
        <v>28</v>
      </c>
      <c r="E1965" t="s">
        <v>35</v>
      </c>
      <c r="F1965" t="s">
        <v>137</v>
      </c>
      <c r="G1965" t="s">
        <v>81</v>
      </c>
      <c r="H1965" t="s">
        <v>23</v>
      </c>
      <c r="I1965" t="s">
        <v>110</v>
      </c>
      <c r="J1965">
        <v>15</v>
      </c>
      <c r="K1965">
        <v>3819.54</v>
      </c>
      <c r="L1965">
        <v>57293.1</v>
      </c>
      <c r="M1965">
        <v>6212.74</v>
      </c>
      <c r="N1965">
        <v>0</v>
      </c>
      <c r="O1965">
        <v>51080.36</v>
      </c>
      <c r="P1965" t="s">
        <v>32</v>
      </c>
      <c r="Q1965" t="s">
        <v>32</v>
      </c>
    </row>
    <row r="1966" spans="1:17" x14ac:dyDescent="0.25">
      <c r="A1966" t="s">
        <v>2083</v>
      </c>
      <c r="B1966" s="1">
        <v>45968</v>
      </c>
      <c r="C1966" t="s">
        <v>54</v>
      </c>
      <c r="D1966" t="s">
        <v>55</v>
      </c>
      <c r="E1966" t="s">
        <v>35</v>
      </c>
      <c r="F1966" t="s">
        <v>71</v>
      </c>
      <c r="G1966" t="s">
        <v>140</v>
      </c>
      <c r="H1966" t="s">
        <v>44</v>
      </c>
      <c r="I1966" t="s">
        <v>135</v>
      </c>
      <c r="J1966">
        <v>30</v>
      </c>
      <c r="K1966">
        <v>35486.730000000003</v>
      </c>
      <c r="L1966">
        <v>1064601.8999999999</v>
      </c>
      <c r="M1966">
        <v>176923.97</v>
      </c>
      <c r="N1966">
        <v>0</v>
      </c>
      <c r="O1966">
        <v>887677.93</v>
      </c>
      <c r="P1966" t="s">
        <v>73</v>
      </c>
      <c r="Q1966" t="s">
        <v>32</v>
      </c>
    </row>
    <row r="1967" spans="1:17" x14ac:dyDescent="0.25">
      <c r="A1967" t="s">
        <v>2084</v>
      </c>
      <c r="B1967" s="1">
        <v>45983</v>
      </c>
      <c r="C1967" t="s">
        <v>79</v>
      </c>
      <c r="D1967" t="s">
        <v>80</v>
      </c>
      <c r="E1967" t="s">
        <v>41</v>
      </c>
      <c r="F1967" t="s">
        <v>112</v>
      </c>
      <c r="G1967" t="s">
        <v>66</v>
      </c>
      <c r="H1967" t="s">
        <v>44</v>
      </c>
      <c r="I1967" t="s">
        <v>141</v>
      </c>
      <c r="J1967">
        <v>9</v>
      </c>
      <c r="K1967">
        <v>42381.760000000002</v>
      </c>
      <c r="L1967">
        <v>381435.84</v>
      </c>
      <c r="M1967">
        <v>76006.97</v>
      </c>
      <c r="N1967">
        <v>0</v>
      </c>
      <c r="O1967">
        <v>305428.87</v>
      </c>
      <c r="P1967" t="s">
        <v>73</v>
      </c>
      <c r="Q1967" t="s">
        <v>26</v>
      </c>
    </row>
    <row r="1968" spans="1:17" x14ac:dyDescent="0.25">
      <c r="A1968" t="s">
        <v>2085</v>
      </c>
      <c r="B1968" s="1">
        <v>45969</v>
      </c>
      <c r="C1968" t="s">
        <v>18</v>
      </c>
      <c r="D1968" t="s">
        <v>28</v>
      </c>
      <c r="E1968" t="s">
        <v>35</v>
      </c>
      <c r="F1968" t="s">
        <v>84</v>
      </c>
      <c r="G1968" t="s">
        <v>22</v>
      </c>
      <c r="H1968" t="s">
        <v>44</v>
      </c>
      <c r="I1968" t="s">
        <v>124</v>
      </c>
      <c r="J1968">
        <v>19</v>
      </c>
      <c r="K1968">
        <v>18617.88</v>
      </c>
      <c r="L1968">
        <v>353739.72</v>
      </c>
      <c r="M1968">
        <v>0</v>
      </c>
      <c r="N1968">
        <v>0</v>
      </c>
      <c r="O1968">
        <v>353739.72</v>
      </c>
      <c r="P1968" t="s">
        <v>25</v>
      </c>
      <c r="Q1968" t="s">
        <v>26</v>
      </c>
    </row>
    <row r="1969" spans="1:17" x14ac:dyDescent="0.25">
      <c r="A1969" t="s">
        <v>2086</v>
      </c>
      <c r="B1969" s="1">
        <v>46019</v>
      </c>
      <c r="C1969" t="s">
        <v>54</v>
      </c>
      <c r="D1969" t="s">
        <v>133</v>
      </c>
      <c r="E1969" t="s">
        <v>41</v>
      </c>
      <c r="F1969" t="s">
        <v>21</v>
      </c>
      <c r="G1969" t="s">
        <v>43</v>
      </c>
      <c r="H1969" t="s">
        <v>57</v>
      </c>
      <c r="I1969" t="s">
        <v>148</v>
      </c>
      <c r="J1969">
        <v>22</v>
      </c>
      <c r="K1969">
        <v>13312.8</v>
      </c>
      <c r="L1969">
        <v>292881.59999999998</v>
      </c>
      <c r="M1969">
        <v>0</v>
      </c>
      <c r="N1969">
        <v>0</v>
      </c>
      <c r="O1969">
        <v>292881.59999999998</v>
      </c>
      <c r="P1969" t="s">
        <v>32</v>
      </c>
      <c r="Q1969" t="s">
        <v>32</v>
      </c>
    </row>
    <row r="1970" spans="1:17" x14ac:dyDescent="0.25">
      <c r="A1970" t="s">
        <v>2087</v>
      </c>
      <c r="B1970" s="1">
        <v>45994</v>
      </c>
      <c r="C1970" t="s">
        <v>54</v>
      </c>
      <c r="D1970" t="s">
        <v>97</v>
      </c>
      <c r="E1970" t="s">
        <v>35</v>
      </c>
      <c r="F1970" t="s">
        <v>137</v>
      </c>
      <c r="G1970" t="s">
        <v>89</v>
      </c>
      <c r="H1970" t="s">
        <v>23</v>
      </c>
      <c r="I1970" t="s">
        <v>110</v>
      </c>
      <c r="J1970">
        <v>9</v>
      </c>
      <c r="K1970">
        <v>45345.19</v>
      </c>
      <c r="L1970">
        <v>408106.71</v>
      </c>
      <c r="M1970">
        <v>671.95</v>
      </c>
      <c r="N1970">
        <v>0</v>
      </c>
      <c r="O1970">
        <v>407434.76</v>
      </c>
      <c r="P1970" t="s">
        <v>25</v>
      </c>
      <c r="Q1970" t="s">
        <v>26</v>
      </c>
    </row>
    <row r="1971" spans="1:17" x14ac:dyDescent="0.25">
      <c r="A1971" t="s">
        <v>2088</v>
      </c>
      <c r="B1971" s="1">
        <v>46008</v>
      </c>
      <c r="C1971" t="s">
        <v>18</v>
      </c>
      <c r="D1971" t="s">
        <v>19</v>
      </c>
      <c r="E1971" t="s">
        <v>49</v>
      </c>
      <c r="F1971" t="s">
        <v>36</v>
      </c>
      <c r="G1971" t="s">
        <v>85</v>
      </c>
      <c r="H1971" t="s">
        <v>67</v>
      </c>
      <c r="I1971" t="s">
        <v>103</v>
      </c>
      <c r="J1971">
        <v>12</v>
      </c>
      <c r="K1971">
        <v>23489.99</v>
      </c>
      <c r="L1971">
        <v>281879.88</v>
      </c>
      <c r="M1971">
        <v>15682.22</v>
      </c>
      <c r="N1971">
        <v>0</v>
      </c>
      <c r="O1971">
        <v>266197.65999999997</v>
      </c>
      <c r="P1971" t="s">
        <v>73</v>
      </c>
      <c r="Q1971" t="s">
        <v>26</v>
      </c>
    </row>
    <row r="1972" spans="1:17" x14ac:dyDescent="0.25">
      <c r="A1972" t="s">
        <v>2089</v>
      </c>
      <c r="B1972" s="1">
        <v>46038</v>
      </c>
      <c r="C1972" t="s">
        <v>54</v>
      </c>
      <c r="D1972" t="s">
        <v>55</v>
      </c>
      <c r="E1972" t="s">
        <v>35</v>
      </c>
      <c r="F1972" t="s">
        <v>62</v>
      </c>
      <c r="G1972" t="s">
        <v>85</v>
      </c>
      <c r="H1972" t="s">
        <v>44</v>
      </c>
      <c r="I1972" t="s">
        <v>141</v>
      </c>
      <c r="J1972">
        <v>21</v>
      </c>
      <c r="K1972">
        <v>49144.13</v>
      </c>
      <c r="L1972">
        <v>1032026.73</v>
      </c>
      <c r="M1972">
        <v>0</v>
      </c>
      <c r="N1972">
        <v>0</v>
      </c>
      <c r="O1972">
        <v>1032026.73</v>
      </c>
      <c r="P1972" t="s">
        <v>73</v>
      </c>
      <c r="Q1972" t="s">
        <v>32</v>
      </c>
    </row>
    <row r="1973" spans="1:17" x14ac:dyDescent="0.25">
      <c r="A1973" t="s">
        <v>2090</v>
      </c>
      <c r="B1973" s="1">
        <v>46025</v>
      </c>
      <c r="C1973" t="s">
        <v>18</v>
      </c>
      <c r="D1973" t="s">
        <v>19</v>
      </c>
      <c r="E1973" t="s">
        <v>35</v>
      </c>
      <c r="F1973" t="s">
        <v>62</v>
      </c>
      <c r="G1973" t="s">
        <v>98</v>
      </c>
      <c r="H1973" t="s">
        <v>94</v>
      </c>
      <c r="I1973" t="s">
        <v>144</v>
      </c>
      <c r="J1973">
        <v>16</v>
      </c>
      <c r="K1973">
        <v>20274.75</v>
      </c>
      <c r="L1973">
        <v>324396</v>
      </c>
      <c r="M1973">
        <v>12322.73</v>
      </c>
      <c r="N1973">
        <v>0</v>
      </c>
      <c r="O1973">
        <v>312073.27</v>
      </c>
      <c r="P1973" t="s">
        <v>25</v>
      </c>
      <c r="Q1973" t="s">
        <v>32</v>
      </c>
    </row>
    <row r="1974" spans="1:17" x14ac:dyDescent="0.25">
      <c r="A1974" t="s">
        <v>2091</v>
      </c>
      <c r="B1974" s="1">
        <v>45975</v>
      </c>
      <c r="C1974" t="s">
        <v>47</v>
      </c>
      <c r="D1974" t="s">
        <v>114</v>
      </c>
      <c r="E1974" t="s">
        <v>35</v>
      </c>
      <c r="F1974" t="s">
        <v>84</v>
      </c>
      <c r="G1974" t="s">
        <v>102</v>
      </c>
      <c r="H1974" t="s">
        <v>38</v>
      </c>
      <c r="I1974" t="s">
        <v>108</v>
      </c>
      <c r="J1974">
        <v>43</v>
      </c>
      <c r="K1974">
        <v>1729.43</v>
      </c>
      <c r="L1974">
        <v>74365.490000000005</v>
      </c>
      <c r="M1974">
        <v>0</v>
      </c>
      <c r="N1974">
        <v>0</v>
      </c>
      <c r="O1974">
        <v>74365.490000000005</v>
      </c>
      <c r="P1974" t="s">
        <v>25</v>
      </c>
      <c r="Q1974" t="s">
        <v>26</v>
      </c>
    </row>
    <row r="1975" spans="1:17" x14ac:dyDescent="0.25">
      <c r="A1975" t="s">
        <v>2092</v>
      </c>
      <c r="B1975" s="1">
        <v>46025</v>
      </c>
      <c r="C1975" t="s">
        <v>18</v>
      </c>
      <c r="D1975" t="s">
        <v>28</v>
      </c>
      <c r="E1975" t="s">
        <v>49</v>
      </c>
      <c r="F1975" t="s">
        <v>36</v>
      </c>
      <c r="G1975" t="s">
        <v>138</v>
      </c>
      <c r="H1975" t="s">
        <v>38</v>
      </c>
      <c r="I1975" t="s">
        <v>175</v>
      </c>
      <c r="J1975">
        <v>27</v>
      </c>
      <c r="K1975">
        <v>47578.3</v>
      </c>
      <c r="L1975">
        <v>1284614.1000000001</v>
      </c>
      <c r="M1975">
        <v>0</v>
      </c>
      <c r="N1975">
        <v>0</v>
      </c>
      <c r="O1975">
        <v>1284614.1000000001</v>
      </c>
      <c r="P1975" t="s">
        <v>31</v>
      </c>
      <c r="Q1975" t="s">
        <v>32</v>
      </c>
    </row>
    <row r="1976" spans="1:17" x14ac:dyDescent="0.25">
      <c r="A1976" t="s">
        <v>2093</v>
      </c>
      <c r="B1976" s="1">
        <v>45983</v>
      </c>
      <c r="C1976" t="s">
        <v>54</v>
      </c>
      <c r="D1976" t="s">
        <v>133</v>
      </c>
      <c r="E1976" t="s">
        <v>35</v>
      </c>
      <c r="F1976" t="s">
        <v>137</v>
      </c>
      <c r="G1976" t="s">
        <v>22</v>
      </c>
      <c r="H1976" t="s">
        <v>94</v>
      </c>
      <c r="I1976" t="s">
        <v>95</v>
      </c>
      <c r="J1976">
        <v>15</v>
      </c>
      <c r="K1976">
        <v>3834.93</v>
      </c>
      <c r="L1976">
        <v>57523.95</v>
      </c>
      <c r="M1976">
        <v>0</v>
      </c>
      <c r="N1976">
        <v>0</v>
      </c>
      <c r="O1976">
        <v>57523.95</v>
      </c>
      <c r="P1976" t="s">
        <v>31</v>
      </c>
      <c r="Q1976" t="s">
        <v>32</v>
      </c>
    </row>
    <row r="1977" spans="1:17" x14ac:dyDescent="0.25">
      <c r="A1977" t="s">
        <v>2094</v>
      </c>
      <c r="B1977" s="1">
        <v>46042</v>
      </c>
      <c r="C1977" t="s">
        <v>79</v>
      </c>
      <c r="D1977" t="s">
        <v>101</v>
      </c>
      <c r="E1977" t="s">
        <v>35</v>
      </c>
      <c r="F1977" t="s">
        <v>50</v>
      </c>
      <c r="G1977" t="s">
        <v>22</v>
      </c>
      <c r="H1977" t="s">
        <v>44</v>
      </c>
      <c r="I1977" t="s">
        <v>124</v>
      </c>
      <c r="J1977">
        <v>35</v>
      </c>
      <c r="K1977">
        <v>40991.620000000003</v>
      </c>
      <c r="L1977">
        <v>1434706.7</v>
      </c>
      <c r="M1977">
        <v>43087.02</v>
      </c>
      <c r="N1977">
        <v>0</v>
      </c>
      <c r="O1977">
        <v>1391619.68</v>
      </c>
      <c r="P1977" t="s">
        <v>32</v>
      </c>
      <c r="Q1977" t="s">
        <v>32</v>
      </c>
    </row>
    <row r="1978" spans="1:17" x14ac:dyDescent="0.25">
      <c r="A1978" t="s">
        <v>2095</v>
      </c>
      <c r="B1978" s="1">
        <v>46026</v>
      </c>
      <c r="C1978" t="s">
        <v>47</v>
      </c>
      <c r="D1978" t="s">
        <v>48</v>
      </c>
      <c r="E1978" t="s">
        <v>20</v>
      </c>
      <c r="F1978" t="s">
        <v>105</v>
      </c>
      <c r="G1978" t="s">
        <v>56</v>
      </c>
      <c r="H1978" t="s">
        <v>44</v>
      </c>
      <c r="I1978" t="s">
        <v>281</v>
      </c>
      <c r="J1978">
        <v>27</v>
      </c>
      <c r="K1978">
        <v>41550.35</v>
      </c>
      <c r="L1978">
        <v>1121859.45</v>
      </c>
      <c r="M1978">
        <v>0</v>
      </c>
      <c r="N1978">
        <v>0</v>
      </c>
      <c r="O1978">
        <v>1121859.45</v>
      </c>
      <c r="P1978" t="s">
        <v>73</v>
      </c>
      <c r="Q1978" t="s">
        <v>26</v>
      </c>
    </row>
    <row r="1979" spans="1:17" x14ac:dyDescent="0.25">
      <c r="A1979" t="s">
        <v>2096</v>
      </c>
      <c r="B1979" s="1">
        <v>46024</v>
      </c>
      <c r="C1979" t="s">
        <v>60</v>
      </c>
      <c r="D1979" t="s">
        <v>123</v>
      </c>
      <c r="E1979" t="s">
        <v>41</v>
      </c>
      <c r="F1979" t="s">
        <v>50</v>
      </c>
      <c r="G1979" t="s">
        <v>89</v>
      </c>
      <c r="H1979" t="s">
        <v>57</v>
      </c>
      <c r="I1979" t="s">
        <v>118</v>
      </c>
      <c r="J1979">
        <v>36</v>
      </c>
      <c r="K1979">
        <v>34918.49</v>
      </c>
      <c r="L1979">
        <v>1257065.6399999999</v>
      </c>
      <c r="M1979">
        <v>160828.35999999999</v>
      </c>
      <c r="N1979">
        <v>0</v>
      </c>
      <c r="O1979">
        <v>1096237.28</v>
      </c>
      <c r="P1979" t="s">
        <v>31</v>
      </c>
      <c r="Q1979" t="s">
        <v>32</v>
      </c>
    </row>
    <row r="1980" spans="1:17" x14ac:dyDescent="0.25">
      <c r="A1980" t="s">
        <v>2097</v>
      </c>
      <c r="B1980" s="1">
        <v>45992</v>
      </c>
      <c r="C1980" t="s">
        <v>18</v>
      </c>
      <c r="D1980" t="s">
        <v>19</v>
      </c>
      <c r="E1980" t="s">
        <v>35</v>
      </c>
      <c r="F1980" t="s">
        <v>21</v>
      </c>
      <c r="G1980" t="s">
        <v>102</v>
      </c>
      <c r="H1980" t="s">
        <v>44</v>
      </c>
      <c r="I1980" t="s">
        <v>135</v>
      </c>
      <c r="J1980">
        <v>49</v>
      </c>
      <c r="K1980">
        <v>3494.13</v>
      </c>
      <c r="L1980">
        <v>171212.37</v>
      </c>
      <c r="M1980">
        <v>0</v>
      </c>
      <c r="N1980">
        <v>0</v>
      </c>
      <c r="O1980">
        <v>171212.37</v>
      </c>
      <c r="P1980" t="s">
        <v>25</v>
      </c>
      <c r="Q1980" t="s">
        <v>26</v>
      </c>
    </row>
    <row r="1981" spans="1:17" x14ac:dyDescent="0.25">
      <c r="A1981" t="s">
        <v>2098</v>
      </c>
      <c r="B1981" s="1">
        <v>46019</v>
      </c>
      <c r="C1981" t="s">
        <v>18</v>
      </c>
      <c r="D1981" t="s">
        <v>34</v>
      </c>
      <c r="E1981" t="s">
        <v>35</v>
      </c>
      <c r="F1981" t="s">
        <v>62</v>
      </c>
      <c r="G1981" t="s">
        <v>138</v>
      </c>
      <c r="H1981" t="s">
        <v>38</v>
      </c>
      <c r="I1981" t="s">
        <v>39</v>
      </c>
      <c r="J1981">
        <v>5</v>
      </c>
      <c r="K1981">
        <v>46697.25</v>
      </c>
      <c r="L1981">
        <v>233486.25</v>
      </c>
      <c r="M1981">
        <v>38815.75</v>
      </c>
      <c r="N1981">
        <v>0</v>
      </c>
      <c r="O1981">
        <v>194670.5</v>
      </c>
      <c r="P1981" t="s">
        <v>32</v>
      </c>
      <c r="Q1981" t="s">
        <v>26</v>
      </c>
    </row>
    <row r="1982" spans="1:17" x14ac:dyDescent="0.25">
      <c r="A1982" t="s">
        <v>2099</v>
      </c>
      <c r="B1982" s="1">
        <v>45977</v>
      </c>
      <c r="C1982" t="s">
        <v>18</v>
      </c>
      <c r="D1982" t="s">
        <v>34</v>
      </c>
      <c r="E1982" t="s">
        <v>20</v>
      </c>
      <c r="F1982" t="s">
        <v>105</v>
      </c>
      <c r="G1982" t="s">
        <v>29</v>
      </c>
      <c r="H1982" t="s">
        <v>94</v>
      </c>
      <c r="I1982" t="s">
        <v>193</v>
      </c>
      <c r="J1982">
        <v>22</v>
      </c>
      <c r="K1982">
        <v>36745.919999999998</v>
      </c>
      <c r="L1982">
        <v>808410.24</v>
      </c>
      <c r="M1982">
        <v>24569.77</v>
      </c>
      <c r="N1982">
        <v>0</v>
      </c>
      <c r="O1982">
        <v>783840.47</v>
      </c>
      <c r="P1982" t="s">
        <v>25</v>
      </c>
      <c r="Q1982" t="s">
        <v>32</v>
      </c>
    </row>
    <row r="1983" spans="1:17" x14ac:dyDescent="0.25">
      <c r="A1983" t="s">
        <v>2100</v>
      </c>
      <c r="B1983" s="1">
        <v>45994</v>
      </c>
      <c r="C1983" t="s">
        <v>47</v>
      </c>
      <c r="D1983" t="s">
        <v>114</v>
      </c>
      <c r="E1983" t="s">
        <v>49</v>
      </c>
      <c r="F1983" t="s">
        <v>50</v>
      </c>
      <c r="G1983" t="s">
        <v>138</v>
      </c>
      <c r="H1983" t="s">
        <v>57</v>
      </c>
      <c r="I1983" t="s">
        <v>92</v>
      </c>
      <c r="J1983">
        <v>1</v>
      </c>
      <c r="K1983">
        <v>49003.69</v>
      </c>
      <c r="L1983">
        <v>49003.69</v>
      </c>
      <c r="M1983">
        <v>0</v>
      </c>
      <c r="N1983">
        <v>5880.38</v>
      </c>
      <c r="O1983">
        <v>43123.31</v>
      </c>
      <c r="P1983" t="s">
        <v>31</v>
      </c>
      <c r="Q1983" t="s">
        <v>32</v>
      </c>
    </row>
    <row r="1984" spans="1:17" x14ac:dyDescent="0.25">
      <c r="A1984" t="s">
        <v>2101</v>
      </c>
      <c r="B1984" s="1">
        <v>46041</v>
      </c>
      <c r="C1984" t="s">
        <v>79</v>
      </c>
      <c r="D1984" t="s">
        <v>91</v>
      </c>
      <c r="E1984" t="s">
        <v>41</v>
      </c>
      <c r="F1984" t="s">
        <v>21</v>
      </c>
      <c r="G1984" t="s">
        <v>51</v>
      </c>
      <c r="H1984" t="s">
        <v>57</v>
      </c>
      <c r="I1984" t="s">
        <v>92</v>
      </c>
      <c r="J1984">
        <v>8</v>
      </c>
      <c r="K1984">
        <v>11238.32</v>
      </c>
      <c r="L1984">
        <v>89906.559999999998</v>
      </c>
      <c r="M1984">
        <v>8317.26</v>
      </c>
      <c r="N1984">
        <v>0</v>
      </c>
      <c r="O1984">
        <v>81589.3</v>
      </c>
      <c r="P1984" t="s">
        <v>32</v>
      </c>
      <c r="Q1984" t="s">
        <v>32</v>
      </c>
    </row>
    <row r="1985" spans="1:17" x14ac:dyDescent="0.25">
      <c r="A1985" t="s">
        <v>2102</v>
      </c>
      <c r="B1985" s="1">
        <v>45983</v>
      </c>
      <c r="C1985" t="s">
        <v>18</v>
      </c>
      <c r="D1985" t="s">
        <v>19</v>
      </c>
      <c r="E1985" t="s">
        <v>20</v>
      </c>
      <c r="F1985" t="s">
        <v>84</v>
      </c>
      <c r="G1985" t="s">
        <v>85</v>
      </c>
      <c r="H1985" t="s">
        <v>67</v>
      </c>
      <c r="I1985" t="s">
        <v>77</v>
      </c>
      <c r="J1985">
        <v>47</v>
      </c>
      <c r="K1985">
        <v>3781.83</v>
      </c>
      <c r="L1985">
        <v>177746.01</v>
      </c>
      <c r="M1985">
        <v>24879.02</v>
      </c>
      <c r="N1985">
        <v>0</v>
      </c>
      <c r="O1985">
        <v>152866.99</v>
      </c>
      <c r="P1985" t="s">
        <v>32</v>
      </c>
      <c r="Q1985" t="s">
        <v>26</v>
      </c>
    </row>
    <row r="1986" spans="1:17" x14ac:dyDescent="0.25">
      <c r="A1986" t="s">
        <v>2103</v>
      </c>
      <c r="B1986" s="1">
        <v>45982</v>
      </c>
      <c r="C1986" t="s">
        <v>60</v>
      </c>
      <c r="D1986" t="s">
        <v>151</v>
      </c>
      <c r="E1986" t="s">
        <v>20</v>
      </c>
      <c r="F1986" t="s">
        <v>50</v>
      </c>
      <c r="G1986" t="s">
        <v>37</v>
      </c>
      <c r="H1986" t="s">
        <v>57</v>
      </c>
      <c r="I1986" t="s">
        <v>58</v>
      </c>
      <c r="J1986">
        <v>40</v>
      </c>
      <c r="K1986">
        <v>36325.14</v>
      </c>
      <c r="L1986">
        <v>1453005.6</v>
      </c>
      <c r="M1986">
        <v>241205.15</v>
      </c>
      <c r="N1986">
        <v>0</v>
      </c>
      <c r="O1986">
        <v>1211800.45</v>
      </c>
      <c r="P1986" t="s">
        <v>32</v>
      </c>
      <c r="Q1986" t="s">
        <v>32</v>
      </c>
    </row>
    <row r="1987" spans="1:17" x14ac:dyDescent="0.25">
      <c r="A1987" t="s">
        <v>2104</v>
      </c>
      <c r="B1987" s="1">
        <v>46021</v>
      </c>
      <c r="C1987" t="s">
        <v>54</v>
      </c>
      <c r="D1987" t="s">
        <v>70</v>
      </c>
      <c r="E1987" t="s">
        <v>20</v>
      </c>
      <c r="F1987" t="s">
        <v>71</v>
      </c>
      <c r="G1987" t="s">
        <v>102</v>
      </c>
      <c r="H1987" t="s">
        <v>67</v>
      </c>
      <c r="I1987" t="s">
        <v>170</v>
      </c>
      <c r="J1987">
        <v>19</v>
      </c>
      <c r="K1987">
        <v>27753.37</v>
      </c>
      <c r="L1987">
        <v>527314.03</v>
      </c>
      <c r="M1987">
        <v>0</v>
      </c>
      <c r="N1987">
        <v>0</v>
      </c>
      <c r="O1987">
        <v>527314.03</v>
      </c>
      <c r="P1987" t="s">
        <v>25</v>
      </c>
      <c r="Q1987" t="s">
        <v>26</v>
      </c>
    </row>
    <row r="1988" spans="1:17" x14ac:dyDescent="0.25">
      <c r="A1988" t="s">
        <v>2105</v>
      </c>
      <c r="B1988" s="1">
        <v>46021</v>
      </c>
      <c r="C1988" t="s">
        <v>60</v>
      </c>
      <c r="D1988" t="s">
        <v>61</v>
      </c>
      <c r="E1988" t="s">
        <v>35</v>
      </c>
      <c r="F1988" t="s">
        <v>36</v>
      </c>
      <c r="G1988" t="s">
        <v>29</v>
      </c>
      <c r="H1988" t="s">
        <v>44</v>
      </c>
      <c r="I1988" t="s">
        <v>281</v>
      </c>
      <c r="J1988">
        <v>1</v>
      </c>
      <c r="K1988">
        <v>11628.4</v>
      </c>
      <c r="L1988">
        <v>11628.4</v>
      </c>
      <c r="M1988">
        <v>0</v>
      </c>
      <c r="N1988">
        <v>0</v>
      </c>
      <c r="O1988">
        <v>11628.4</v>
      </c>
      <c r="P1988" t="s">
        <v>32</v>
      </c>
      <c r="Q1988" t="s">
        <v>32</v>
      </c>
    </row>
    <row r="1989" spans="1:17" x14ac:dyDescent="0.25">
      <c r="A1989" t="s">
        <v>2106</v>
      </c>
      <c r="B1989" s="1">
        <v>46036</v>
      </c>
      <c r="C1989" t="s">
        <v>54</v>
      </c>
      <c r="D1989" t="s">
        <v>133</v>
      </c>
      <c r="E1989" t="s">
        <v>41</v>
      </c>
      <c r="F1989" t="s">
        <v>62</v>
      </c>
      <c r="G1989" t="s">
        <v>102</v>
      </c>
      <c r="H1989" t="s">
        <v>94</v>
      </c>
      <c r="I1989" t="s">
        <v>177</v>
      </c>
      <c r="J1989">
        <v>45</v>
      </c>
      <c r="K1989">
        <v>17196.88</v>
      </c>
      <c r="L1989">
        <v>773859.6</v>
      </c>
      <c r="M1989">
        <v>58452.52</v>
      </c>
      <c r="N1989">
        <v>85035.7</v>
      </c>
      <c r="O1989">
        <v>630371.38</v>
      </c>
      <c r="P1989" t="s">
        <v>32</v>
      </c>
      <c r="Q1989" t="s">
        <v>26</v>
      </c>
    </row>
    <row r="1990" spans="1:17" x14ac:dyDescent="0.25">
      <c r="A1990" t="s">
        <v>2107</v>
      </c>
      <c r="B1990" s="1">
        <v>46018</v>
      </c>
      <c r="C1990" t="s">
        <v>79</v>
      </c>
      <c r="D1990" t="s">
        <v>101</v>
      </c>
      <c r="E1990" t="s">
        <v>35</v>
      </c>
      <c r="F1990" t="s">
        <v>42</v>
      </c>
      <c r="G1990" t="s">
        <v>56</v>
      </c>
      <c r="H1990" t="s">
        <v>94</v>
      </c>
      <c r="I1990" t="s">
        <v>193</v>
      </c>
      <c r="J1990">
        <v>10</v>
      </c>
      <c r="K1990">
        <v>13103.37</v>
      </c>
      <c r="L1990">
        <v>131033.7</v>
      </c>
      <c r="M1990">
        <v>13905.23</v>
      </c>
      <c r="N1990">
        <v>0</v>
      </c>
      <c r="O1990">
        <v>117128.47</v>
      </c>
      <c r="P1990" t="s">
        <v>25</v>
      </c>
      <c r="Q1990" t="s">
        <v>26</v>
      </c>
    </row>
    <row r="1991" spans="1:17" x14ac:dyDescent="0.25">
      <c r="A1991" t="s">
        <v>2108</v>
      </c>
      <c r="B1991" s="1">
        <v>46007</v>
      </c>
      <c r="C1991" t="s">
        <v>79</v>
      </c>
      <c r="D1991" t="s">
        <v>107</v>
      </c>
      <c r="E1991" t="s">
        <v>20</v>
      </c>
      <c r="F1991" t="s">
        <v>42</v>
      </c>
      <c r="G1991" t="s">
        <v>56</v>
      </c>
      <c r="H1991" t="s">
        <v>57</v>
      </c>
      <c r="I1991" t="s">
        <v>92</v>
      </c>
      <c r="J1991">
        <v>35</v>
      </c>
      <c r="K1991">
        <v>46596.15</v>
      </c>
      <c r="L1991">
        <v>1630865.25</v>
      </c>
      <c r="M1991">
        <v>0</v>
      </c>
      <c r="N1991">
        <v>427708.46</v>
      </c>
      <c r="O1991">
        <v>1203156.79</v>
      </c>
      <c r="P1991" t="s">
        <v>31</v>
      </c>
      <c r="Q1991" t="s">
        <v>32</v>
      </c>
    </row>
    <row r="1992" spans="1:17" x14ac:dyDescent="0.25">
      <c r="A1992" t="s">
        <v>2109</v>
      </c>
      <c r="B1992" s="1">
        <v>46002</v>
      </c>
      <c r="C1992" t="s">
        <v>54</v>
      </c>
      <c r="D1992" t="s">
        <v>55</v>
      </c>
      <c r="E1992" t="s">
        <v>49</v>
      </c>
      <c r="F1992" t="s">
        <v>84</v>
      </c>
      <c r="G1992" t="s">
        <v>138</v>
      </c>
      <c r="H1992" t="s">
        <v>57</v>
      </c>
      <c r="I1992" t="s">
        <v>72</v>
      </c>
      <c r="J1992">
        <v>1</v>
      </c>
      <c r="K1992">
        <v>27510.52</v>
      </c>
      <c r="L1992">
        <v>27510.52</v>
      </c>
      <c r="M1992">
        <v>0</v>
      </c>
      <c r="N1992">
        <v>0</v>
      </c>
      <c r="O1992">
        <v>27510.52</v>
      </c>
      <c r="P1992" t="s">
        <v>32</v>
      </c>
      <c r="Q1992" t="s">
        <v>32</v>
      </c>
    </row>
    <row r="1993" spans="1:17" x14ac:dyDescent="0.25">
      <c r="A1993" t="s">
        <v>2110</v>
      </c>
      <c r="B1993" s="1">
        <v>46016</v>
      </c>
      <c r="C1993" t="s">
        <v>60</v>
      </c>
      <c r="D1993" t="s">
        <v>65</v>
      </c>
      <c r="E1993" t="s">
        <v>49</v>
      </c>
      <c r="F1993" t="s">
        <v>105</v>
      </c>
      <c r="G1993" t="s">
        <v>56</v>
      </c>
      <c r="H1993" t="s">
        <v>94</v>
      </c>
      <c r="I1993" t="s">
        <v>177</v>
      </c>
      <c r="J1993">
        <v>20</v>
      </c>
      <c r="K1993">
        <v>30875.8</v>
      </c>
      <c r="L1993">
        <v>617516</v>
      </c>
      <c r="M1993">
        <v>0</v>
      </c>
      <c r="N1993">
        <v>0</v>
      </c>
      <c r="O1993">
        <v>617516</v>
      </c>
      <c r="P1993" t="s">
        <v>25</v>
      </c>
      <c r="Q1993" t="s">
        <v>26</v>
      </c>
    </row>
    <row r="1994" spans="1:17" x14ac:dyDescent="0.25">
      <c r="A1994" t="s">
        <v>2111</v>
      </c>
      <c r="B1994" s="1">
        <v>45984</v>
      </c>
      <c r="C1994" t="s">
        <v>18</v>
      </c>
      <c r="D1994" t="s">
        <v>28</v>
      </c>
      <c r="E1994" t="s">
        <v>41</v>
      </c>
      <c r="F1994" t="s">
        <v>36</v>
      </c>
      <c r="G1994" t="s">
        <v>43</v>
      </c>
      <c r="H1994" t="s">
        <v>44</v>
      </c>
      <c r="I1994" t="s">
        <v>135</v>
      </c>
      <c r="J1994">
        <v>49</v>
      </c>
      <c r="K1994">
        <v>28584.240000000002</v>
      </c>
      <c r="L1994">
        <v>1400627.76</v>
      </c>
      <c r="M1994">
        <v>194477.05</v>
      </c>
      <c r="N1994">
        <v>0</v>
      </c>
      <c r="O1994">
        <v>1206150.71</v>
      </c>
      <c r="P1994" t="s">
        <v>25</v>
      </c>
      <c r="Q1994" t="s">
        <v>26</v>
      </c>
    </row>
    <row r="1995" spans="1:17" x14ac:dyDescent="0.25">
      <c r="A1995" t="s">
        <v>2112</v>
      </c>
      <c r="B1995" s="1">
        <v>46011</v>
      </c>
      <c r="C1995" t="s">
        <v>47</v>
      </c>
      <c r="D1995" t="s">
        <v>88</v>
      </c>
      <c r="E1995" t="s">
        <v>20</v>
      </c>
      <c r="F1995" t="s">
        <v>71</v>
      </c>
      <c r="G1995" t="s">
        <v>81</v>
      </c>
      <c r="H1995" t="s">
        <v>44</v>
      </c>
      <c r="I1995" t="s">
        <v>45</v>
      </c>
      <c r="J1995">
        <v>14</v>
      </c>
      <c r="K1995">
        <v>49500.41</v>
      </c>
      <c r="L1995">
        <v>693005.74</v>
      </c>
      <c r="M1995">
        <v>58306.83</v>
      </c>
      <c r="N1995">
        <v>0</v>
      </c>
      <c r="O1995">
        <v>634698.91</v>
      </c>
      <c r="P1995" t="s">
        <v>32</v>
      </c>
      <c r="Q1995" t="s">
        <v>26</v>
      </c>
    </row>
    <row r="1996" spans="1:17" x14ac:dyDescent="0.25">
      <c r="A1996" t="s">
        <v>2113</v>
      </c>
      <c r="B1996" s="1">
        <v>46023</v>
      </c>
      <c r="C1996" t="s">
        <v>54</v>
      </c>
      <c r="D1996" t="s">
        <v>70</v>
      </c>
      <c r="E1996" t="s">
        <v>20</v>
      </c>
      <c r="F1996" t="s">
        <v>36</v>
      </c>
      <c r="G1996" t="s">
        <v>51</v>
      </c>
      <c r="H1996" t="s">
        <v>94</v>
      </c>
      <c r="I1996" t="s">
        <v>163</v>
      </c>
      <c r="J1996">
        <v>36</v>
      </c>
      <c r="K1996">
        <v>7221.15</v>
      </c>
      <c r="L1996">
        <v>259961.4</v>
      </c>
      <c r="M1996">
        <v>0</v>
      </c>
      <c r="N1996">
        <v>45483.25</v>
      </c>
      <c r="O1996">
        <v>214478.15</v>
      </c>
      <c r="P1996" t="s">
        <v>73</v>
      </c>
      <c r="Q1996" t="s">
        <v>26</v>
      </c>
    </row>
    <row r="1997" spans="1:17" x14ac:dyDescent="0.25">
      <c r="A1997" t="s">
        <v>2114</v>
      </c>
      <c r="B1997" s="1">
        <v>46006</v>
      </c>
      <c r="C1997" t="s">
        <v>18</v>
      </c>
      <c r="D1997" t="s">
        <v>19</v>
      </c>
      <c r="E1997" t="s">
        <v>35</v>
      </c>
      <c r="F1997" t="s">
        <v>36</v>
      </c>
      <c r="G1997" t="s">
        <v>56</v>
      </c>
      <c r="H1997" t="s">
        <v>94</v>
      </c>
      <c r="I1997" t="s">
        <v>163</v>
      </c>
      <c r="J1997">
        <v>4</v>
      </c>
      <c r="K1997">
        <v>33697.019999999997</v>
      </c>
      <c r="L1997">
        <v>134788.07999999999</v>
      </c>
      <c r="M1997">
        <v>17321.650000000001</v>
      </c>
      <c r="N1997">
        <v>0</v>
      </c>
      <c r="O1997">
        <v>117466.43</v>
      </c>
      <c r="P1997" t="s">
        <v>32</v>
      </c>
      <c r="Q1997" t="s">
        <v>32</v>
      </c>
    </row>
    <row r="1998" spans="1:17" x14ac:dyDescent="0.25">
      <c r="A1998" t="s">
        <v>2115</v>
      </c>
      <c r="B1998" s="1">
        <v>45961</v>
      </c>
      <c r="C1998" t="s">
        <v>79</v>
      </c>
      <c r="D1998" t="s">
        <v>80</v>
      </c>
      <c r="E1998" t="s">
        <v>20</v>
      </c>
      <c r="F1998" t="s">
        <v>62</v>
      </c>
      <c r="G1998" t="s">
        <v>98</v>
      </c>
      <c r="H1998" t="s">
        <v>38</v>
      </c>
      <c r="I1998" t="s">
        <v>82</v>
      </c>
      <c r="J1998">
        <v>36</v>
      </c>
      <c r="K1998">
        <v>20994.43</v>
      </c>
      <c r="L1998">
        <v>755799.48</v>
      </c>
      <c r="M1998">
        <v>0</v>
      </c>
      <c r="N1998">
        <v>0</v>
      </c>
      <c r="O1998">
        <v>755799.48</v>
      </c>
      <c r="P1998" t="s">
        <v>73</v>
      </c>
      <c r="Q1998" t="s">
        <v>32</v>
      </c>
    </row>
    <row r="1999" spans="1:17" x14ac:dyDescent="0.25">
      <c r="A1999" t="s">
        <v>2116</v>
      </c>
      <c r="B1999" s="1">
        <v>45995</v>
      </c>
      <c r="C1999" t="s">
        <v>60</v>
      </c>
      <c r="D1999" t="s">
        <v>65</v>
      </c>
      <c r="E1999" t="s">
        <v>20</v>
      </c>
      <c r="F1999" t="s">
        <v>42</v>
      </c>
      <c r="G1999" t="s">
        <v>22</v>
      </c>
      <c r="H1999" t="s">
        <v>94</v>
      </c>
      <c r="I1999" t="s">
        <v>163</v>
      </c>
      <c r="J1999">
        <v>21</v>
      </c>
      <c r="K1999">
        <v>5151.24</v>
      </c>
      <c r="L1999">
        <v>108176.04</v>
      </c>
      <c r="M1999">
        <v>0</v>
      </c>
      <c r="N1999">
        <v>0</v>
      </c>
      <c r="O1999">
        <v>108176.04</v>
      </c>
      <c r="P1999" t="s">
        <v>32</v>
      </c>
      <c r="Q1999" t="s">
        <v>32</v>
      </c>
    </row>
    <row r="2000" spans="1:17" x14ac:dyDescent="0.25">
      <c r="A2000" t="s">
        <v>2117</v>
      </c>
      <c r="B2000" s="1">
        <v>45977</v>
      </c>
      <c r="C2000" t="s">
        <v>54</v>
      </c>
      <c r="D2000" t="s">
        <v>133</v>
      </c>
      <c r="E2000" t="s">
        <v>49</v>
      </c>
      <c r="F2000" t="s">
        <v>71</v>
      </c>
      <c r="G2000" t="s">
        <v>138</v>
      </c>
      <c r="H2000" t="s">
        <v>38</v>
      </c>
      <c r="I2000" t="s">
        <v>108</v>
      </c>
      <c r="J2000">
        <v>26</v>
      </c>
      <c r="K2000">
        <v>28133.18</v>
      </c>
      <c r="L2000">
        <v>731462.68</v>
      </c>
      <c r="M2000">
        <v>63681.31</v>
      </c>
      <c r="N2000">
        <v>75212.63</v>
      </c>
      <c r="O2000">
        <v>592568.74</v>
      </c>
      <c r="P2000" t="s">
        <v>73</v>
      </c>
      <c r="Q2000" t="s">
        <v>32</v>
      </c>
    </row>
    <row r="2001" spans="1:17" x14ac:dyDescent="0.25">
      <c r="A2001" t="s">
        <v>2118</v>
      </c>
      <c r="B2001" s="1">
        <v>45972</v>
      </c>
      <c r="C2001" t="s">
        <v>79</v>
      </c>
      <c r="D2001" t="s">
        <v>80</v>
      </c>
      <c r="E2001" t="s">
        <v>20</v>
      </c>
      <c r="F2001" t="s">
        <v>21</v>
      </c>
      <c r="G2001" t="s">
        <v>37</v>
      </c>
      <c r="H2001" t="s">
        <v>44</v>
      </c>
      <c r="I2001" t="s">
        <v>124</v>
      </c>
      <c r="J2001">
        <v>3</v>
      </c>
      <c r="K2001">
        <v>8921.69</v>
      </c>
      <c r="L2001">
        <v>26765.07</v>
      </c>
      <c r="M2001">
        <v>369.79</v>
      </c>
      <c r="N2001">
        <v>0</v>
      </c>
      <c r="O2001">
        <v>26395.279999999999</v>
      </c>
      <c r="P2001" t="s">
        <v>32</v>
      </c>
      <c r="Q2001" t="s">
        <v>26</v>
      </c>
    </row>
    <row r="2002" spans="1:17" x14ac:dyDescent="0.25">
      <c r="A2002" t="s">
        <v>2119</v>
      </c>
      <c r="B2002" s="1">
        <v>45960</v>
      </c>
      <c r="C2002" t="s">
        <v>54</v>
      </c>
      <c r="D2002" t="s">
        <v>70</v>
      </c>
      <c r="E2002" t="s">
        <v>41</v>
      </c>
      <c r="F2002" t="s">
        <v>21</v>
      </c>
      <c r="G2002" t="s">
        <v>22</v>
      </c>
      <c r="H2002" t="s">
        <v>44</v>
      </c>
      <c r="I2002" t="s">
        <v>281</v>
      </c>
      <c r="J2002">
        <v>18</v>
      </c>
      <c r="K2002">
        <v>35968.67</v>
      </c>
      <c r="L2002">
        <v>647436.06000000006</v>
      </c>
      <c r="M2002">
        <v>18158.48</v>
      </c>
      <c r="N2002">
        <v>0</v>
      </c>
      <c r="O2002">
        <v>629277.57999999996</v>
      </c>
      <c r="P2002" t="s">
        <v>73</v>
      </c>
      <c r="Q2002" t="s">
        <v>32</v>
      </c>
    </row>
    <row r="2003" spans="1:17" x14ac:dyDescent="0.25">
      <c r="A2003" t="s">
        <v>2120</v>
      </c>
      <c r="B2003" s="1">
        <v>46001</v>
      </c>
      <c r="C2003" t="s">
        <v>60</v>
      </c>
      <c r="D2003" t="s">
        <v>65</v>
      </c>
      <c r="E2003" t="s">
        <v>41</v>
      </c>
      <c r="F2003" t="s">
        <v>36</v>
      </c>
      <c r="G2003" t="s">
        <v>140</v>
      </c>
      <c r="H2003" t="s">
        <v>94</v>
      </c>
      <c r="I2003" t="s">
        <v>177</v>
      </c>
      <c r="J2003">
        <v>17</v>
      </c>
      <c r="K2003">
        <v>12515.11</v>
      </c>
      <c r="L2003">
        <v>212756.87</v>
      </c>
      <c r="M2003">
        <v>12096.72</v>
      </c>
      <c r="N2003">
        <v>0</v>
      </c>
      <c r="O2003">
        <v>200660.15</v>
      </c>
      <c r="P2003" t="s">
        <v>73</v>
      </c>
      <c r="Q2003" t="s">
        <v>26</v>
      </c>
    </row>
    <row r="2004" spans="1:17" x14ac:dyDescent="0.25">
      <c r="A2004" t="s">
        <v>2121</v>
      </c>
      <c r="B2004" s="1">
        <v>45997</v>
      </c>
      <c r="C2004" t="s">
        <v>18</v>
      </c>
      <c r="D2004" t="s">
        <v>28</v>
      </c>
      <c r="E2004" t="s">
        <v>49</v>
      </c>
      <c r="F2004" t="s">
        <v>84</v>
      </c>
      <c r="G2004" t="s">
        <v>85</v>
      </c>
      <c r="H2004" t="s">
        <v>44</v>
      </c>
      <c r="I2004" t="s">
        <v>135</v>
      </c>
      <c r="J2004">
        <v>43</v>
      </c>
      <c r="K2004">
        <v>47470.400000000001</v>
      </c>
      <c r="L2004">
        <v>2041227.2</v>
      </c>
      <c r="M2004">
        <v>170487.41</v>
      </c>
      <c r="N2004">
        <v>0</v>
      </c>
      <c r="O2004">
        <v>1870739.79</v>
      </c>
      <c r="P2004" t="s">
        <v>32</v>
      </c>
      <c r="Q2004" t="s">
        <v>32</v>
      </c>
    </row>
    <row r="2005" spans="1:17" x14ac:dyDescent="0.25">
      <c r="A2005" t="s">
        <v>2122</v>
      </c>
      <c r="B2005" s="1">
        <v>46012</v>
      </c>
      <c r="C2005" t="s">
        <v>60</v>
      </c>
      <c r="D2005" t="s">
        <v>151</v>
      </c>
      <c r="E2005" t="s">
        <v>49</v>
      </c>
      <c r="F2005" t="s">
        <v>62</v>
      </c>
      <c r="G2005" t="s">
        <v>81</v>
      </c>
      <c r="H2005" t="s">
        <v>23</v>
      </c>
      <c r="I2005" t="s">
        <v>30</v>
      </c>
      <c r="J2005">
        <v>25</v>
      </c>
      <c r="K2005">
        <v>32852.14</v>
      </c>
      <c r="L2005">
        <v>821303.5</v>
      </c>
      <c r="M2005">
        <v>108105.18</v>
      </c>
      <c r="N2005">
        <v>0</v>
      </c>
      <c r="O2005">
        <v>713198.32</v>
      </c>
      <c r="P2005" t="s">
        <v>73</v>
      </c>
      <c r="Q2005" t="s">
        <v>32</v>
      </c>
    </row>
    <row r="2006" spans="1:17" x14ac:dyDescent="0.25">
      <c r="A2006" t="s">
        <v>2123</v>
      </c>
      <c r="B2006" s="1">
        <v>45979</v>
      </c>
      <c r="C2006" t="s">
        <v>79</v>
      </c>
      <c r="D2006" t="s">
        <v>80</v>
      </c>
      <c r="E2006" t="s">
        <v>20</v>
      </c>
      <c r="F2006" t="s">
        <v>112</v>
      </c>
      <c r="G2006" t="s">
        <v>63</v>
      </c>
      <c r="H2006" t="s">
        <v>38</v>
      </c>
      <c r="I2006" t="s">
        <v>175</v>
      </c>
      <c r="J2006">
        <v>40</v>
      </c>
      <c r="K2006">
        <v>47128.91</v>
      </c>
      <c r="L2006">
        <v>1885156.4</v>
      </c>
      <c r="M2006">
        <v>54853.74</v>
      </c>
      <c r="N2006">
        <v>0</v>
      </c>
      <c r="O2006">
        <v>1830302.66</v>
      </c>
      <c r="P2006" t="s">
        <v>73</v>
      </c>
      <c r="Q2006" t="s">
        <v>26</v>
      </c>
    </row>
    <row r="2007" spans="1:17" x14ac:dyDescent="0.25">
      <c r="A2007" t="s">
        <v>2124</v>
      </c>
      <c r="B2007" s="1">
        <v>46024</v>
      </c>
      <c r="C2007" t="s">
        <v>47</v>
      </c>
      <c r="D2007" t="s">
        <v>114</v>
      </c>
      <c r="E2007" t="s">
        <v>41</v>
      </c>
      <c r="F2007" t="s">
        <v>71</v>
      </c>
      <c r="G2007" t="s">
        <v>81</v>
      </c>
      <c r="H2007" t="s">
        <v>94</v>
      </c>
      <c r="I2007" t="s">
        <v>144</v>
      </c>
      <c r="J2007">
        <v>12</v>
      </c>
      <c r="K2007">
        <v>37064.199999999997</v>
      </c>
      <c r="L2007">
        <v>444770.4</v>
      </c>
      <c r="M2007">
        <v>12701.87</v>
      </c>
      <c r="N2007">
        <v>0</v>
      </c>
      <c r="O2007">
        <v>432068.53</v>
      </c>
      <c r="P2007" t="s">
        <v>31</v>
      </c>
      <c r="Q2007" t="s">
        <v>32</v>
      </c>
    </row>
    <row r="2008" spans="1:17" x14ac:dyDescent="0.25">
      <c r="A2008" t="s">
        <v>2125</v>
      </c>
      <c r="B2008" s="1">
        <v>46013</v>
      </c>
      <c r="C2008" t="s">
        <v>60</v>
      </c>
      <c r="D2008" t="s">
        <v>65</v>
      </c>
      <c r="E2008" t="s">
        <v>49</v>
      </c>
      <c r="F2008" t="s">
        <v>84</v>
      </c>
      <c r="G2008" t="s">
        <v>66</v>
      </c>
      <c r="H2008" t="s">
        <v>23</v>
      </c>
      <c r="I2008" t="s">
        <v>52</v>
      </c>
      <c r="J2008">
        <v>37</v>
      </c>
      <c r="K2008">
        <v>27641.66</v>
      </c>
      <c r="L2008">
        <v>1022741.42</v>
      </c>
      <c r="M2008">
        <v>713.5</v>
      </c>
      <c r="N2008">
        <v>0</v>
      </c>
      <c r="O2008">
        <v>1022027.92</v>
      </c>
      <c r="P2008" t="s">
        <v>25</v>
      </c>
      <c r="Q2008" t="s">
        <v>26</v>
      </c>
    </row>
    <row r="2009" spans="1:17" x14ac:dyDescent="0.25">
      <c r="A2009" t="s">
        <v>2126</v>
      </c>
      <c r="B2009" s="1">
        <v>45975</v>
      </c>
      <c r="C2009" t="s">
        <v>54</v>
      </c>
      <c r="D2009" t="s">
        <v>133</v>
      </c>
      <c r="E2009" t="s">
        <v>20</v>
      </c>
      <c r="F2009" t="s">
        <v>137</v>
      </c>
      <c r="G2009" t="s">
        <v>98</v>
      </c>
      <c r="H2009" t="s">
        <v>23</v>
      </c>
      <c r="I2009" t="s">
        <v>30</v>
      </c>
      <c r="J2009">
        <v>19</v>
      </c>
      <c r="K2009">
        <v>46601.4</v>
      </c>
      <c r="L2009">
        <v>885426.6</v>
      </c>
      <c r="M2009">
        <v>146124.96</v>
      </c>
      <c r="N2009">
        <v>0</v>
      </c>
      <c r="O2009">
        <v>739301.64</v>
      </c>
      <c r="P2009" t="s">
        <v>73</v>
      </c>
      <c r="Q2009" t="s">
        <v>26</v>
      </c>
    </row>
    <row r="2010" spans="1:17" x14ac:dyDescent="0.25">
      <c r="A2010" t="s">
        <v>2127</v>
      </c>
      <c r="B2010" s="1">
        <v>46038</v>
      </c>
      <c r="C2010" t="s">
        <v>47</v>
      </c>
      <c r="D2010" t="s">
        <v>88</v>
      </c>
      <c r="E2010" t="s">
        <v>20</v>
      </c>
      <c r="F2010" t="s">
        <v>84</v>
      </c>
      <c r="G2010" t="s">
        <v>43</v>
      </c>
      <c r="H2010" t="s">
        <v>38</v>
      </c>
      <c r="I2010" t="s">
        <v>108</v>
      </c>
      <c r="J2010">
        <v>9</v>
      </c>
      <c r="K2010">
        <v>30249.040000000001</v>
      </c>
      <c r="L2010">
        <v>272241.36</v>
      </c>
      <c r="M2010">
        <v>15076.6</v>
      </c>
      <c r="N2010">
        <v>0</v>
      </c>
      <c r="O2010">
        <v>257164.76</v>
      </c>
      <c r="P2010" t="s">
        <v>32</v>
      </c>
      <c r="Q2010" t="s">
        <v>32</v>
      </c>
    </row>
    <row r="2011" spans="1:17" x14ac:dyDescent="0.25">
      <c r="A2011" t="s">
        <v>2128</v>
      </c>
      <c r="B2011" s="1">
        <v>45958</v>
      </c>
      <c r="C2011" t="s">
        <v>18</v>
      </c>
      <c r="D2011" t="s">
        <v>34</v>
      </c>
      <c r="E2011" t="s">
        <v>20</v>
      </c>
      <c r="F2011" t="s">
        <v>105</v>
      </c>
      <c r="G2011" t="s">
        <v>43</v>
      </c>
      <c r="H2011" t="s">
        <v>57</v>
      </c>
      <c r="I2011" t="s">
        <v>118</v>
      </c>
      <c r="J2011">
        <v>23</v>
      </c>
      <c r="K2011">
        <v>22929.54</v>
      </c>
      <c r="L2011">
        <v>527379.42000000004</v>
      </c>
      <c r="M2011">
        <v>4133.08</v>
      </c>
      <c r="N2011">
        <v>127089.76</v>
      </c>
      <c r="O2011">
        <v>396156.58</v>
      </c>
      <c r="P2011" t="s">
        <v>32</v>
      </c>
      <c r="Q2011" t="s">
        <v>32</v>
      </c>
    </row>
    <row r="2012" spans="1:17" x14ac:dyDescent="0.25">
      <c r="A2012" t="s">
        <v>2129</v>
      </c>
      <c r="B2012" s="1">
        <v>45987</v>
      </c>
      <c r="C2012" t="s">
        <v>47</v>
      </c>
      <c r="D2012" t="s">
        <v>48</v>
      </c>
      <c r="E2012" t="s">
        <v>49</v>
      </c>
      <c r="F2012" t="s">
        <v>71</v>
      </c>
      <c r="G2012" t="s">
        <v>66</v>
      </c>
      <c r="H2012" t="s">
        <v>67</v>
      </c>
      <c r="I2012" t="s">
        <v>201</v>
      </c>
      <c r="J2012">
        <v>26</v>
      </c>
      <c r="K2012">
        <v>29090.080000000002</v>
      </c>
      <c r="L2012">
        <v>756342.08</v>
      </c>
      <c r="M2012">
        <v>51286.47</v>
      </c>
      <c r="N2012">
        <v>0</v>
      </c>
      <c r="O2012">
        <v>705055.61</v>
      </c>
      <c r="P2012" t="s">
        <v>25</v>
      </c>
      <c r="Q2012" t="s">
        <v>26</v>
      </c>
    </row>
    <row r="2013" spans="1:17" x14ac:dyDescent="0.25">
      <c r="A2013" t="s">
        <v>2130</v>
      </c>
      <c r="B2013" s="1">
        <v>46032</v>
      </c>
      <c r="C2013" t="s">
        <v>60</v>
      </c>
      <c r="D2013" t="s">
        <v>65</v>
      </c>
      <c r="E2013" t="s">
        <v>49</v>
      </c>
      <c r="F2013" t="s">
        <v>112</v>
      </c>
      <c r="G2013" t="s">
        <v>140</v>
      </c>
      <c r="H2013" t="s">
        <v>44</v>
      </c>
      <c r="I2013" t="s">
        <v>45</v>
      </c>
      <c r="J2013">
        <v>44</v>
      </c>
      <c r="K2013">
        <v>18497.57</v>
      </c>
      <c r="L2013">
        <v>813893.08</v>
      </c>
      <c r="M2013">
        <v>10266.08</v>
      </c>
      <c r="N2013">
        <v>0</v>
      </c>
      <c r="O2013">
        <v>803627</v>
      </c>
      <c r="P2013" t="s">
        <v>31</v>
      </c>
      <c r="Q2013" t="s">
        <v>32</v>
      </c>
    </row>
    <row r="2014" spans="1:17" x14ac:dyDescent="0.25">
      <c r="A2014" t="s">
        <v>2131</v>
      </c>
      <c r="B2014" s="1">
        <v>45973</v>
      </c>
      <c r="C2014" t="s">
        <v>79</v>
      </c>
      <c r="D2014" t="s">
        <v>80</v>
      </c>
      <c r="E2014" t="s">
        <v>49</v>
      </c>
      <c r="F2014" t="s">
        <v>62</v>
      </c>
      <c r="G2014" t="s">
        <v>29</v>
      </c>
      <c r="H2014" t="s">
        <v>94</v>
      </c>
      <c r="I2014" t="s">
        <v>115</v>
      </c>
      <c r="J2014">
        <v>42</v>
      </c>
      <c r="K2014">
        <v>39328.620000000003</v>
      </c>
      <c r="L2014">
        <v>1651802.04</v>
      </c>
      <c r="M2014">
        <v>165161.60999999999</v>
      </c>
      <c r="N2014">
        <v>0</v>
      </c>
      <c r="O2014">
        <v>1486640.43</v>
      </c>
      <c r="P2014" t="s">
        <v>73</v>
      </c>
      <c r="Q2014" t="s">
        <v>32</v>
      </c>
    </row>
    <row r="2015" spans="1:17" x14ac:dyDescent="0.25">
      <c r="A2015" t="s">
        <v>2132</v>
      </c>
      <c r="B2015" s="1">
        <v>45954</v>
      </c>
      <c r="C2015" t="s">
        <v>18</v>
      </c>
      <c r="D2015" t="s">
        <v>34</v>
      </c>
      <c r="E2015" t="s">
        <v>41</v>
      </c>
      <c r="F2015" t="s">
        <v>36</v>
      </c>
      <c r="G2015" t="s">
        <v>56</v>
      </c>
      <c r="H2015" t="s">
        <v>23</v>
      </c>
      <c r="I2015" t="s">
        <v>131</v>
      </c>
      <c r="J2015">
        <v>20</v>
      </c>
      <c r="K2015">
        <v>42883.77</v>
      </c>
      <c r="L2015">
        <v>857675.4</v>
      </c>
      <c r="M2015">
        <v>138464</v>
      </c>
      <c r="N2015">
        <v>0</v>
      </c>
      <c r="O2015">
        <v>719211.4</v>
      </c>
      <c r="P2015" t="s">
        <v>31</v>
      </c>
      <c r="Q2015" t="s">
        <v>32</v>
      </c>
    </row>
    <row r="2016" spans="1:17" x14ac:dyDescent="0.25">
      <c r="A2016" t="s">
        <v>2133</v>
      </c>
      <c r="B2016" s="1">
        <v>45966</v>
      </c>
      <c r="C2016" t="s">
        <v>79</v>
      </c>
      <c r="D2016" t="s">
        <v>101</v>
      </c>
      <c r="E2016" t="s">
        <v>35</v>
      </c>
      <c r="F2016" t="s">
        <v>62</v>
      </c>
      <c r="G2016" t="s">
        <v>140</v>
      </c>
      <c r="H2016" t="s">
        <v>57</v>
      </c>
      <c r="I2016" t="s">
        <v>118</v>
      </c>
      <c r="J2016">
        <v>5</v>
      </c>
      <c r="K2016">
        <v>23899.09</v>
      </c>
      <c r="L2016">
        <v>119495.45</v>
      </c>
      <c r="M2016">
        <v>0</v>
      </c>
      <c r="N2016">
        <v>13572.52</v>
      </c>
      <c r="O2016">
        <v>105922.93</v>
      </c>
      <c r="P2016" t="s">
        <v>73</v>
      </c>
      <c r="Q2016" t="s">
        <v>32</v>
      </c>
    </row>
    <row r="2017" spans="1:17" x14ac:dyDescent="0.25">
      <c r="A2017" t="s">
        <v>2134</v>
      </c>
      <c r="B2017" s="1">
        <v>45970</v>
      </c>
      <c r="C2017" t="s">
        <v>79</v>
      </c>
      <c r="D2017" t="s">
        <v>91</v>
      </c>
      <c r="E2017" t="s">
        <v>35</v>
      </c>
      <c r="F2017" t="s">
        <v>36</v>
      </c>
      <c r="G2017" t="s">
        <v>85</v>
      </c>
      <c r="H2017" t="s">
        <v>67</v>
      </c>
      <c r="I2017" t="s">
        <v>170</v>
      </c>
      <c r="J2017">
        <v>35</v>
      </c>
      <c r="K2017">
        <v>39404.800000000003</v>
      </c>
      <c r="L2017">
        <v>1379168</v>
      </c>
      <c r="M2017">
        <v>0</v>
      </c>
      <c r="N2017">
        <v>0</v>
      </c>
      <c r="O2017">
        <v>1379168</v>
      </c>
      <c r="P2017" t="s">
        <v>31</v>
      </c>
      <c r="Q2017" t="s">
        <v>32</v>
      </c>
    </row>
    <row r="2018" spans="1:17" x14ac:dyDescent="0.25">
      <c r="A2018" t="s">
        <v>2135</v>
      </c>
      <c r="B2018" s="1">
        <v>46019</v>
      </c>
      <c r="C2018" t="s">
        <v>79</v>
      </c>
      <c r="D2018" t="s">
        <v>101</v>
      </c>
      <c r="E2018" t="s">
        <v>41</v>
      </c>
      <c r="F2018" t="s">
        <v>42</v>
      </c>
      <c r="G2018" t="s">
        <v>89</v>
      </c>
      <c r="H2018" t="s">
        <v>23</v>
      </c>
      <c r="I2018" t="s">
        <v>110</v>
      </c>
      <c r="J2018">
        <v>45</v>
      </c>
      <c r="K2018">
        <v>40933.08</v>
      </c>
      <c r="L2018">
        <v>1841988.6</v>
      </c>
      <c r="M2018">
        <v>96320.49</v>
      </c>
      <c r="N2018">
        <v>0</v>
      </c>
      <c r="O2018">
        <v>1745668.11</v>
      </c>
      <c r="P2018" t="s">
        <v>73</v>
      </c>
      <c r="Q2018" t="s">
        <v>26</v>
      </c>
    </row>
    <row r="2019" spans="1:17" x14ac:dyDescent="0.25">
      <c r="A2019" t="s">
        <v>2136</v>
      </c>
      <c r="B2019" s="1">
        <v>46006</v>
      </c>
      <c r="C2019" t="s">
        <v>47</v>
      </c>
      <c r="D2019" t="s">
        <v>88</v>
      </c>
      <c r="E2019" t="s">
        <v>49</v>
      </c>
      <c r="F2019" t="s">
        <v>71</v>
      </c>
      <c r="G2019" t="s">
        <v>66</v>
      </c>
      <c r="H2019" t="s">
        <v>94</v>
      </c>
      <c r="I2019" t="s">
        <v>115</v>
      </c>
      <c r="J2019">
        <v>40</v>
      </c>
      <c r="K2019">
        <v>42100.31</v>
      </c>
      <c r="L2019">
        <v>1684012.4</v>
      </c>
      <c r="M2019">
        <v>251214.42</v>
      </c>
      <c r="N2019">
        <v>0</v>
      </c>
      <c r="O2019">
        <v>1432797.98</v>
      </c>
      <c r="P2019" t="s">
        <v>25</v>
      </c>
      <c r="Q2019" t="s">
        <v>26</v>
      </c>
    </row>
    <row r="2020" spans="1:17" x14ac:dyDescent="0.25">
      <c r="A2020" t="s">
        <v>2137</v>
      </c>
      <c r="B2020" s="1">
        <v>45981</v>
      </c>
      <c r="C2020" t="s">
        <v>47</v>
      </c>
      <c r="D2020" t="s">
        <v>48</v>
      </c>
      <c r="E2020" t="s">
        <v>35</v>
      </c>
      <c r="F2020" t="s">
        <v>105</v>
      </c>
      <c r="G2020" t="s">
        <v>98</v>
      </c>
      <c r="H2020" t="s">
        <v>23</v>
      </c>
      <c r="I2020" t="s">
        <v>110</v>
      </c>
      <c r="J2020">
        <v>20</v>
      </c>
      <c r="K2020">
        <v>19342.13</v>
      </c>
      <c r="L2020">
        <v>386842.6</v>
      </c>
      <c r="M2020">
        <v>53432.99</v>
      </c>
      <c r="N2020">
        <v>93162.34</v>
      </c>
      <c r="O2020">
        <v>240247.27</v>
      </c>
      <c r="P2020" t="s">
        <v>32</v>
      </c>
      <c r="Q2020" t="s">
        <v>26</v>
      </c>
    </row>
    <row r="2021" spans="1:17" x14ac:dyDescent="0.25">
      <c r="A2021" t="s">
        <v>2138</v>
      </c>
      <c r="B2021" s="1">
        <v>46014</v>
      </c>
      <c r="C2021" t="s">
        <v>79</v>
      </c>
      <c r="D2021" t="s">
        <v>91</v>
      </c>
      <c r="E2021" t="s">
        <v>41</v>
      </c>
      <c r="F2021" t="s">
        <v>71</v>
      </c>
      <c r="G2021" t="s">
        <v>66</v>
      </c>
      <c r="H2021" t="s">
        <v>38</v>
      </c>
      <c r="I2021" t="s">
        <v>86</v>
      </c>
      <c r="J2021">
        <v>8</v>
      </c>
      <c r="K2021">
        <v>24898.3</v>
      </c>
      <c r="L2021">
        <v>199186.4</v>
      </c>
      <c r="M2021">
        <v>31841.03</v>
      </c>
      <c r="N2021">
        <v>0</v>
      </c>
      <c r="O2021">
        <v>167345.37</v>
      </c>
      <c r="P2021" t="s">
        <v>32</v>
      </c>
      <c r="Q2021" t="s">
        <v>26</v>
      </c>
    </row>
    <row r="2022" spans="1:17" x14ac:dyDescent="0.25">
      <c r="A2022" t="s">
        <v>2139</v>
      </c>
      <c r="B2022" s="1">
        <v>45994</v>
      </c>
      <c r="C2022" t="s">
        <v>79</v>
      </c>
      <c r="D2022" t="s">
        <v>107</v>
      </c>
      <c r="E2022" t="s">
        <v>49</v>
      </c>
      <c r="F2022" t="s">
        <v>71</v>
      </c>
      <c r="G2022" t="s">
        <v>29</v>
      </c>
      <c r="H2022" t="s">
        <v>67</v>
      </c>
      <c r="I2022" t="s">
        <v>170</v>
      </c>
      <c r="J2022">
        <v>20</v>
      </c>
      <c r="K2022">
        <v>6256.89</v>
      </c>
      <c r="L2022">
        <v>125137.8</v>
      </c>
      <c r="M2022">
        <v>15032.97</v>
      </c>
      <c r="N2022">
        <v>7854.25</v>
      </c>
      <c r="O2022">
        <v>102250.58</v>
      </c>
      <c r="P2022" t="s">
        <v>25</v>
      </c>
      <c r="Q2022" t="s">
        <v>32</v>
      </c>
    </row>
    <row r="2023" spans="1:17" x14ac:dyDescent="0.25">
      <c r="A2023" t="s">
        <v>2140</v>
      </c>
      <c r="B2023" s="1">
        <v>45958</v>
      </c>
      <c r="C2023" t="s">
        <v>18</v>
      </c>
      <c r="D2023" t="s">
        <v>28</v>
      </c>
      <c r="E2023" t="s">
        <v>49</v>
      </c>
      <c r="F2023" t="s">
        <v>105</v>
      </c>
      <c r="G2023" t="s">
        <v>56</v>
      </c>
      <c r="H2023" t="s">
        <v>94</v>
      </c>
      <c r="I2023" t="s">
        <v>115</v>
      </c>
      <c r="J2023">
        <v>25</v>
      </c>
      <c r="K2023">
        <v>15623.16</v>
      </c>
      <c r="L2023">
        <v>390579</v>
      </c>
      <c r="M2023">
        <v>7578.07</v>
      </c>
      <c r="N2023">
        <v>26952.82</v>
      </c>
      <c r="O2023">
        <v>356048.11</v>
      </c>
      <c r="P2023" t="s">
        <v>73</v>
      </c>
      <c r="Q2023" t="s">
        <v>26</v>
      </c>
    </row>
    <row r="2024" spans="1:17" x14ac:dyDescent="0.25">
      <c r="A2024" t="s">
        <v>2141</v>
      </c>
      <c r="B2024" s="1">
        <v>45991</v>
      </c>
      <c r="C2024" t="s">
        <v>79</v>
      </c>
      <c r="D2024" t="s">
        <v>80</v>
      </c>
      <c r="E2024" t="s">
        <v>35</v>
      </c>
      <c r="F2024" t="s">
        <v>84</v>
      </c>
      <c r="G2024" t="s">
        <v>85</v>
      </c>
      <c r="H2024" t="s">
        <v>38</v>
      </c>
      <c r="I2024" t="s">
        <v>120</v>
      </c>
      <c r="J2024">
        <v>35</v>
      </c>
      <c r="K2024">
        <v>15343.86</v>
      </c>
      <c r="L2024">
        <v>537035.1</v>
      </c>
      <c r="M2024">
        <v>55484.37</v>
      </c>
      <c r="N2024">
        <v>0</v>
      </c>
      <c r="O2024">
        <v>481550.73</v>
      </c>
      <c r="P2024" t="s">
        <v>73</v>
      </c>
      <c r="Q2024" t="s">
        <v>32</v>
      </c>
    </row>
    <row r="2025" spans="1:17" x14ac:dyDescent="0.25">
      <c r="A2025" t="s">
        <v>2142</v>
      </c>
      <c r="B2025" s="1">
        <v>45991</v>
      </c>
      <c r="C2025" t="s">
        <v>47</v>
      </c>
      <c r="D2025" t="s">
        <v>88</v>
      </c>
      <c r="E2025" t="s">
        <v>20</v>
      </c>
      <c r="F2025" t="s">
        <v>36</v>
      </c>
      <c r="G2025" t="s">
        <v>81</v>
      </c>
      <c r="H2025" t="s">
        <v>57</v>
      </c>
      <c r="I2025" t="s">
        <v>58</v>
      </c>
      <c r="J2025">
        <v>15</v>
      </c>
      <c r="K2025">
        <v>43789.83</v>
      </c>
      <c r="L2025">
        <v>656847.44999999995</v>
      </c>
      <c r="M2025">
        <v>15316.29</v>
      </c>
      <c r="N2025">
        <v>186050.8</v>
      </c>
      <c r="O2025">
        <v>455480.36</v>
      </c>
      <c r="P2025" t="s">
        <v>32</v>
      </c>
      <c r="Q2025" t="s">
        <v>32</v>
      </c>
    </row>
    <row r="2026" spans="1:17" x14ac:dyDescent="0.25">
      <c r="A2026" t="s">
        <v>2143</v>
      </c>
      <c r="B2026" s="1">
        <v>45986</v>
      </c>
      <c r="C2026" t="s">
        <v>79</v>
      </c>
      <c r="D2026" t="s">
        <v>91</v>
      </c>
      <c r="E2026" t="s">
        <v>49</v>
      </c>
      <c r="F2026" t="s">
        <v>105</v>
      </c>
      <c r="G2026" t="s">
        <v>140</v>
      </c>
      <c r="H2026" t="s">
        <v>44</v>
      </c>
      <c r="I2026" t="s">
        <v>45</v>
      </c>
      <c r="J2026">
        <v>30</v>
      </c>
      <c r="K2026">
        <v>36187.050000000003</v>
      </c>
      <c r="L2026">
        <v>1085611.5</v>
      </c>
      <c r="M2026">
        <v>0</v>
      </c>
      <c r="N2026">
        <v>71258.73</v>
      </c>
      <c r="O2026">
        <v>1014352.77</v>
      </c>
      <c r="P2026" t="s">
        <v>31</v>
      </c>
      <c r="Q2026" t="s">
        <v>32</v>
      </c>
    </row>
    <row r="2027" spans="1:17" x14ac:dyDescent="0.25">
      <c r="A2027" t="s">
        <v>2144</v>
      </c>
      <c r="B2027" s="1">
        <v>46041</v>
      </c>
      <c r="C2027" t="s">
        <v>54</v>
      </c>
      <c r="D2027" t="s">
        <v>133</v>
      </c>
      <c r="E2027" t="s">
        <v>20</v>
      </c>
      <c r="F2027" t="s">
        <v>84</v>
      </c>
      <c r="G2027" t="s">
        <v>102</v>
      </c>
      <c r="H2027" t="s">
        <v>57</v>
      </c>
      <c r="I2027" t="s">
        <v>148</v>
      </c>
      <c r="J2027">
        <v>26</v>
      </c>
      <c r="K2027">
        <v>30314.400000000001</v>
      </c>
      <c r="L2027">
        <v>788174.4</v>
      </c>
      <c r="M2027">
        <v>34127.949999999997</v>
      </c>
      <c r="N2027">
        <v>0</v>
      </c>
      <c r="O2027">
        <v>754046.45</v>
      </c>
      <c r="P2027" t="s">
        <v>73</v>
      </c>
      <c r="Q2027" t="s">
        <v>32</v>
      </c>
    </row>
    <row r="2028" spans="1:17" x14ac:dyDescent="0.25">
      <c r="A2028" t="s">
        <v>2145</v>
      </c>
      <c r="B2028" s="1">
        <v>46026</v>
      </c>
      <c r="C2028" t="s">
        <v>54</v>
      </c>
      <c r="D2028" t="s">
        <v>55</v>
      </c>
      <c r="E2028" t="s">
        <v>35</v>
      </c>
      <c r="F2028" t="s">
        <v>84</v>
      </c>
      <c r="G2028" t="s">
        <v>63</v>
      </c>
      <c r="H2028" t="s">
        <v>57</v>
      </c>
      <c r="I2028" t="s">
        <v>72</v>
      </c>
      <c r="J2028">
        <v>10</v>
      </c>
      <c r="K2028">
        <v>35338.83</v>
      </c>
      <c r="L2028">
        <v>353388.3</v>
      </c>
      <c r="M2028">
        <v>0</v>
      </c>
      <c r="N2028">
        <v>0</v>
      </c>
      <c r="O2028">
        <v>353388.3</v>
      </c>
      <c r="P2028" t="s">
        <v>25</v>
      </c>
      <c r="Q2028" t="s">
        <v>26</v>
      </c>
    </row>
    <row r="2029" spans="1:17" x14ac:dyDescent="0.25">
      <c r="A2029" t="s">
        <v>2146</v>
      </c>
      <c r="B2029" s="1">
        <v>45994</v>
      </c>
      <c r="C2029" t="s">
        <v>60</v>
      </c>
      <c r="D2029" t="s">
        <v>61</v>
      </c>
      <c r="E2029" t="s">
        <v>41</v>
      </c>
      <c r="F2029" t="s">
        <v>42</v>
      </c>
      <c r="G2029" t="s">
        <v>85</v>
      </c>
      <c r="H2029" t="s">
        <v>23</v>
      </c>
      <c r="I2029" t="s">
        <v>24</v>
      </c>
      <c r="J2029">
        <v>34</v>
      </c>
      <c r="K2029">
        <v>49719.39</v>
      </c>
      <c r="L2029">
        <v>1690459.26</v>
      </c>
      <c r="M2029">
        <v>0</v>
      </c>
      <c r="N2029">
        <v>0</v>
      </c>
      <c r="O2029">
        <v>1690459.26</v>
      </c>
      <c r="P2029" t="s">
        <v>31</v>
      </c>
      <c r="Q2029" t="s">
        <v>32</v>
      </c>
    </row>
    <row r="2030" spans="1:17" x14ac:dyDescent="0.25">
      <c r="A2030" t="s">
        <v>2147</v>
      </c>
      <c r="B2030" s="1">
        <v>45979</v>
      </c>
      <c r="C2030" t="s">
        <v>79</v>
      </c>
      <c r="D2030" t="s">
        <v>91</v>
      </c>
      <c r="E2030" t="s">
        <v>49</v>
      </c>
      <c r="F2030" t="s">
        <v>21</v>
      </c>
      <c r="G2030" t="s">
        <v>81</v>
      </c>
      <c r="H2030" t="s">
        <v>23</v>
      </c>
      <c r="I2030" t="s">
        <v>99</v>
      </c>
      <c r="J2030">
        <v>40</v>
      </c>
      <c r="K2030">
        <v>19005.36</v>
      </c>
      <c r="L2030">
        <v>760214.4</v>
      </c>
      <c r="M2030">
        <v>0</v>
      </c>
      <c r="N2030">
        <v>0</v>
      </c>
      <c r="O2030">
        <v>760214.4</v>
      </c>
      <c r="P2030" t="s">
        <v>31</v>
      </c>
      <c r="Q2030" t="s">
        <v>32</v>
      </c>
    </row>
    <row r="2031" spans="1:17" x14ac:dyDescent="0.25">
      <c r="A2031" t="s">
        <v>2148</v>
      </c>
      <c r="B2031" s="1">
        <v>45998</v>
      </c>
      <c r="C2031" t="s">
        <v>54</v>
      </c>
      <c r="D2031" t="s">
        <v>133</v>
      </c>
      <c r="E2031" t="s">
        <v>49</v>
      </c>
      <c r="F2031" t="s">
        <v>42</v>
      </c>
      <c r="G2031" t="s">
        <v>102</v>
      </c>
      <c r="H2031" t="s">
        <v>94</v>
      </c>
      <c r="I2031" t="s">
        <v>115</v>
      </c>
      <c r="J2031">
        <v>3</v>
      </c>
      <c r="K2031">
        <v>47053.2</v>
      </c>
      <c r="L2031">
        <v>141159.6</v>
      </c>
      <c r="M2031">
        <v>0</v>
      </c>
      <c r="N2031">
        <v>21920.84</v>
      </c>
      <c r="O2031">
        <v>119238.76</v>
      </c>
      <c r="P2031" t="s">
        <v>25</v>
      </c>
      <c r="Q2031" t="s">
        <v>26</v>
      </c>
    </row>
    <row r="2032" spans="1:17" x14ac:dyDescent="0.25">
      <c r="A2032" t="s">
        <v>2149</v>
      </c>
      <c r="B2032" s="1">
        <v>46029</v>
      </c>
      <c r="C2032" t="s">
        <v>18</v>
      </c>
      <c r="D2032" t="s">
        <v>75</v>
      </c>
      <c r="E2032" t="s">
        <v>35</v>
      </c>
      <c r="F2032" t="s">
        <v>84</v>
      </c>
      <c r="G2032" t="s">
        <v>51</v>
      </c>
      <c r="H2032" t="s">
        <v>23</v>
      </c>
      <c r="I2032" t="s">
        <v>110</v>
      </c>
      <c r="J2032">
        <v>44</v>
      </c>
      <c r="K2032">
        <v>24221.63</v>
      </c>
      <c r="L2032">
        <v>1065751.72</v>
      </c>
      <c r="M2032">
        <v>110769.02</v>
      </c>
      <c r="N2032">
        <v>0</v>
      </c>
      <c r="O2032">
        <v>954982.7</v>
      </c>
      <c r="P2032" t="s">
        <v>31</v>
      </c>
      <c r="Q2032" t="s">
        <v>32</v>
      </c>
    </row>
    <row r="2033" spans="1:17" x14ac:dyDescent="0.25">
      <c r="A2033" t="s">
        <v>2150</v>
      </c>
      <c r="B2033" s="1">
        <v>46022</v>
      </c>
      <c r="C2033" t="s">
        <v>47</v>
      </c>
      <c r="D2033" t="s">
        <v>114</v>
      </c>
      <c r="E2033" t="s">
        <v>41</v>
      </c>
      <c r="F2033" t="s">
        <v>112</v>
      </c>
      <c r="G2033" t="s">
        <v>37</v>
      </c>
      <c r="H2033" t="s">
        <v>23</v>
      </c>
      <c r="I2033" t="s">
        <v>110</v>
      </c>
      <c r="J2033">
        <v>27</v>
      </c>
      <c r="K2033">
        <v>8155.55</v>
      </c>
      <c r="L2033">
        <v>220199.85</v>
      </c>
      <c r="M2033">
        <v>0</v>
      </c>
      <c r="N2033">
        <v>17027.7</v>
      </c>
      <c r="O2033">
        <v>203172.15</v>
      </c>
      <c r="P2033" t="s">
        <v>73</v>
      </c>
      <c r="Q2033" t="s">
        <v>32</v>
      </c>
    </row>
    <row r="2034" spans="1:17" x14ac:dyDescent="0.25">
      <c r="A2034" t="s">
        <v>2151</v>
      </c>
      <c r="B2034" s="1">
        <v>46011</v>
      </c>
      <c r="C2034" t="s">
        <v>18</v>
      </c>
      <c r="D2034" t="s">
        <v>75</v>
      </c>
      <c r="E2034" t="s">
        <v>49</v>
      </c>
      <c r="F2034" t="s">
        <v>36</v>
      </c>
      <c r="G2034" t="s">
        <v>51</v>
      </c>
      <c r="H2034" t="s">
        <v>57</v>
      </c>
      <c r="I2034" t="s">
        <v>148</v>
      </c>
      <c r="J2034">
        <v>33</v>
      </c>
      <c r="K2034">
        <v>27742.959999999999</v>
      </c>
      <c r="L2034">
        <v>915517.68</v>
      </c>
      <c r="M2034">
        <v>158323.04</v>
      </c>
      <c r="N2034">
        <v>0</v>
      </c>
      <c r="O2034">
        <v>757194.64</v>
      </c>
      <c r="P2034" t="s">
        <v>25</v>
      </c>
      <c r="Q2034" t="s">
        <v>26</v>
      </c>
    </row>
    <row r="2035" spans="1:17" x14ac:dyDescent="0.25">
      <c r="A2035" t="s">
        <v>2152</v>
      </c>
      <c r="B2035" s="1">
        <v>46043</v>
      </c>
      <c r="C2035" t="s">
        <v>54</v>
      </c>
      <c r="D2035" t="s">
        <v>97</v>
      </c>
      <c r="E2035" t="s">
        <v>20</v>
      </c>
      <c r="F2035" t="s">
        <v>112</v>
      </c>
      <c r="G2035" t="s">
        <v>85</v>
      </c>
      <c r="H2035" t="s">
        <v>94</v>
      </c>
      <c r="I2035" t="s">
        <v>144</v>
      </c>
      <c r="J2035">
        <v>22</v>
      </c>
      <c r="K2035">
        <v>17773.12</v>
      </c>
      <c r="L2035">
        <v>391008.64</v>
      </c>
      <c r="M2035">
        <v>20401.66</v>
      </c>
      <c r="N2035">
        <v>0</v>
      </c>
      <c r="O2035">
        <v>370606.98</v>
      </c>
      <c r="P2035" t="s">
        <v>32</v>
      </c>
      <c r="Q2035" t="s">
        <v>32</v>
      </c>
    </row>
    <row r="2036" spans="1:17" x14ac:dyDescent="0.25">
      <c r="A2036" t="s">
        <v>2153</v>
      </c>
      <c r="B2036" s="1">
        <v>45958</v>
      </c>
      <c r="C2036" t="s">
        <v>54</v>
      </c>
      <c r="D2036" t="s">
        <v>55</v>
      </c>
      <c r="E2036" t="s">
        <v>41</v>
      </c>
      <c r="F2036" t="s">
        <v>112</v>
      </c>
      <c r="G2036" t="s">
        <v>37</v>
      </c>
      <c r="H2036" t="s">
        <v>38</v>
      </c>
      <c r="I2036" t="s">
        <v>108</v>
      </c>
      <c r="J2036">
        <v>43</v>
      </c>
      <c r="K2036">
        <v>40353.06</v>
      </c>
      <c r="L2036">
        <v>1735181.58</v>
      </c>
      <c r="M2036">
        <v>205524.89</v>
      </c>
      <c r="N2036">
        <v>0</v>
      </c>
      <c r="O2036">
        <v>1529656.69</v>
      </c>
      <c r="P2036" t="s">
        <v>25</v>
      </c>
      <c r="Q2036" t="s">
        <v>26</v>
      </c>
    </row>
    <row r="2037" spans="1:17" x14ac:dyDescent="0.25">
      <c r="A2037" t="s">
        <v>2154</v>
      </c>
      <c r="B2037" s="1">
        <v>45992</v>
      </c>
      <c r="C2037" t="s">
        <v>60</v>
      </c>
      <c r="D2037" t="s">
        <v>61</v>
      </c>
      <c r="E2037" t="s">
        <v>41</v>
      </c>
      <c r="F2037" t="s">
        <v>112</v>
      </c>
      <c r="G2037" t="s">
        <v>56</v>
      </c>
      <c r="H2037" t="s">
        <v>23</v>
      </c>
      <c r="I2037" t="s">
        <v>99</v>
      </c>
      <c r="J2037">
        <v>43</v>
      </c>
      <c r="K2037">
        <v>38319.480000000003</v>
      </c>
      <c r="L2037">
        <v>1647737.64</v>
      </c>
      <c r="M2037">
        <v>0</v>
      </c>
      <c r="N2037">
        <v>0</v>
      </c>
      <c r="O2037">
        <v>1647737.64</v>
      </c>
      <c r="P2037" t="s">
        <v>31</v>
      </c>
      <c r="Q2037" t="s">
        <v>32</v>
      </c>
    </row>
    <row r="2038" spans="1:17" x14ac:dyDescent="0.25">
      <c r="A2038" t="s">
        <v>2155</v>
      </c>
      <c r="B2038" s="1">
        <v>45959</v>
      </c>
      <c r="C2038" t="s">
        <v>60</v>
      </c>
      <c r="D2038" t="s">
        <v>61</v>
      </c>
      <c r="E2038" t="s">
        <v>49</v>
      </c>
      <c r="F2038" t="s">
        <v>84</v>
      </c>
      <c r="G2038" t="s">
        <v>81</v>
      </c>
      <c r="H2038" t="s">
        <v>23</v>
      </c>
      <c r="I2038" t="s">
        <v>99</v>
      </c>
      <c r="J2038">
        <v>20</v>
      </c>
      <c r="K2038">
        <v>43156</v>
      </c>
      <c r="L2038">
        <v>863120</v>
      </c>
      <c r="M2038">
        <v>0</v>
      </c>
      <c r="N2038">
        <v>0</v>
      </c>
      <c r="O2038">
        <v>863120</v>
      </c>
      <c r="P2038" t="s">
        <v>32</v>
      </c>
      <c r="Q2038" t="s">
        <v>32</v>
      </c>
    </row>
    <row r="2039" spans="1:17" x14ac:dyDescent="0.25">
      <c r="A2039" t="s">
        <v>2156</v>
      </c>
      <c r="B2039" s="1">
        <v>46001</v>
      </c>
      <c r="C2039" t="s">
        <v>18</v>
      </c>
      <c r="D2039" t="s">
        <v>34</v>
      </c>
      <c r="E2039" t="s">
        <v>20</v>
      </c>
      <c r="F2039" t="s">
        <v>62</v>
      </c>
      <c r="G2039" t="s">
        <v>29</v>
      </c>
      <c r="H2039" t="s">
        <v>57</v>
      </c>
      <c r="I2039" t="s">
        <v>148</v>
      </c>
      <c r="J2039">
        <v>50</v>
      </c>
      <c r="K2039">
        <v>37527.03</v>
      </c>
      <c r="L2039">
        <v>1876351.5</v>
      </c>
      <c r="M2039">
        <v>0</v>
      </c>
      <c r="N2039">
        <v>0</v>
      </c>
      <c r="O2039">
        <v>1876351.5</v>
      </c>
      <c r="P2039" t="s">
        <v>73</v>
      </c>
      <c r="Q2039" t="s">
        <v>32</v>
      </c>
    </row>
    <row r="2040" spans="1:17" x14ac:dyDescent="0.25">
      <c r="A2040" t="s">
        <v>2157</v>
      </c>
      <c r="B2040" s="1">
        <v>46010</v>
      </c>
      <c r="C2040" t="s">
        <v>47</v>
      </c>
      <c r="D2040" t="s">
        <v>48</v>
      </c>
      <c r="E2040" t="s">
        <v>35</v>
      </c>
      <c r="F2040" t="s">
        <v>112</v>
      </c>
      <c r="G2040" t="s">
        <v>63</v>
      </c>
      <c r="H2040" t="s">
        <v>67</v>
      </c>
      <c r="I2040" t="s">
        <v>77</v>
      </c>
      <c r="J2040">
        <v>41</v>
      </c>
      <c r="K2040">
        <v>49308.42</v>
      </c>
      <c r="L2040">
        <v>2021645.22</v>
      </c>
      <c r="M2040">
        <v>133618.07</v>
      </c>
      <c r="N2040">
        <v>0</v>
      </c>
      <c r="O2040">
        <v>1888027.15</v>
      </c>
      <c r="P2040" t="s">
        <v>31</v>
      </c>
      <c r="Q2040" t="s">
        <v>32</v>
      </c>
    </row>
    <row r="2041" spans="1:17" x14ac:dyDescent="0.25">
      <c r="A2041" t="s">
        <v>2158</v>
      </c>
      <c r="B2041" s="1">
        <v>46008</v>
      </c>
      <c r="C2041" t="s">
        <v>18</v>
      </c>
      <c r="D2041" t="s">
        <v>75</v>
      </c>
      <c r="E2041" t="s">
        <v>41</v>
      </c>
      <c r="F2041" t="s">
        <v>137</v>
      </c>
      <c r="G2041" t="s">
        <v>37</v>
      </c>
      <c r="H2041" t="s">
        <v>67</v>
      </c>
      <c r="I2041" t="s">
        <v>77</v>
      </c>
      <c r="J2041">
        <v>32</v>
      </c>
      <c r="K2041">
        <v>7286.27</v>
      </c>
      <c r="L2041">
        <v>233160.64</v>
      </c>
      <c r="M2041">
        <v>44202.720000000001</v>
      </c>
      <c r="N2041">
        <v>55845.25</v>
      </c>
      <c r="O2041">
        <v>133112.67000000001</v>
      </c>
      <c r="P2041" t="s">
        <v>32</v>
      </c>
      <c r="Q2041" t="s">
        <v>32</v>
      </c>
    </row>
    <row r="2042" spans="1:17" x14ac:dyDescent="0.25">
      <c r="A2042" t="s">
        <v>2159</v>
      </c>
      <c r="B2042" s="1">
        <v>45989</v>
      </c>
      <c r="C2042" t="s">
        <v>47</v>
      </c>
      <c r="D2042" t="s">
        <v>127</v>
      </c>
      <c r="E2042" t="s">
        <v>41</v>
      </c>
      <c r="F2042" t="s">
        <v>71</v>
      </c>
      <c r="G2042" t="s">
        <v>89</v>
      </c>
      <c r="H2042" t="s">
        <v>67</v>
      </c>
      <c r="I2042" t="s">
        <v>103</v>
      </c>
      <c r="J2042">
        <v>2</v>
      </c>
      <c r="K2042">
        <v>14211.9</v>
      </c>
      <c r="L2042">
        <v>28423.8</v>
      </c>
      <c r="M2042">
        <v>141.29</v>
      </c>
      <c r="N2042">
        <v>0</v>
      </c>
      <c r="O2042">
        <v>28282.51</v>
      </c>
      <c r="P2042" t="s">
        <v>25</v>
      </c>
      <c r="Q2042" t="s">
        <v>26</v>
      </c>
    </row>
    <row r="2043" spans="1:17" x14ac:dyDescent="0.25">
      <c r="A2043" t="s">
        <v>2160</v>
      </c>
      <c r="B2043" s="1">
        <v>45965</v>
      </c>
      <c r="C2043" t="s">
        <v>47</v>
      </c>
      <c r="D2043" t="s">
        <v>114</v>
      </c>
      <c r="E2043" t="s">
        <v>35</v>
      </c>
      <c r="F2043" t="s">
        <v>112</v>
      </c>
      <c r="G2043" t="s">
        <v>43</v>
      </c>
      <c r="H2043" t="s">
        <v>38</v>
      </c>
      <c r="I2043" t="s">
        <v>39</v>
      </c>
      <c r="J2043">
        <v>2</v>
      </c>
      <c r="K2043">
        <v>34608.36</v>
      </c>
      <c r="L2043">
        <v>69216.72</v>
      </c>
      <c r="M2043">
        <v>0</v>
      </c>
      <c r="N2043">
        <v>0</v>
      </c>
      <c r="O2043">
        <v>69216.72</v>
      </c>
      <c r="P2043" t="s">
        <v>32</v>
      </c>
      <c r="Q2043" t="s">
        <v>32</v>
      </c>
    </row>
    <row r="2044" spans="1:17" x14ac:dyDescent="0.25">
      <c r="A2044" t="s">
        <v>2161</v>
      </c>
      <c r="B2044" s="1">
        <v>46005</v>
      </c>
      <c r="C2044" t="s">
        <v>18</v>
      </c>
      <c r="D2044" t="s">
        <v>75</v>
      </c>
      <c r="E2044" t="s">
        <v>35</v>
      </c>
      <c r="F2044" t="s">
        <v>137</v>
      </c>
      <c r="G2044" t="s">
        <v>85</v>
      </c>
      <c r="H2044" t="s">
        <v>23</v>
      </c>
      <c r="I2044" t="s">
        <v>24</v>
      </c>
      <c r="J2044">
        <v>44</v>
      </c>
      <c r="K2044">
        <v>27630.55</v>
      </c>
      <c r="L2044">
        <v>1215744.2</v>
      </c>
      <c r="M2044">
        <v>4468.0200000000004</v>
      </c>
      <c r="N2044">
        <v>0</v>
      </c>
      <c r="O2044">
        <v>1211276.18</v>
      </c>
      <c r="P2044" t="s">
        <v>25</v>
      </c>
      <c r="Q2044" t="s">
        <v>26</v>
      </c>
    </row>
    <row r="2045" spans="1:17" x14ac:dyDescent="0.25">
      <c r="A2045" t="s">
        <v>2162</v>
      </c>
      <c r="B2045" s="1">
        <v>45997</v>
      </c>
      <c r="C2045" t="s">
        <v>18</v>
      </c>
      <c r="D2045" t="s">
        <v>19</v>
      </c>
      <c r="E2045" t="s">
        <v>35</v>
      </c>
      <c r="F2045" t="s">
        <v>36</v>
      </c>
      <c r="G2045" t="s">
        <v>63</v>
      </c>
      <c r="H2045" t="s">
        <v>44</v>
      </c>
      <c r="I2045" t="s">
        <v>281</v>
      </c>
      <c r="J2045">
        <v>27</v>
      </c>
      <c r="K2045">
        <v>24736.09</v>
      </c>
      <c r="L2045">
        <v>667874.43000000005</v>
      </c>
      <c r="M2045">
        <v>0</v>
      </c>
      <c r="N2045">
        <v>0</v>
      </c>
      <c r="O2045">
        <v>667874.43000000005</v>
      </c>
      <c r="P2045" t="s">
        <v>73</v>
      </c>
      <c r="Q2045" t="s">
        <v>32</v>
      </c>
    </row>
    <row r="2046" spans="1:17" x14ac:dyDescent="0.25">
      <c r="A2046" t="s">
        <v>2163</v>
      </c>
      <c r="B2046" s="1">
        <v>45999</v>
      </c>
      <c r="C2046" t="s">
        <v>47</v>
      </c>
      <c r="D2046" t="s">
        <v>48</v>
      </c>
      <c r="E2046" t="s">
        <v>49</v>
      </c>
      <c r="F2046" t="s">
        <v>21</v>
      </c>
      <c r="G2046" t="s">
        <v>63</v>
      </c>
      <c r="H2046" t="s">
        <v>23</v>
      </c>
      <c r="I2046" t="s">
        <v>110</v>
      </c>
      <c r="J2046">
        <v>1</v>
      </c>
      <c r="K2046">
        <v>12184.56</v>
      </c>
      <c r="L2046">
        <v>12184.56</v>
      </c>
      <c r="M2046">
        <v>651.48</v>
      </c>
      <c r="N2046">
        <v>0</v>
      </c>
      <c r="O2046">
        <v>11533.08</v>
      </c>
      <c r="P2046" t="s">
        <v>73</v>
      </c>
      <c r="Q2046" t="s">
        <v>32</v>
      </c>
    </row>
    <row r="2047" spans="1:17" x14ac:dyDescent="0.25">
      <c r="A2047" t="s">
        <v>2164</v>
      </c>
      <c r="B2047" s="1">
        <v>45954</v>
      </c>
      <c r="C2047" t="s">
        <v>47</v>
      </c>
      <c r="D2047" t="s">
        <v>114</v>
      </c>
      <c r="E2047" t="s">
        <v>41</v>
      </c>
      <c r="F2047" t="s">
        <v>71</v>
      </c>
      <c r="G2047" t="s">
        <v>51</v>
      </c>
      <c r="H2047" t="s">
        <v>67</v>
      </c>
      <c r="I2047" t="s">
        <v>77</v>
      </c>
      <c r="J2047">
        <v>46</v>
      </c>
      <c r="K2047">
        <v>42978.57</v>
      </c>
      <c r="L2047">
        <v>1977014.22</v>
      </c>
      <c r="M2047">
        <v>0</v>
      </c>
      <c r="N2047">
        <v>0</v>
      </c>
      <c r="O2047">
        <v>1977014.22</v>
      </c>
      <c r="P2047" t="s">
        <v>31</v>
      </c>
      <c r="Q2047" t="s">
        <v>32</v>
      </c>
    </row>
    <row r="2048" spans="1:17" x14ac:dyDescent="0.25">
      <c r="A2048" t="s">
        <v>2165</v>
      </c>
      <c r="B2048" s="1">
        <v>45960</v>
      </c>
      <c r="C2048" t="s">
        <v>54</v>
      </c>
      <c r="D2048" t="s">
        <v>133</v>
      </c>
      <c r="E2048" t="s">
        <v>41</v>
      </c>
      <c r="F2048" t="s">
        <v>36</v>
      </c>
      <c r="G2048" t="s">
        <v>102</v>
      </c>
      <c r="H2048" t="s">
        <v>23</v>
      </c>
      <c r="I2048" t="s">
        <v>99</v>
      </c>
      <c r="J2048">
        <v>31</v>
      </c>
      <c r="K2048">
        <v>22112.82</v>
      </c>
      <c r="L2048">
        <v>685497.42</v>
      </c>
      <c r="M2048">
        <v>113391.43</v>
      </c>
      <c r="N2048">
        <v>115593.19</v>
      </c>
      <c r="O2048">
        <v>456512.8</v>
      </c>
      <c r="P2048" t="s">
        <v>73</v>
      </c>
      <c r="Q2048" t="s">
        <v>26</v>
      </c>
    </row>
    <row r="2049" spans="1:17" x14ac:dyDescent="0.25">
      <c r="A2049" t="s">
        <v>2166</v>
      </c>
      <c r="B2049" s="1">
        <v>46001</v>
      </c>
      <c r="C2049" t="s">
        <v>18</v>
      </c>
      <c r="D2049" t="s">
        <v>75</v>
      </c>
      <c r="E2049" t="s">
        <v>35</v>
      </c>
      <c r="F2049" t="s">
        <v>71</v>
      </c>
      <c r="G2049" t="s">
        <v>98</v>
      </c>
      <c r="H2049" t="s">
        <v>38</v>
      </c>
      <c r="I2049" t="s">
        <v>86</v>
      </c>
      <c r="J2049">
        <v>41</v>
      </c>
      <c r="K2049">
        <v>34517.89</v>
      </c>
      <c r="L2049">
        <v>1415233.49</v>
      </c>
      <c r="M2049">
        <v>0</v>
      </c>
      <c r="N2049">
        <v>143902.26999999999</v>
      </c>
      <c r="O2049">
        <v>1271331.22</v>
      </c>
      <c r="P2049" t="s">
        <v>25</v>
      </c>
      <c r="Q2049" t="s">
        <v>26</v>
      </c>
    </row>
    <row r="2050" spans="1:17" x14ac:dyDescent="0.25">
      <c r="A2050" t="s">
        <v>2167</v>
      </c>
      <c r="B2050" s="1">
        <v>46024</v>
      </c>
      <c r="C2050" t="s">
        <v>54</v>
      </c>
      <c r="D2050" t="s">
        <v>55</v>
      </c>
      <c r="E2050" t="s">
        <v>41</v>
      </c>
      <c r="F2050" t="s">
        <v>21</v>
      </c>
      <c r="G2050" t="s">
        <v>37</v>
      </c>
      <c r="H2050" t="s">
        <v>57</v>
      </c>
      <c r="I2050" t="s">
        <v>118</v>
      </c>
      <c r="J2050">
        <v>16</v>
      </c>
      <c r="K2050">
        <v>38545.46</v>
      </c>
      <c r="L2050">
        <v>616727.36</v>
      </c>
      <c r="M2050">
        <v>0</v>
      </c>
      <c r="N2050">
        <v>0</v>
      </c>
      <c r="O2050">
        <v>616727.36</v>
      </c>
      <c r="P2050" t="s">
        <v>25</v>
      </c>
      <c r="Q2050" t="s">
        <v>26</v>
      </c>
    </row>
    <row r="2051" spans="1:17" x14ac:dyDescent="0.25">
      <c r="A2051" t="s">
        <v>2168</v>
      </c>
      <c r="B2051" s="1">
        <v>46019</v>
      </c>
      <c r="C2051" t="s">
        <v>18</v>
      </c>
      <c r="D2051" t="s">
        <v>75</v>
      </c>
      <c r="E2051" t="s">
        <v>41</v>
      </c>
      <c r="F2051" t="s">
        <v>50</v>
      </c>
      <c r="G2051" t="s">
        <v>29</v>
      </c>
      <c r="H2051" t="s">
        <v>94</v>
      </c>
      <c r="I2051" t="s">
        <v>95</v>
      </c>
      <c r="J2051">
        <v>13</v>
      </c>
      <c r="K2051">
        <v>7582.45</v>
      </c>
      <c r="L2051">
        <v>98571.85</v>
      </c>
      <c r="M2051">
        <v>0</v>
      </c>
      <c r="N2051">
        <v>0</v>
      </c>
      <c r="O2051">
        <v>98571.85</v>
      </c>
      <c r="P2051" t="s">
        <v>25</v>
      </c>
      <c r="Q2051" t="s">
        <v>26</v>
      </c>
    </row>
    <row r="2052" spans="1:17" x14ac:dyDescent="0.25">
      <c r="A2052" t="s">
        <v>2169</v>
      </c>
      <c r="B2052" s="1">
        <v>45961</v>
      </c>
      <c r="C2052" t="s">
        <v>18</v>
      </c>
      <c r="D2052" t="s">
        <v>28</v>
      </c>
      <c r="E2052" t="s">
        <v>41</v>
      </c>
      <c r="F2052" t="s">
        <v>137</v>
      </c>
      <c r="G2052" t="s">
        <v>22</v>
      </c>
      <c r="H2052" t="s">
        <v>94</v>
      </c>
      <c r="I2052" t="s">
        <v>144</v>
      </c>
      <c r="J2052">
        <v>7</v>
      </c>
      <c r="K2052">
        <v>36553.78</v>
      </c>
      <c r="L2052">
        <v>255876.46</v>
      </c>
      <c r="M2052">
        <v>27743.35</v>
      </c>
      <c r="N2052">
        <v>0</v>
      </c>
      <c r="O2052">
        <v>228133.11</v>
      </c>
      <c r="P2052" t="s">
        <v>25</v>
      </c>
      <c r="Q2052" t="s">
        <v>26</v>
      </c>
    </row>
    <row r="2053" spans="1:17" x14ac:dyDescent="0.25">
      <c r="A2053" t="s">
        <v>2170</v>
      </c>
      <c r="B2053" s="1">
        <v>45959</v>
      </c>
      <c r="C2053" t="s">
        <v>54</v>
      </c>
      <c r="D2053" t="s">
        <v>97</v>
      </c>
      <c r="E2053" t="s">
        <v>41</v>
      </c>
      <c r="F2053" t="s">
        <v>84</v>
      </c>
      <c r="G2053" t="s">
        <v>22</v>
      </c>
      <c r="H2053" t="s">
        <v>67</v>
      </c>
      <c r="I2053" t="s">
        <v>170</v>
      </c>
      <c r="J2053">
        <v>29</v>
      </c>
      <c r="K2053">
        <v>20013.04</v>
      </c>
      <c r="L2053">
        <v>580378.16</v>
      </c>
      <c r="M2053">
        <v>0</v>
      </c>
      <c r="N2053">
        <v>44007.41</v>
      </c>
      <c r="O2053">
        <v>536370.75</v>
      </c>
      <c r="P2053" t="s">
        <v>31</v>
      </c>
      <c r="Q2053" t="s">
        <v>32</v>
      </c>
    </row>
    <row r="2054" spans="1:17" x14ac:dyDescent="0.25">
      <c r="A2054" t="s">
        <v>2171</v>
      </c>
      <c r="B2054" s="1">
        <v>46028</v>
      </c>
      <c r="C2054" t="s">
        <v>18</v>
      </c>
      <c r="D2054" t="s">
        <v>19</v>
      </c>
      <c r="E2054" t="s">
        <v>49</v>
      </c>
      <c r="F2054" t="s">
        <v>105</v>
      </c>
      <c r="G2054" t="s">
        <v>138</v>
      </c>
      <c r="H2054" t="s">
        <v>38</v>
      </c>
      <c r="I2054" t="s">
        <v>39</v>
      </c>
      <c r="J2054">
        <v>25</v>
      </c>
      <c r="K2054">
        <v>28283.41</v>
      </c>
      <c r="L2054">
        <v>707085.25</v>
      </c>
      <c r="M2054">
        <v>0</v>
      </c>
      <c r="N2054">
        <v>0</v>
      </c>
      <c r="O2054">
        <v>707085.25</v>
      </c>
      <c r="P2054" t="s">
        <v>73</v>
      </c>
      <c r="Q2054" t="s">
        <v>32</v>
      </c>
    </row>
    <row r="2055" spans="1:17" x14ac:dyDescent="0.25">
      <c r="A2055" t="s">
        <v>2172</v>
      </c>
      <c r="B2055" s="1">
        <v>45992</v>
      </c>
      <c r="C2055" t="s">
        <v>60</v>
      </c>
      <c r="D2055" t="s">
        <v>65</v>
      </c>
      <c r="E2055" t="s">
        <v>41</v>
      </c>
      <c r="F2055" t="s">
        <v>71</v>
      </c>
      <c r="G2055" t="s">
        <v>89</v>
      </c>
      <c r="H2055" t="s">
        <v>23</v>
      </c>
      <c r="I2055" t="s">
        <v>99</v>
      </c>
      <c r="J2055">
        <v>8</v>
      </c>
      <c r="K2055">
        <v>34886</v>
      </c>
      <c r="L2055">
        <v>279088</v>
      </c>
      <c r="M2055">
        <v>11465</v>
      </c>
      <c r="N2055">
        <v>0</v>
      </c>
      <c r="O2055">
        <v>267623</v>
      </c>
      <c r="P2055" t="s">
        <v>25</v>
      </c>
      <c r="Q2055" t="s">
        <v>26</v>
      </c>
    </row>
    <row r="2056" spans="1:17" x14ac:dyDescent="0.25">
      <c r="A2056" t="s">
        <v>2173</v>
      </c>
      <c r="B2056" s="1">
        <v>46010</v>
      </c>
      <c r="C2056" t="s">
        <v>18</v>
      </c>
      <c r="D2056" t="s">
        <v>34</v>
      </c>
      <c r="E2056" t="s">
        <v>41</v>
      </c>
      <c r="F2056" t="s">
        <v>105</v>
      </c>
      <c r="G2056" t="s">
        <v>51</v>
      </c>
      <c r="H2056" t="s">
        <v>94</v>
      </c>
      <c r="I2056" t="s">
        <v>144</v>
      </c>
      <c r="J2056">
        <v>30</v>
      </c>
      <c r="K2056">
        <v>26266.7</v>
      </c>
      <c r="L2056">
        <v>788001</v>
      </c>
      <c r="M2056">
        <v>60564.73</v>
      </c>
      <c r="N2056">
        <v>0</v>
      </c>
      <c r="O2056">
        <v>727436.27</v>
      </c>
      <c r="P2056" t="s">
        <v>25</v>
      </c>
      <c r="Q2056" t="s">
        <v>26</v>
      </c>
    </row>
    <row r="2057" spans="1:17" x14ac:dyDescent="0.25">
      <c r="A2057" t="s">
        <v>2174</v>
      </c>
      <c r="B2057" s="1">
        <v>45968</v>
      </c>
      <c r="C2057" t="s">
        <v>47</v>
      </c>
      <c r="D2057" t="s">
        <v>114</v>
      </c>
      <c r="E2057" t="s">
        <v>20</v>
      </c>
      <c r="F2057" t="s">
        <v>50</v>
      </c>
      <c r="G2057" t="s">
        <v>63</v>
      </c>
      <c r="H2057" t="s">
        <v>94</v>
      </c>
      <c r="I2057" t="s">
        <v>115</v>
      </c>
      <c r="J2057">
        <v>40</v>
      </c>
      <c r="K2057">
        <v>47452.43</v>
      </c>
      <c r="L2057">
        <v>1898097.2</v>
      </c>
      <c r="M2057">
        <v>126689.07</v>
      </c>
      <c r="N2057">
        <v>0</v>
      </c>
      <c r="O2057">
        <v>1771408.13</v>
      </c>
      <c r="P2057" t="s">
        <v>31</v>
      </c>
      <c r="Q2057" t="s">
        <v>32</v>
      </c>
    </row>
    <row r="2058" spans="1:17" x14ac:dyDescent="0.25">
      <c r="A2058" t="s">
        <v>2175</v>
      </c>
      <c r="B2058" s="1">
        <v>46025</v>
      </c>
      <c r="C2058" t="s">
        <v>60</v>
      </c>
      <c r="D2058" t="s">
        <v>61</v>
      </c>
      <c r="E2058" t="s">
        <v>20</v>
      </c>
      <c r="F2058" t="s">
        <v>42</v>
      </c>
      <c r="G2058" t="s">
        <v>56</v>
      </c>
      <c r="H2058" t="s">
        <v>44</v>
      </c>
      <c r="I2058" t="s">
        <v>152</v>
      </c>
      <c r="J2058">
        <v>36</v>
      </c>
      <c r="K2058">
        <v>10723.93</v>
      </c>
      <c r="L2058">
        <v>386061.48</v>
      </c>
      <c r="M2058">
        <v>32612.1</v>
      </c>
      <c r="N2058">
        <v>106410.87</v>
      </c>
      <c r="O2058">
        <v>247038.51</v>
      </c>
      <c r="P2058" t="s">
        <v>31</v>
      </c>
      <c r="Q2058" t="s">
        <v>32</v>
      </c>
    </row>
    <row r="2059" spans="1:17" x14ac:dyDescent="0.25">
      <c r="A2059" t="s">
        <v>2176</v>
      </c>
      <c r="B2059" s="1">
        <v>45987</v>
      </c>
      <c r="C2059" t="s">
        <v>47</v>
      </c>
      <c r="D2059" t="s">
        <v>48</v>
      </c>
      <c r="E2059" t="s">
        <v>35</v>
      </c>
      <c r="F2059" t="s">
        <v>105</v>
      </c>
      <c r="G2059" t="s">
        <v>98</v>
      </c>
      <c r="H2059" t="s">
        <v>23</v>
      </c>
      <c r="I2059" t="s">
        <v>131</v>
      </c>
      <c r="J2059">
        <v>37</v>
      </c>
      <c r="K2059">
        <v>5733.01</v>
      </c>
      <c r="L2059">
        <v>212121.37</v>
      </c>
      <c r="M2059">
        <v>28081.49</v>
      </c>
      <c r="N2059">
        <v>0</v>
      </c>
      <c r="O2059">
        <v>184039.88</v>
      </c>
      <c r="P2059" t="s">
        <v>25</v>
      </c>
      <c r="Q2059" t="s">
        <v>26</v>
      </c>
    </row>
    <row r="2060" spans="1:17" x14ac:dyDescent="0.25">
      <c r="A2060" t="s">
        <v>2177</v>
      </c>
      <c r="B2060" s="1">
        <v>46030</v>
      </c>
      <c r="C2060" t="s">
        <v>79</v>
      </c>
      <c r="D2060" t="s">
        <v>80</v>
      </c>
      <c r="E2060" t="s">
        <v>20</v>
      </c>
      <c r="F2060" t="s">
        <v>105</v>
      </c>
      <c r="G2060" t="s">
        <v>81</v>
      </c>
      <c r="H2060" t="s">
        <v>57</v>
      </c>
      <c r="I2060" t="s">
        <v>72</v>
      </c>
      <c r="J2060">
        <v>42</v>
      </c>
      <c r="K2060">
        <v>21791.03</v>
      </c>
      <c r="L2060">
        <v>915223.26</v>
      </c>
      <c r="M2060">
        <v>0</v>
      </c>
      <c r="N2060">
        <v>0</v>
      </c>
      <c r="O2060">
        <v>915223.26</v>
      </c>
      <c r="P2060" t="s">
        <v>31</v>
      </c>
      <c r="Q2060" t="s">
        <v>32</v>
      </c>
    </row>
    <row r="2061" spans="1:17" x14ac:dyDescent="0.25">
      <c r="A2061" t="s">
        <v>2178</v>
      </c>
      <c r="B2061" s="1">
        <v>45992</v>
      </c>
      <c r="C2061" t="s">
        <v>79</v>
      </c>
      <c r="D2061" t="s">
        <v>80</v>
      </c>
      <c r="E2061" t="s">
        <v>35</v>
      </c>
      <c r="F2061" t="s">
        <v>21</v>
      </c>
      <c r="G2061" t="s">
        <v>43</v>
      </c>
      <c r="H2061" t="s">
        <v>44</v>
      </c>
      <c r="I2061" t="s">
        <v>45</v>
      </c>
      <c r="J2061">
        <v>9</v>
      </c>
      <c r="K2061">
        <v>47147.1</v>
      </c>
      <c r="L2061">
        <v>424323.9</v>
      </c>
      <c r="M2061">
        <v>0</v>
      </c>
      <c r="N2061">
        <v>0</v>
      </c>
      <c r="O2061">
        <v>424323.9</v>
      </c>
      <c r="P2061" t="s">
        <v>32</v>
      </c>
      <c r="Q2061" t="s">
        <v>32</v>
      </c>
    </row>
    <row r="2062" spans="1:17" x14ac:dyDescent="0.25">
      <c r="A2062" t="s">
        <v>2179</v>
      </c>
      <c r="B2062" s="1">
        <v>45966</v>
      </c>
      <c r="C2062" t="s">
        <v>60</v>
      </c>
      <c r="D2062" t="s">
        <v>65</v>
      </c>
      <c r="E2062" t="s">
        <v>20</v>
      </c>
      <c r="F2062" t="s">
        <v>50</v>
      </c>
      <c r="G2062" t="s">
        <v>85</v>
      </c>
      <c r="H2062" t="s">
        <v>23</v>
      </c>
      <c r="I2062" t="s">
        <v>99</v>
      </c>
      <c r="J2062">
        <v>44</v>
      </c>
      <c r="K2062">
        <v>10636.15</v>
      </c>
      <c r="L2062">
        <v>467990.6</v>
      </c>
      <c r="M2062">
        <v>0</v>
      </c>
      <c r="N2062">
        <v>0</v>
      </c>
      <c r="O2062">
        <v>467990.6</v>
      </c>
      <c r="P2062" t="s">
        <v>25</v>
      </c>
      <c r="Q2062" t="s">
        <v>32</v>
      </c>
    </row>
    <row r="2063" spans="1:17" x14ac:dyDescent="0.25">
      <c r="A2063" t="s">
        <v>2180</v>
      </c>
      <c r="B2063" s="1">
        <v>46045</v>
      </c>
      <c r="C2063" t="s">
        <v>54</v>
      </c>
      <c r="D2063" t="s">
        <v>133</v>
      </c>
      <c r="E2063" t="s">
        <v>20</v>
      </c>
      <c r="F2063" t="s">
        <v>105</v>
      </c>
      <c r="G2063" t="s">
        <v>138</v>
      </c>
      <c r="H2063" t="s">
        <v>57</v>
      </c>
      <c r="I2063" t="s">
        <v>118</v>
      </c>
      <c r="J2063">
        <v>35</v>
      </c>
      <c r="K2063">
        <v>19220.580000000002</v>
      </c>
      <c r="L2063">
        <v>672720.3</v>
      </c>
      <c r="M2063">
        <v>89844.91</v>
      </c>
      <c r="N2063">
        <v>175581.26</v>
      </c>
      <c r="O2063">
        <v>407294.13</v>
      </c>
      <c r="P2063" t="s">
        <v>25</v>
      </c>
      <c r="Q2063" t="s">
        <v>26</v>
      </c>
    </row>
    <row r="2064" spans="1:17" x14ac:dyDescent="0.25">
      <c r="A2064" t="s">
        <v>2181</v>
      </c>
      <c r="B2064" s="1">
        <v>45969</v>
      </c>
      <c r="C2064" t="s">
        <v>54</v>
      </c>
      <c r="D2064" t="s">
        <v>70</v>
      </c>
      <c r="E2064" t="s">
        <v>35</v>
      </c>
      <c r="F2064" t="s">
        <v>36</v>
      </c>
      <c r="G2064" t="s">
        <v>37</v>
      </c>
      <c r="H2064" t="s">
        <v>94</v>
      </c>
      <c r="I2064" t="s">
        <v>163</v>
      </c>
      <c r="J2064">
        <v>17</v>
      </c>
      <c r="K2064">
        <v>40559.35</v>
      </c>
      <c r="L2064">
        <v>689508.95</v>
      </c>
      <c r="M2064">
        <v>0</v>
      </c>
      <c r="N2064">
        <v>0</v>
      </c>
      <c r="O2064">
        <v>689508.95</v>
      </c>
      <c r="P2064" t="s">
        <v>31</v>
      </c>
      <c r="Q2064" t="s">
        <v>32</v>
      </c>
    </row>
    <row r="2065" spans="1:17" x14ac:dyDescent="0.25">
      <c r="A2065" t="s">
        <v>2182</v>
      </c>
      <c r="B2065" s="1">
        <v>45991</v>
      </c>
      <c r="C2065" t="s">
        <v>18</v>
      </c>
      <c r="D2065" t="s">
        <v>75</v>
      </c>
      <c r="E2065" t="s">
        <v>41</v>
      </c>
      <c r="F2065" t="s">
        <v>62</v>
      </c>
      <c r="G2065" t="s">
        <v>98</v>
      </c>
      <c r="H2065" t="s">
        <v>38</v>
      </c>
      <c r="I2065" t="s">
        <v>175</v>
      </c>
      <c r="J2065">
        <v>18</v>
      </c>
      <c r="K2065">
        <v>45184.53</v>
      </c>
      <c r="L2065">
        <v>813321.54</v>
      </c>
      <c r="M2065">
        <v>30641.91</v>
      </c>
      <c r="N2065">
        <v>0</v>
      </c>
      <c r="O2065">
        <v>782679.63</v>
      </c>
      <c r="P2065" t="s">
        <v>32</v>
      </c>
      <c r="Q2065" t="s">
        <v>26</v>
      </c>
    </row>
    <row r="2066" spans="1:17" x14ac:dyDescent="0.25">
      <c r="A2066" t="s">
        <v>2183</v>
      </c>
      <c r="B2066" s="1">
        <v>46044</v>
      </c>
      <c r="C2066" t="s">
        <v>60</v>
      </c>
      <c r="D2066" t="s">
        <v>65</v>
      </c>
      <c r="E2066" t="s">
        <v>35</v>
      </c>
      <c r="F2066" t="s">
        <v>62</v>
      </c>
      <c r="G2066" t="s">
        <v>37</v>
      </c>
      <c r="H2066" t="s">
        <v>57</v>
      </c>
      <c r="I2066" t="s">
        <v>160</v>
      </c>
      <c r="J2066">
        <v>20</v>
      </c>
      <c r="K2066">
        <v>7894.49</v>
      </c>
      <c r="L2066">
        <v>157889.79999999999</v>
      </c>
      <c r="M2066">
        <v>0</v>
      </c>
      <c r="N2066">
        <v>0</v>
      </c>
      <c r="O2066">
        <v>157889.79999999999</v>
      </c>
      <c r="P2066" t="s">
        <v>32</v>
      </c>
      <c r="Q2066" t="s">
        <v>26</v>
      </c>
    </row>
    <row r="2067" spans="1:17" x14ac:dyDescent="0.25">
      <c r="A2067" t="s">
        <v>2184</v>
      </c>
      <c r="B2067" s="1">
        <v>45988</v>
      </c>
      <c r="C2067" t="s">
        <v>54</v>
      </c>
      <c r="D2067" t="s">
        <v>97</v>
      </c>
      <c r="E2067" t="s">
        <v>41</v>
      </c>
      <c r="F2067" t="s">
        <v>42</v>
      </c>
      <c r="G2067" t="s">
        <v>37</v>
      </c>
      <c r="H2067" t="s">
        <v>94</v>
      </c>
      <c r="I2067" t="s">
        <v>193</v>
      </c>
      <c r="J2067">
        <v>3</v>
      </c>
      <c r="K2067">
        <v>33224.959999999999</v>
      </c>
      <c r="L2067">
        <v>99674.880000000005</v>
      </c>
      <c r="M2067">
        <v>260.95</v>
      </c>
      <c r="N2067">
        <v>17754.810000000001</v>
      </c>
      <c r="O2067">
        <v>81659.12</v>
      </c>
      <c r="P2067" t="s">
        <v>25</v>
      </c>
      <c r="Q2067" t="s">
        <v>26</v>
      </c>
    </row>
    <row r="2068" spans="1:17" x14ac:dyDescent="0.25">
      <c r="A2068" t="s">
        <v>2185</v>
      </c>
      <c r="B2068" s="1">
        <v>46042</v>
      </c>
      <c r="C2068" t="s">
        <v>18</v>
      </c>
      <c r="D2068" t="s">
        <v>28</v>
      </c>
      <c r="E2068" t="s">
        <v>20</v>
      </c>
      <c r="F2068" t="s">
        <v>50</v>
      </c>
      <c r="G2068" t="s">
        <v>51</v>
      </c>
      <c r="H2068" t="s">
        <v>38</v>
      </c>
      <c r="I2068" t="s">
        <v>39</v>
      </c>
      <c r="J2068">
        <v>12</v>
      </c>
      <c r="K2068">
        <v>13110.04</v>
      </c>
      <c r="L2068">
        <v>157320.48000000001</v>
      </c>
      <c r="M2068">
        <v>7905.7</v>
      </c>
      <c r="N2068">
        <v>17528.990000000002</v>
      </c>
      <c r="O2068">
        <v>131885.79</v>
      </c>
      <c r="P2068" t="s">
        <v>25</v>
      </c>
      <c r="Q2068" t="s">
        <v>26</v>
      </c>
    </row>
    <row r="2069" spans="1:17" x14ac:dyDescent="0.25">
      <c r="A2069" t="s">
        <v>2186</v>
      </c>
      <c r="B2069" s="1">
        <v>45974</v>
      </c>
      <c r="C2069" t="s">
        <v>79</v>
      </c>
      <c r="D2069" t="s">
        <v>107</v>
      </c>
      <c r="E2069" t="s">
        <v>20</v>
      </c>
      <c r="F2069" t="s">
        <v>71</v>
      </c>
      <c r="G2069" t="s">
        <v>43</v>
      </c>
      <c r="H2069" t="s">
        <v>67</v>
      </c>
      <c r="I2069" t="s">
        <v>77</v>
      </c>
      <c r="J2069">
        <v>22</v>
      </c>
      <c r="K2069">
        <v>22497.58</v>
      </c>
      <c r="L2069">
        <v>494946.76</v>
      </c>
      <c r="M2069">
        <v>60906.39</v>
      </c>
      <c r="N2069">
        <v>62134.89</v>
      </c>
      <c r="O2069">
        <v>371905.48</v>
      </c>
      <c r="P2069" t="s">
        <v>31</v>
      </c>
      <c r="Q2069" t="s">
        <v>32</v>
      </c>
    </row>
    <row r="2070" spans="1:17" x14ac:dyDescent="0.25">
      <c r="A2070" t="s">
        <v>2187</v>
      </c>
      <c r="B2070" s="1">
        <v>46035</v>
      </c>
      <c r="C2070" t="s">
        <v>79</v>
      </c>
      <c r="D2070" t="s">
        <v>91</v>
      </c>
      <c r="E2070" t="s">
        <v>35</v>
      </c>
      <c r="F2070" t="s">
        <v>84</v>
      </c>
      <c r="G2070" t="s">
        <v>98</v>
      </c>
      <c r="H2070" t="s">
        <v>94</v>
      </c>
      <c r="I2070" t="s">
        <v>163</v>
      </c>
      <c r="J2070">
        <v>13</v>
      </c>
      <c r="K2070">
        <v>15222.35</v>
      </c>
      <c r="L2070">
        <v>197890.55</v>
      </c>
      <c r="M2070">
        <v>0</v>
      </c>
      <c r="N2070">
        <v>0</v>
      </c>
      <c r="O2070">
        <v>197890.55</v>
      </c>
      <c r="P2070" t="s">
        <v>31</v>
      </c>
      <c r="Q2070" t="s">
        <v>32</v>
      </c>
    </row>
    <row r="2071" spans="1:17" x14ac:dyDescent="0.25">
      <c r="A2071" t="s">
        <v>2188</v>
      </c>
      <c r="B2071" s="1">
        <v>46015</v>
      </c>
      <c r="C2071" t="s">
        <v>18</v>
      </c>
      <c r="D2071" t="s">
        <v>34</v>
      </c>
      <c r="E2071" t="s">
        <v>20</v>
      </c>
      <c r="F2071" t="s">
        <v>137</v>
      </c>
      <c r="G2071" t="s">
        <v>140</v>
      </c>
      <c r="H2071" t="s">
        <v>94</v>
      </c>
      <c r="I2071" t="s">
        <v>144</v>
      </c>
      <c r="J2071">
        <v>38</v>
      </c>
      <c r="K2071">
        <v>3134.65</v>
      </c>
      <c r="L2071">
        <v>119116.7</v>
      </c>
      <c r="M2071">
        <v>15147.18</v>
      </c>
      <c r="N2071">
        <v>0</v>
      </c>
      <c r="O2071">
        <v>103969.52</v>
      </c>
      <c r="P2071" t="s">
        <v>31</v>
      </c>
      <c r="Q2071" t="s">
        <v>32</v>
      </c>
    </row>
    <row r="2072" spans="1:17" x14ac:dyDescent="0.25">
      <c r="A2072" t="s">
        <v>2189</v>
      </c>
      <c r="B2072" s="1">
        <v>46040</v>
      </c>
      <c r="C2072" t="s">
        <v>60</v>
      </c>
      <c r="D2072" t="s">
        <v>65</v>
      </c>
      <c r="E2072" t="s">
        <v>35</v>
      </c>
      <c r="F2072" t="s">
        <v>21</v>
      </c>
      <c r="G2072" t="s">
        <v>85</v>
      </c>
      <c r="H2072" t="s">
        <v>23</v>
      </c>
      <c r="I2072" t="s">
        <v>30</v>
      </c>
      <c r="J2072">
        <v>17</v>
      </c>
      <c r="K2072">
        <v>19271.080000000002</v>
      </c>
      <c r="L2072">
        <v>327608.36</v>
      </c>
      <c r="M2072">
        <v>12580.01</v>
      </c>
      <c r="N2072">
        <v>5106.2299999999996</v>
      </c>
      <c r="O2072">
        <v>309922.12</v>
      </c>
      <c r="P2072" t="s">
        <v>32</v>
      </c>
      <c r="Q2072" t="s">
        <v>26</v>
      </c>
    </row>
    <row r="2073" spans="1:17" x14ac:dyDescent="0.25">
      <c r="A2073" t="s">
        <v>2190</v>
      </c>
      <c r="B2073" s="1">
        <v>46013</v>
      </c>
      <c r="C2073" t="s">
        <v>79</v>
      </c>
      <c r="D2073" t="s">
        <v>101</v>
      </c>
      <c r="E2073" t="s">
        <v>20</v>
      </c>
      <c r="F2073" t="s">
        <v>71</v>
      </c>
      <c r="G2073" t="s">
        <v>22</v>
      </c>
      <c r="H2073" t="s">
        <v>94</v>
      </c>
      <c r="I2073" t="s">
        <v>144</v>
      </c>
      <c r="J2073">
        <v>49</v>
      </c>
      <c r="K2073">
        <v>47418.98</v>
      </c>
      <c r="L2073">
        <v>2323530.02</v>
      </c>
      <c r="M2073">
        <v>0</v>
      </c>
      <c r="N2073">
        <v>0</v>
      </c>
      <c r="O2073">
        <v>2323530.02</v>
      </c>
      <c r="P2073" t="s">
        <v>31</v>
      </c>
      <c r="Q2073" t="s">
        <v>32</v>
      </c>
    </row>
    <row r="2074" spans="1:17" x14ac:dyDescent="0.25">
      <c r="A2074" t="s">
        <v>2191</v>
      </c>
      <c r="B2074" s="1">
        <v>46028</v>
      </c>
      <c r="C2074" t="s">
        <v>54</v>
      </c>
      <c r="D2074" t="s">
        <v>133</v>
      </c>
      <c r="E2074" t="s">
        <v>49</v>
      </c>
      <c r="F2074" t="s">
        <v>36</v>
      </c>
      <c r="G2074" t="s">
        <v>37</v>
      </c>
      <c r="H2074" t="s">
        <v>67</v>
      </c>
      <c r="I2074" t="s">
        <v>201</v>
      </c>
      <c r="J2074">
        <v>46</v>
      </c>
      <c r="K2074">
        <v>1564.37</v>
      </c>
      <c r="L2074">
        <v>71961.02</v>
      </c>
      <c r="M2074">
        <v>5038.96</v>
      </c>
      <c r="N2074">
        <v>0</v>
      </c>
      <c r="O2074">
        <v>66922.06</v>
      </c>
      <c r="P2074" t="s">
        <v>32</v>
      </c>
      <c r="Q2074" t="s">
        <v>32</v>
      </c>
    </row>
    <row r="2075" spans="1:17" x14ac:dyDescent="0.25">
      <c r="A2075" t="s">
        <v>2192</v>
      </c>
      <c r="B2075" s="1">
        <v>46014</v>
      </c>
      <c r="C2075" t="s">
        <v>79</v>
      </c>
      <c r="D2075" t="s">
        <v>101</v>
      </c>
      <c r="E2075" t="s">
        <v>35</v>
      </c>
      <c r="F2075" t="s">
        <v>105</v>
      </c>
      <c r="G2075" t="s">
        <v>102</v>
      </c>
      <c r="H2075" t="s">
        <v>57</v>
      </c>
      <c r="I2075" t="s">
        <v>148</v>
      </c>
      <c r="J2075">
        <v>30</v>
      </c>
      <c r="K2075">
        <v>26932.23</v>
      </c>
      <c r="L2075">
        <v>807966.9</v>
      </c>
      <c r="M2075">
        <v>0</v>
      </c>
      <c r="N2075">
        <v>0</v>
      </c>
      <c r="O2075">
        <v>807966.9</v>
      </c>
      <c r="P2075" t="s">
        <v>31</v>
      </c>
      <c r="Q2075" t="s">
        <v>32</v>
      </c>
    </row>
    <row r="2076" spans="1:17" x14ac:dyDescent="0.25">
      <c r="A2076" t="s">
        <v>2193</v>
      </c>
      <c r="B2076" s="1">
        <v>46034</v>
      </c>
      <c r="C2076" t="s">
        <v>79</v>
      </c>
      <c r="D2076" t="s">
        <v>91</v>
      </c>
      <c r="E2076" t="s">
        <v>49</v>
      </c>
      <c r="F2076" t="s">
        <v>71</v>
      </c>
      <c r="G2076" t="s">
        <v>37</v>
      </c>
      <c r="H2076" t="s">
        <v>67</v>
      </c>
      <c r="I2076" t="s">
        <v>77</v>
      </c>
      <c r="J2076">
        <v>7</v>
      </c>
      <c r="K2076">
        <v>13656.1</v>
      </c>
      <c r="L2076">
        <v>95592.7</v>
      </c>
      <c r="M2076">
        <v>0</v>
      </c>
      <c r="N2076">
        <v>0</v>
      </c>
      <c r="O2076">
        <v>95592.7</v>
      </c>
      <c r="P2076" t="s">
        <v>31</v>
      </c>
      <c r="Q2076" t="s">
        <v>32</v>
      </c>
    </row>
    <row r="2077" spans="1:17" x14ac:dyDescent="0.25">
      <c r="A2077" t="s">
        <v>2194</v>
      </c>
      <c r="B2077" s="1">
        <v>46023</v>
      </c>
      <c r="C2077" t="s">
        <v>18</v>
      </c>
      <c r="D2077" t="s">
        <v>19</v>
      </c>
      <c r="E2077" t="s">
        <v>20</v>
      </c>
      <c r="F2077" t="s">
        <v>112</v>
      </c>
      <c r="G2077" t="s">
        <v>98</v>
      </c>
      <c r="H2077" t="s">
        <v>44</v>
      </c>
      <c r="I2077" t="s">
        <v>281</v>
      </c>
      <c r="J2077">
        <v>32</v>
      </c>
      <c r="K2077">
        <v>5597.67</v>
      </c>
      <c r="L2077">
        <v>179125.44</v>
      </c>
      <c r="M2077">
        <v>23455.83</v>
      </c>
      <c r="N2077">
        <v>0</v>
      </c>
      <c r="O2077">
        <v>155669.60999999999</v>
      </c>
      <c r="P2077" t="s">
        <v>25</v>
      </c>
      <c r="Q2077" t="s">
        <v>26</v>
      </c>
    </row>
    <row r="2078" spans="1:17" x14ac:dyDescent="0.25">
      <c r="A2078" t="s">
        <v>2195</v>
      </c>
      <c r="B2078" s="1">
        <v>46040</v>
      </c>
      <c r="C2078" t="s">
        <v>47</v>
      </c>
      <c r="D2078" t="s">
        <v>48</v>
      </c>
      <c r="E2078" t="s">
        <v>20</v>
      </c>
      <c r="F2078" t="s">
        <v>50</v>
      </c>
      <c r="G2078" t="s">
        <v>89</v>
      </c>
      <c r="H2078" t="s">
        <v>38</v>
      </c>
      <c r="I2078" t="s">
        <v>39</v>
      </c>
      <c r="J2078">
        <v>50</v>
      </c>
      <c r="K2078">
        <v>15963.15</v>
      </c>
      <c r="L2078">
        <v>798157.5</v>
      </c>
      <c r="M2078">
        <v>141507.76999999999</v>
      </c>
      <c r="N2078">
        <v>0</v>
      </c>
      <c r="O2078">
        <v>656649.73</v>
      </c>
      <c r="P2078" t="s">
        <v>31</v>
      </c>
      <c r="Q2078" t="s">
        <v>32</v>
      </c>
    </row>
    <row r="2079" spans="1:17" x14ac:dyDescent="0.25">
      <c r="A2079" t="s">
        <v>2196</v>
      </c>
      <c r="B2079" s="1">
        <v>46008</v>
      </c>
      <c r="C2079" t="s">
        <v>60</v>
      </c>
      <c r="D2079" t="s">
        <v>65</v>
      </c>
      <c r="E2079" t="s">
        <v>49</v>
      </c>
      <c r="F2079" t="s">
        <v>112</v>
      </c>
      <c r="G2079" t="s">
        <v>43</v>
      </c>
      <c r="H2079" t="s">
        <v>23</v>
      </c>
      <c r="I2079" t="s">
        <v>30</v>
      </c>
      <c r="J2079">
        <v>2</v>
      </c>
      <c r="K2079">
        <v>36503.199999999997</v>
      </c>
      <c r="L2079">
        <v>73006.399999999994</v>
      </c>
      <c r="M2079">
        <v>11465.91</v>
      </c>
      <c r="N2079">
        <v>0</v>
      </c>
      <c r="O2079">
        <v>61540.49</v>
      </c>
      <c r="P2079" t="s">
        <v>31</v>
      </c>
      <c r="Q2079" t="s">
        <v>32</v>
      </c>
    </row>
    <row r="2080" spans="1:17" x14ac:dyDescent="0.25">
      <c r="A2080" t="s">
        <v>2197</v>
      </c>
      <c r="B2080" s="1">
        <v>45994</v>
      </c>
      <c r="C2080" t="s">
        <v>79</v>
      </c>
      <c r="D2080" t="s">
        <v>80</v>
      </c>
      <c r="E2080" t="s">
        <v>20</v>
      </c>
      <c r="F2080" t="s">
        <v>137</v>
      </c>
      <c r="G2080" t="s">
        <v>81</v>
      </c>
      <c r="H2080" t="s">
        <v>57</v>
      </c>
      <c r="I2080" t="s">
        <v>160</v>
      </c>
      <c r="J2080">
        <v>39</v>
      </c>
      <c r="K2080">
        <v>39855.760000000002</v>
      </c>
      <c r="L2080">
        <v>1554374.64</v>
      </c>
      <c r="M2080">
        <v>260857.3</v>
      </c>
      <c r="N2080">
        <v>0</v>
      </c>
      <c r="O2080">
        <v>1293517.3400000001</v>
      </c>
      <c r="P2080" t="s">
        <v>73</v>
      </c>
      <c r="Q2080" t="s">
        <v>26</v>
      </c>
    </row>
    <row r="2081" spans="1:17" x14ac:dyDescent="0.25">
      <c r="A2081" t="s">
        <v>2198</v>
      </c>
      <c r="B2081" s="1">
        <v>46036</v>
      </c>
      <c r="C2081" t="s">
        <v>79</v>
      </c>
      <c r="D2081" t="s">
        <v>91</v>
      </c>
      <c r="E2081" t="s">
        <v>49</v>
      </c>
      <c r="F2081" t="s">
        <v>21</v>
      </c>
      <c r="G2081" t="s">
        <v>43</v>
      </c>
      <c r="H2081" t="s">
        <v>38</v>
      </c>
      <c r="I2081" t="s">
        <v>86</v>
      </c>
      <c r="J2081">
        <v>42</v>
      </c>
      <c r="K2081">
        <v>43682.43</v>
      </c>
      <c r="L2081">
        <v>1834662.06</v>
      </c>
      <c r="M2081">
        <v>362500.29</v>
      </c>
      <c r="N2081">
        <v>0</v>
      </c>
      <c r="O2081">
        <v>1472161.77</v>
      </c>
      <c r="P2081" t="s">
        <v>73</v>
      </c>
      <c r="Q2081" t="s">
        <v>26</v>
      </c>
    </row>
    <row r="2082" spans="1:17" x14ac:dyDescent="0.25">
      <c r="A2082" t="s">
        <v>2199</v>
      </c>
      <c r="B2082" s="1">
        <v>46009</v>
      </c>
      <c r="C2082" t="s">
        <v>47</v>
      </c>
      <c r="D2082" t="s">
        <v>127</v>
      </c>
      <c r="E2082" t="s">
        <v>41</v>
      </c>
      <c r="F2082" t="s">
        <v>112</v>
      </c>
      <c r="G2082" t="s">
        <v>63</v>
      </c>
      <c r="H2082" t="s">
        <v>44</v>
      </c>
      <c r="I2082" t="s">
        <v>135</v>
      </c>
      <c r="J2082">
        <v>38</v>
      </c>
      <c r="K2082">
        <v>38500.18</v>
      </c>
      <c r="L2082">
        <v>1463006.84</v>
      </c>
      <c r="M2082">
        <v>27803.14</v>
      </c>
      <c r="N2082">
        <v>0</v>
      </c>
      <c r="O2082">
        <v>1435203.7</v>
      </c>
      <c r="P2082" t="s">
        <v>32</v>
      </c>
      <c r="Q2082" t="s">
        <v>26</v>
      </c>
    </row>
    <row r="2083" spans="1:17" x14ac:dyDescent="0.25">
      <c r="A2083" t="s">
        <v>2200</v>
      </c>
      <c r="B2083" s="1">
        <v>45965</v>
      </c>
      <c r="C2083" t="s">
        <v>18</v>
      </c>
      <c r="D2083" t="s">
        <v>19</v>
      </c>
      <c r="E2083" t="s">
        <v>20</v>
      </c>
      <c r="F2083" t="s">
        <v>42</v>
      </c>
      <c r="G2083" t="s">
        <v>22</v>
      </c>
      <c r="H2083" t="s">
        <v>44</v>
      </c>
      <c r="I2083" t="s">
        <v>152</v>
      </c>
      <c r="J2083">
        <v>47</v>
      </c>
      <c r="K2083">
        <v>45603.03</v>
      </c>
      <c r="L2083">
        <v>2143342.41</v>
      </c>
      <c r="M2083">
        <v>375253.43</v>
      </c>
      <c r="N2083">
        <v>0</v>
      </c>
      <c r="O2083">
        <v>1768088.98</v>
      </c>
      <c r="P2083" t="s">
        <v>73</v>
      </c>
      <c r="Q2083" t="s">
        <v>26</v>
      </c>
    </row>
    <row r="2084" spans="1:17" x14ac:dyDescent="0.25">
      <c r="A2084" t="s">
        <v>2201</v>
      </c>
      <c r="B2084" s="1">
        <v>46026</v>
      </c>
      <c r="C2084" t="s">
        <v>18</v>
      </c>
      <c r="D2084" t="s">
        <v>75</v>
      </c>
      <c r="E2084" t="s">
        <v>41</v>
      </c>
      <c r="F2084" t="s">
        <v>112</v>
      </c>
      <c r="G2084" t="s">
        <v>29</v>
      </c>
      <c r="H2084" t="s">
        <v>57</v>
      </c>
      <c r="I2084" t="s">
        <v>118</v>
      </c>
      <c r="J2084">
        <v>18</v>
      </c>
      <c r="K2084">
        <v>6151.52</v>
      </c>
      <c r="L2084">
        <v>110727.36</v>
      </c>
      <c r="M2084">
        <v>0</v>
      </c>
      <c r="N2084">
        <v>0</v>
      </c>
      <c r="O2084">
        <v>110727.36</v>
      </c>
      <c r="P2084" t="s">
        <v>25</v>
      </c>
      <c r="Q2084" t="s">
        <v>26</v>
      </c>
    </row>
    <row r="2085" spans="1:17" x14ac:dyDescent="0.25">
      <c r="A2085" t="s">
        <v>2202</v>
      </c>
      <c r="B2085" s="1">
        <v>45965</v>
      </c>
      <c r="C2085" t="s">
        <v>18</v>
      </c>
      <c r="D2085" t="s">
        <v>19</v>
      </c>
      <c r="E2085" t="s">
        <v>49</v>
      </c>
      <c r="F2085" t="s">
        <v>105</v>
      </c>
      <c r="G2085" t="s">
        <v>85</v>
      </c>
      <c r="H2085" t="s">
        <v>94</v>
      </c>
      <c r="I2085" t="s">
        <v>177</v>
      </c>
      <c r="J2085">
        <v>43</v>
      </c>
      <c r="K2085">
        <v>35668.15</v>
      </c>
      <c r="L2085">
        <v>1533730.45</v>
      </c>
      <c r="M2085">
        <v>0</v>
      </c>
      <c r="N2085">
        <v>0</v>
      </c>
      <c r="O2085">
        <v>1533730.45</v>
      </c>
      <c r="P2085" t="s">
        <v>32</v>
      </c>
      <c r="Q2085" t="s">
        <v>26</v>
      </c>
    </row>
    <row r="2086" spans="1:17" x14ac:dyDescent="0.25">
      <c r="A2086" t="s">
        <v>2203</v>
      </c>
      <c r="B2086" s="1">
        <v>45995</v>
      </c>
      <c r="C2086" t="s">
        <v>60</v>
      </c>
      <c r="D2086" t="s">
        <v>151</v>
      </c>
      <c r="E2086" t="s">
        <v>35</v>
      </c>
      <c r="F2086" t="s">
        <v>105</v>
      </c>
      <c r="G2086" t="s">
        <v>56</v>
      </c>
      <c r="H2086" t="s">
        <v>44</v>
      </c>
      <c r="I2086" t="s">
        <v>152</v>
      </c>
      <c r="J2086">
        <v>29</v>
      </c>
      <c r="K2086">
        <v>9831.61</v>
      </c>
      <c r="L2086">
        <v>285116.69</v>
      </c>
      <c r="M2086">
        <v>53931.34</v>
      </c>
      <c r="N2086">
        <v>0</v>
      </c>
      <c r="O2086">
        <v>231185.35</v>
      </c>
      <c r="P2086" t="s">
        <v>32</v>
      </c>
      <c r="Q2086" t="s">
        <v>32</v>
      </c>
    </row>
    <row r="2087" spans="1:17" x14ac:dyDescent="0.25">
      <c r="A2087" t="s">
        <v>2204</v>
      </c>
      <c r="B2087" s="1">
        <v>45973</v>
      </c>
      <c r="C2087" t="s">
        <v>47</v>
      </c>
      <c r="D2087" t="s">
        <v>114</v>
      </c>
      <c r="E2087" t="s">
        <v>20</v>
      </c>
      <c r="F2087" t="s">
        <v>36</v>
      </c>
      <c r="G2087" t="s">
        <v>89</v>
      </c>
      <c r="H2087" t="s">
        <v>57</v>
      </c>
      <c r="I2087" t="s">
        <v>160</v>
      </c>
      <c r="J2087">
        <v>22</v>
      </c>
      <c r="K2087">
        <v>5974.9</v>
      </c>
      <c r="L2087">
        <v>131447.79999999999</v>
      </c>
      <c r="M2087">
        <v>0</v>
      </c>
      <c r="N2087">
        <v>0</v>
      </c>
      <c r="O2087">
        <v>131447.79999999999</v>
      </c>
      <c r="P2087" t="s">
        <v>31</v>
      </c>
      <c r="Q2087" t="s">
        <v>32</v>
      </c>
    </row>
    <row r="2088" spans="1:17" x14ac:dyDescent="0.25">
      <c r="A2088" t="s">
        <v>2205</v>
      </c>
      <c r="B2088" s="1">
        <v>45962</v>
      </c>
      <c r="C2088" t="s">
        <v>79</v>
      </c>
      <c r="D2088" t="s">
        <v>107</v>
      </c>
      <c r="E2088" t="s">
        <v>20</v>
      </c>
      <c r="F2088" t="s">
        <v>112</v>
      </c>
      <c r="G2088" t="s">
        <v>66</v>
      </c>
      <c r="H2088" t="s">
        <v>67</v>
      </c>
      <c r="I2088" t="s">
        <v>103</v>
      </c>
      <c r="J2088">
        <v>29</v>
      </c>
      <c r="K2088">
        <v>17859.77</v>
      </c>
      <c r="L2088">
        <v>517933.33</v>
      </c>
      <c r="M2088">
        <v>65215.12</v>
      </c>
      <c r="N2088">
        <v>0</v>
      </c>
      <c r="O2088">
        <v>452718.21</v>
      </c>
      <c r="P2088" t="s">
        <v>32</v>
      </c>
      <c r="Q2088" t="s">
        <v>26</v>
      </c>
    </row>
    <row r="2089" spans="1:17" x14ac:dyDescent="0.25">
      <c r="A2089" t="s">
        <v>2206</v>
      </c>
      <c r="B2089" s="1">
        <v>45954</v>
      </c>
      <c r="C2089" t="s">
        <v>54</v>
      </c>
      <c r="D2089" t="s">
        <v>97</v>
      </c>
      <c r="E2089" t="s">
        <v>20</v>
      </c>
      <c r="F2089" t="s">
        <v>36</v>
      </c>
      <c r="G2089" t="s">
        <v>138</v>
      </c>
      <c r="H2089" t="s">
        <v>23</v>
      </c>
      <c r="I2089" t="s">
        <v>110</v>
      </c>
      <c r="J2089">
        <v>39</v>
      </c>
      <c r="K2089">
        <v>18114.97</v>
      </c>
      <c r="L2089">
        <v>706483.83</v>
      </c>
      <c r="M2089">
        <v>0</v>
      </c>
      <c r="N2089">
        <v>0</v>
      </c>
      <c r="O2089">
        <v>706483.83</v>
      </c>
      <c r="P2089" t="s">
        <v>73</v>
      </c>
      <c r="Q2089" t="s">
        <v>26</v>
      </c>
    </row>
    <row r="2090" spans="1:17" x14ac:dyDescent="0.25">
      <c r="A2090" t="s">
        <v>2207</v>
      </c>
      <c r="B2090" s="1">
        <v>45958</v>
      </c>
      <c r="C2090" t="s">
        <v>60</v>
      </c>
      <c r="D2090" t="s">
        <v>123</v>
      </c>
      <c r="E2090" t="s">
        <v>49</v>
      </c>
      <c r="F2090" t="s">
        <v>112</v>
      </c>
      <c r="G2090" t="s">
        <v>51</v>
      </c>
      <c r="H2090" t="s">
        <v>23</v>
      </c>
      <c r="I2090" t="s">
        <v>30</v>
      </c>
      <c r="J2090">
        <v>46</v>
      </c>
      <c r="K2090">
        <v>3877.69</v>
      </c>
      <c r="L2090">
        <v>178373.74</v>
      </c>
      <c r="M2090">
        <v>18487.48</v>
      </c>
      <c r="N2090">
        <v>0</v>
      </c>
      <c r="O2090">
        <v>159886.26</v>
      </c>
      <c r="P2090" t="s">
        <v>31</v>
      </c>
      <c r="Q2090" t="s">
        <v>32</v>
      </c>
    </row>
    <row r="2091" spans="1:17" x14ac:dyDescent="0.25">
      <c r="A2091" t="s">
        <v>2208</v>
      </c>
      <c r="B2091" s="1">
        <v>45969</v>
      </c>
      <c r="C2091" t="s">
        <v>60</v>
      </c>
      <c r="D2091" t="s">
        <v>65</v>
      </c>
      <c r="E2091" t="s">
        <v>35</v>
      </c>
      <c r="F2091" t="s">
        <v>50</v>
      </c>
      <c r="G2091" t="s">
        <v>43</v>
      </c>
      <c r="H2091" t="s">
        <v>38</v>
      </c>
      <c r="I2091" t="s">
        <v>120</v>
      </c>
      <c r="J2091">
        <v>30</v>
      </c>
      <c r="K2091">
        <v>21950.22</v>
      </c>
      <c r="L2091">
        <v>658506.6</v>
      </c>
      <c r="M2091">
        <v>126118.54</v>
      </c>
      <c r="N2091">
        <v>0</v>
      </c>
      <c r="O2091">
        <v>532388.06000000006</v>
      </c>
      <c r="P2091" t="s">
        <v>25</v>
      </c>
      <c r="Q2091" t="s">
        <v>26</v>
      </c>
    </row>
    <row r="2092" spans="1:17" x14ac:dyDescent="0.25">
      <c r="A2092" t="s">
        <v>2209</v>
      </c>
      <c r="B2092" s="1">
        <v>46013</v>
      </c>
      <c r="C2092" t="s">
        <v>54</v>
      </c>
      <c r="D2092" t="s">
        <v>133</v>
      </c>
      <c r="E2092" t="s">
        <v>20</v>
      </c>
      <c r="F2092" t="s">
        <v>62</v>
      </c>
      <c r="G2092" t="s">
        <v>85</v>
      </c>
      <c r="H2092" t="s">
        <v>23</v>
      </c>
      <c r="I2092" t="s">
        <v>52</v>
      </c>
      <c r="J2092">
        <v>49</v>
      </c>
      <c r="K2092">
        <v>1355.59</v>
      </c>
      <c r="L2092">
        <v>66423.91</v>
      </c>
      <c r="M2092">
        <v>11301.17</v>
      </c>
      <c r="N2092">
        <v>0</v>
      </c>
      <c r="O2092">
        <v>55122.74</v>
      </c>
      <c r="P2092" t="s">
        <v>73</v>
      </c>
      <c r="Q2092" t="s">
        <v>26</v>
      </c>
    </row>
    <row r="2093" spans="1:17" x14ac:dyDescent="0.25">
      <c r="A2093" t="s">
        <v>2210</v>
      </c>
      <c r="B2093" s="1">
        <v>45967</v>
      </c>
      <c r="C2093" t="s">
        <v>79</v>
      </c>
      <c r="D2093" t="s">
        <v>101</v>
      </c>
      <c r="E2093" t="s">
        <v>49</v>
      </c>
      <c r="F2093" t="s">
        <v>105</v>
      </c>
      <c r="G2093" t="s">
        <v>37</v>
      </c>
      <c r="H2093" t="s">
        <v>94</v>
      </c>
      <c r="I2093" t="s">
        <v>115</v>
      </c>
      <c r="J2093">
        <v>44</v>
      </c>
      <c r="K2093">
        <v>14094.07</v>
      </c>
      <c r="L2093">
        <v>620139.07999999996</v>
      </c>
      <c r="M2093">
        <v>0</v>
      </c>
      <c r="N2093">
        <v>0</v>
      </c>
      <c r="O2093">
        <v>620139.07999999996</v>
      </c>
      <c r="P2093" t="s">
        <v>31</v>
      </c>
      <c r="Q2093" t="s">
        <v>32</v>
      </c>
    </row>
    <row r="2094" spans="1:17" x14ac:dyDescent="0.25">
      <c r="A2094" t="s">
        <v>2211</v>
      </c>
      <c r="B2094" s="1">
        <v>45996</v>
      </c>
      <c r="C2094" t="s">
        <v>18</v>
      </c>
      <c r="D2094" t="s">
        <v>19</v>
      </c>
      <c r="E2094" t="s">
        <v>49</v>
      </c>
      <c r="F2094" t="s">
        <v>62</v>
      </c>
      <c r="G2094" t="s">
        <v>140</v>
      </c>
      <c r="H2094" t="s">
        <v>23</v>
      </c>
      <c r="I2094" t="s">
        <v>110</v>
      </c>
      <c r="J2094">
        <v>15</v>
      </c>
      <c r="K2094">
        <v>8668.02</v>
      </c>
      <c r="L2094">
        <v>130020.3</v>
      </c>
      <c r="M2094">
        <v>15376.4</v>
      </c>
      <c r="N2094">
        <v>0</v>
      </c>
      <c r="O2094">
        <v>114643.9</v>
      </c>
      <c r="P2094" t="s">
        <v>31</v>
      </c>
      <c r="Q2094" t="s">
        <v>32</v>
      </c>
    </row>
    <row r="2095" spans="1:17" x14ac:dyDescent="0.25">
      <c r="A2095" t="s">
        <v>2212</v>
      </c>
      <c r="B2095" s="1">
        <v>45982</v>
      </c>
      <c r="C2095" t="s">
        <v>79</v>
      </c>
      <c r="D2095" t="s">
        <v>101</v>
      </c>
      <c r="E2095" t="s">
        <v>41</v>
      </c>
      <c r="F2095" t="s">
        <v>50</v>
      </c>
      <c r="G2095" t="s">
        <v>81</v>
      </c>
      <c r="H2095" t="s">
        <v>38</v>
      </c>
      <c r="I2095" t="s">
        <v>82</v>
      </c>
      <c r="J2095">
        <v>17</v>
      </c>
      <c r="K2095">
        <v>8021.77</v>
      </c>
      <c r="L2095">
        <v>136370.09</v>
      </c>
      <c r="M2095">
        <v>22225.73</v>
      </c>
      <c r="N2095">
        <v>38457.800000000003</v>
      </c>
      <c r="O2095">
        <v>75686.559999999998</v>
      </c>
      <c r="P2095" t="s">
        <v>31</v>
      </c>
      <c r="Q2095" t="s">
        <v>32</v>
      </c>
    </row>
    <row r="2096" spans="1:17" x14ac:dyDescent="0.25">
      <c r="A2096" t="s">
        <v>2213</v>
      </c>
      <c r="B2096" s="1">
        <v>46021</v>
      </c>
      <c r="C2096" t="s">
        <v>60</v>
      </c>
      <c r="D2096" t="s">
        <v>123</v>
      </c>
      <c r="E2096" t="s">
        <v>20</v>
      </c>
      <c r="F2096" t="s">
        <v>71</v>
      </c>
      <c r="G2096" t="s">
        <v>140</v>
      </c>
      <c r="H2096" t="s">
        <v>44</v>
      </c>
      <c r="I2096" t="s">
        <v>281</v>
      </c>
      <c r="J2096">
        <v>50</v>
      </c>
      <c r="K2096">
        <v>45252.75</v>
      </c>
      <c r="L2096">
        <v>2262637.5</v>
      </c>
      <c r="M2096">
        <v>386935.01</v>
      </c>
      <c r="N2096">
        <v>0</v>
      </c>
      <c r="O2096">
        <v>1875702.49</v>
      </c>
      <c r="P2096" t="s">
        <v>73</v>
      </c>
      <c r="Q2096" t="s">
        <v>32</v>
      </c>
    </row>
    <row r="2097" spans="1:17" x14ac:dyDescent="0.25">
      <c r="A2097" t="s">
        <v>2214</v>
      </c>
      <c r="B2097" s="1">
        <v>45999</v>
      </c>
      <c r="C2097" t="s">
        <v>18</v>
      </c>
      <c r="D2097" t="s">
        <v>75</v>
      </c>
      <c r="E2097" t="s">
        <v>41</v>
      </c>
      <c r="F2097" t="s">
        <v>137</v>
      </c>
      <c r="G2097" t="s">
        <v>51</v>
      </c>
      <c r="H2097" t="s">
        <v>23</v>
      </c>
      <c r="I2097" t="s">
        <v>99</v>
      </c>
      <c r="J2097">
        <v>46</v>
      </c>
      <c r="K2097">
        <v>45425.760000000002</v>
      </c>
      <c r="L2097">
        <v>2089584.96</v>
      </c>
      <c r="M2097">
        <v>220189.33</v>
      </c>
      <c r="N2097">
        <v>0</v>
      </c>
      <c r="O2097">
        <v>1869395.63</v>
      </c>
      <c r="P2097" t="s">
        <v>32</v>
      </c>
      <c r="Q2097" t="s">
        <v>32</v>
      </c>
    </row>
    <row r="2098" spans="1:17" x14ac:dyDescent="0.25">
      <c r="A2098" t="s">
        <v>2215</v>
      </c>
      <c r="B2098" s="1">
        <v>46028</v>
      </c>
      <c r="C2098" t="s">
        <v>60</v>
      </c>
      <c r="D2098" t="s">
        <v>61</v>
      </c>
      <c r="E2098" t="s">
        <v>35</v>
      </c>
      <c r="F2098" t="s">
        <v>36</v>
      </c>
      <c r="G2098" t="s">
        <v>56</v>
      </c>
      <c r="H2098" t="s">
        <v>57</v>
      </c>
      <c r="I2098" t="s">
        <v>58</v>
      </c>
      <c r="J2098">
        <v>47</v>
      </c>
      <c r="K2098">
        <v>45112</v>
      </c>
      <c r="L2098">
        <v>2120264</v>
      </c>
      <c r="M2098">
        <v>407438.31</v>
      </c>
      <c r="N2098">
        <v>0</v>
      </c>
      <c r="O2098">
        <v>1712825.69</v>
      </c>
      <c r="P2098" t="s">
        <v>32</v>
      </c>
      <c r="Q2098" t="s">
        <v>26</v>
      </c>
    </row>
    <row r="2099" spans="1:17" x14ac:dyDescent="0.25">
      <c r="A2099" t="s">
        <v>2216</v>
      </c>
      <c r="B2099" s="1">
        <v>46028</v>
      </c>
      <c r="C2099" t="s">
        <v>60</v>
      </c>
      <c r="D2099" t="s">
        <v>123</v>
      </c>
      <c r="E2099" t="s">
        <v>49</v>
      </c>
      <c r="F2099" t="s">
        <v>50</v>
      </c>
      <c r="G2099" t="s">
        <v>66</v>
      </c>
      <c r="H2099" t="s">
        <v>94</v>
      </c>
      <c r="I2099" t="s">
        <v>95</v>
      </c>
      <c r="J2099">
        <v>19</v>
      </c>
      <c r="K2099">
        <v>11059.38</v>
      </c>
      <c r="L2099">
        <v>210128.22</v>
      </c>
      <c r="M2099">
        <v>12230.88</v>
      </c>
      <c r="N2099">
        <v>18375.150000000001</v>
      </c>
      <c r="O2099">
        <v>179522.19</v>
      </c>
      <c r="P2099" t="s">
        <v>73</v>
      </c>
      <c r="Q2099" t="s">
        <v>32</v>
      </c>
    </row>
    <row r="2100" spans="1:17" x14ac:dyDescent="0.25">
      <c r="A2100" t="s">
        <v>2217</v>
      </c>
      <c r="B2100" s="1">
        <v>45981</v>
      </c>
      <c r="C2100" t="s">
        <v>18</v>
      </c>
      <c r="D2100" t="s">
        <v>34</v>
      </c>
      <c r="E2100" t="s">
        <v>41</v>
      </c>
      <c r="F2100" t="s">
        <v>50</v>
      </c>
      <c r="G2100" t="s">
        <v>22</v>
      </c>
      <c r="H2100" t="s">
        <v>67</v>
      </c>
      <c r="I2100" t="s">
        <v>170</v>
      </c>
      <c r="J2100">
        <v>18</v>
      </c>
      <c r="K2100">
        <v>44093.85</v>
      </c>
      <c r="L2100">
        <v>793689.3</v>
      </c>
      <c r="M2100">
        <v>0</v>
      </c>
      <c r="N2100">
        <v>0</v>
      </c>
      <c r="O2100">
        <v>793689.3</v>
      </c>
      <c r="P2100" t="s">
        <v>73</v>
      </c>
      <c r="Q2100" t="s">
        <v>32</v>
      </c>
    </row>
    <row r="2101" spans="1:17" x14ac:dyDescent="0.25">
      <c r="A2101" t="s">
        <v>2218</v>
      </c>
      <c r="B2101" s="1">
        <v>46032</v>
      </c>
      <c r="C2101" t="s">
        <v>18</v>
      </c>
      <c r="D2101" t="s">
        <v>75</v>
      </c>
      <c r="E2101" t="s">
        <v>20</v>
      </c>
      <c r="F2101" t="s">
        <v>36</v>
      </c>
      <c r="G2101" t="s">
        <v>85</v>
      </c>
      <c r="H2101" t="s">
        <v>67</v>
      </c>
      <c r="I2101" t="s">
        <v>154</v>
      </c>
      <c r="J2101">
        <v>48</v>
      </c>
      <c r="K2101">
        <v>40983.74</v>
      </c>
      <c r="L2101">
        <v>1967219.52</v>
      </c>
      <c r="M2101">
        <v>38768.1</v>
      </c>
      <c r="N2101">
        <v>230420.95</v>
      </c>
      <c r="O2101">
        <v>1698030.47</v>
      </c>
      <c r="P2101" t="s">
        <v>73</v>
      </c>
      <c r="Q2101" t="s">
        <v>32</v>
      </c>
    </row>
    <row r="2102" spans="1:17" x14ac:dyDescent="0.25">
      <c r="A2102" t="s">
        <v>2219</v>
      </c>
      <c r="B2102" s="1">
        <v>45959</v>
      </c>
      <c r="C2102" t="s">
        <v>60</v>
      </c>
      <c r="D2102" t="s">
        <v>151</v>
      </c>
      <c r="E2102" t="s">
        <v>41</v>
      </c>
      <c r="F2102" t="s">
        <v>21</v>
      </c>
      <c r="G2102" t="s">
        <v>85</v>
      </c>
      <c r="H2102" t="s">
        <v>57</v>
      </c>
      <c r="I2102" t="s">
        <v>72</v>
      </c>
      <c r="J2102">
        <v>31</v>
      </c>
      <c r="K2102">
        <v>3092.14</v>
      </c>
      <c r="L2102">
        <v>95856.34</v>
      </c>
      <c r="M2102">
        <v>0</v>
      </c>
      <c r="N2102">
        <v>0</v>
      </c>
      <c r="O2102">
        <v>95856.34</v>
      </c>
      <c r="P2102" t="s">
        <v>32</v>
      </c>
      <c r="Q2102" t="s">
        <v>32</v>
      </c>
    </row>
    <row r="2103" spans="1:17" x14ac:dyDescent="0.25">
      <c r="A2103" t="s">
        <v>2220</v>
      </c>
      <c r="B2103" s="1">
        <v>46028</v>
      </c>
      <c r="C2103" t="s">
        <v>47</v>
      </c>
      <c r="D2103" t="s">
        <v>48</v>
      </c>
      <c r="E2103" t="s">
        <v>20</v>
      </c>
      <c r="F2103" t="s">
        <v>50</v>
      </c>
      <c r="G2103" t="s">
        <v>51</v>
      </c>
      <c r="H2103" t="s">
        <v>23</v>
      </c>
      <c r="I2103" t="s">
        <v>99</v>
      </c>
      <c r="J2103">
        <v>31</v>
      </c>
      <c r="K2103">
        <v>33297.31</v>
      </c>
      <c r="L2103">
        <v>1032216.61</v>
      </c>
      <c r="M2103">
        <v>26346.49</v>
      </c>
      <c r="N2103">
        <v>0</v>
      </c>
      <c r="O2103">
        <v>1005870.12</v>
      </c>
      <c r="P2103" t="s">
        <v>25</v>
      </c>
      <c r="Q2103" t="s">
        <v>26</v>
      </c>
    </row>
    <row r="2104" spans="1:17" x14ac:dyDescent="0.25">
      <c r="A2104" t="s">
        <v>2221</v>
      </c>
      <c r="B2104" s="1">
        <v>45969</v>
      </c>
      <c r="C2104" t="s">
        <v>54</v>
      </c>
      <c r="D2104" t="s">
        <v>70</v>
      </c>
      <c r="E2104" t="s">
        <v>49</v>
      </c>
      <c r="F2104" t="s">
        <v>62</v>
      </c>
      <c r="G2104" t="s">
        <v>63</v>
      </c>
      <c r="H2104" t="s">
        <v>94</v>
      </c>
      <c r="I2104" t="s">
        <v>144</v>
      </c>
      <c r="J2104">
        <v>15</v>
      </c>
      <c r="K2104">
        <v>43108.18</v>
      </c>
      <c r="L2104">
        <v>646622.69999999995</v>
      </c>
      <c r="M2104">
        <v>0</v>
      </c>
      <c r="N2104">
        <v>0</v>
      </c>
      <c r="O2104">
        <v>646622.69999999995</v>
      </c>
      <c r="P2104" t="s">
        <v>73</v>
      </c>
      <c r="Q2104" t="s">
        <v>32</v>
      </c>
    </row>
    <row r="2105" spans="1:17" x14ac:dyDescent="0.25">
      <c r="A2105" t="s">
        <v>2222</v>
      </c>
      <c r="B2105" s="1">
        <v>46034</v>
      </c>
      <c r="C2105" t="s">
        <v>60</v>
      </c>
      <c r="D2105" t="s">
        <v>65</v>
      </c>
      <c r="E2105" t="s">
        <v>20</v>
      </c>
      <c r="F2105" t="s">
        <v>105</v>
      </c>
      <c r="G2105" t="s">
        <v>102</v>
      </c>
      <c r="H2105" t="s">
        <v>23</v>
      </c>
      <c r="I2105" t="s">
        <v>52</v>
      </c>
      <c r="J2105">
        <v>28</v>
      </c>
      <c r="K2105">
        <v>4916.62</v>
      </c>
      <c r="L2105">
        <v>137665.35999999999</v>
      </c>
      <c r="M2105">
        <v>11173.54</v>
      </c>
      <c r="N2105">
        <v>0</v>
      </c>
      <c r="O2105">
        <v>126491.82</v>
      </c>
      <c r="P2105" t="s">
        <v>73</v>
      </c>
      <c r="Q2105" t="s">
        <v>32</v>
      </c>
    </row>
    <row r="2106" spans="1:17" x14ac:dyDescent="0.25">
      <c r="A2106" t="s">
        <v>2223</v>
      </c>
      <c r="B2106" s="1">
        <v>46024</v>
      </c>
      <c r="C2106" t="s">
        <v>47</v>
      </c>
      <c r="D2106" t="s">
        <v>127</v>
      </c>
      <c r="E2106" t="s">
        <v>41</v>
      </c>
      <c r="F2106" t="s">
        <v>137</v>
      </c>
      <c r="G2106" t="s">
        <v>102</v>
      </c>
      <c r="H2106" t="s">
        <v>23</v>
      </c>
      <c r="I2106" t="s">
        <v>110</v>
      </c>
      <c r="J2106">
        <v>21</v>
      </c>
      <c r="K2106">
        <v>33444.35</v>
      </c>
      <c r="L2106">
        <v>702331.35</v>
      </c>
      <c r="M2106">
        <v>109965.42</v>
      </c>
      <c r="N2106">
        <v>0</v>
      </c>
      <c r="O2106">
        <v>592365.93000000005</v>
      </c>
      <c r="P2106" t="s">
        <v>73</v>
      </c>
      <c r="Q2106" t="s">
        <v>26</v>
      </c>
    </row>
    <row r="2107" spans="1:17" x14ac:dyDescent="0.25">
      <c r="A2107" t="s">
        <v>2224</v>
      </c>
      <c r="B2107" s="1">
        <v>45989</v>
      </c>
      <c r="C2107" t="s">
        <v>60</v>
      </c>
      <c r="D2107" t="s">
        <v>65</v>
      </c>
      <c r="E2107" t="s">
        <v>49</v>
      </c>
      <c r="F2107" t="s">
        <v>71</v>
      </c>
      <c r="G2107" t="s">
        <v>66</v>
      </c>
      <c r="H2107" t="s">
        <v>57</v>
      </c>
      <c r="I2107" t="s">
        <v>148</v>
      </c>
      <c r="J2107">
        <v>48</v>
      </c>
      <c r="K2107">
        <v>14908.68</v>
      </c>
      <c r="L2107">
        <v>715616.64</v>
      </c>
      <c r="M2107">
        <v>2509.12</v>
      </c>
      <c r="N2107">
        <v>0</v>
      </c>
      <c r="O2107">
        <v>713107.52</v>
      </c>
      <c r="P2107" t="s">
        <v>32</v>
      </c>
      <c r="Q2107" t="s">
        <v>32</v>
      </c>
    </row>
    <row r="2108" spans="1:17" x14ac:dyDescent="0.25">
      <c r="A2108" t="s">
        <v>2225</v>
      </c>
      <c r="B2108" s="1">
        <v>45962</v>
      </c>
      <c r="C2108" t="s">
        <v>79</v>
      </c>
      <c r="D2108" t="s">
        <v>91</v>
      </c>
      <c r="E2108" t="s">
        <v>20</v>
      </c>
      <c r="F2108" t="s">
        <v>84</v>
      </c>
      <c r="G2108" t="s">
        <v>89</v>
      </c>
      <c r="H2108" t="s">
        <v>94</v>
      </c>
      <c r="I2108" t="s">
        <v>95</v>
      </c>
      <c r="J2108">
        <v>14</v>
      </c>
      <c r="K2108">
        <v>17666.52</v>
      </c>
      <c r="L2108">
        <v>247331.28</v>
      </c>
      <c r="M2108">
        <v>17642.259999999998</v>
      </c>
      <c r="N2108">
        <v>51701.58</v>
      </c>
      <c r="O2108">
        <v>177987.44</v>
      </c>
      <c r="P2108" t="s">
        <v>73</v>
      </c>
      <c r="Q2108" t="s">
        <v>32</v>
      </c>
    </row>
    <row r="2109" spans="1:17" x14ac:dyDescent="0.25">
      <c r="A2109" t="s">
        <v>2226</v>
      </c>
      <c r="B2109" s="1">
        <v>45989</v>
      </c>
      <c r="C2109" t="s">
        <v>18</v>
      </c>
      <c r="D2109" t="s">
        <v>75</v>
      </c>
      <c r="E2109" t="s">
        <v>41</v>
      </c>
      <c r="F2109" t="s">
        <v>62</v>
      </c>
      <c r="G2109" t="s">
        <v>89</v>
      </c>
      <c r="H2109" t="s">
        <v>57</v>
      </c>
      <c r="I2109" t="s">
        <v>160</v>
      </c>
      <c r="J2109">
        <v>30</v>
      </c>
      <c r="K2109">
        <v>39785.699999999997</v>
      </c>
      <c r="L2109">
        <v>1193571</v>
      </c>
      <c r="M2109">
        <v>367.51</v>
      </c>
      <c r="N2109">
        <v>0</v>
      </c>
      <c r="O2109">
        <v>1193203.49</v>
      </c>
      <c r="P2109" t="s">
        <v>31</v>
      </c>
      <c r="Q2109" t="s">
        <v>32</v>
      </c>
    </row>
    <row r="2110" spans="1:17" x14ac:dyDescent="0.25">
      <c r="A2110" t="s">
        <v>2227</v>
      </c>
      <c r="B2110" s="1">
        <v>46005</v>
      </c>
      <c r="C2110" t="s">
        <v>18</v>
      </c>
      <c r="D2110" t="s">
        <v>28</v>
      </c>
      <c r="E2110" t="s">
        <v>41</v>
      </c>
      <c r="F2110" t="s">
        <v>21</v>
      </c>
      <c r="G2110" t="s">
        <v>37</v>
      </c>
      <c r="H2110" t="s">
        <v>94</v>
      </c>
      <c r="I2110" t="s">
        <v>163</v>
      </c>
      <c r="J2110">
        <v>12</v>
      </c>
      <c r="K2110">
        <v>27199.88</v>
      </c>
      <c r="L2110">
        <v>326398.56</v>
      </c>
      <c r="M2110">
        <v>0</v>
      </c>
      <c r="N2110">
        <v>0</v>
      </c>
      <c r="O2110">
        <v>326398.56</v>
      </c>
      <c r="P2110" t="s">
        <v>25</v>
      </c>
      <c r="Q2110" t="s">
        <v>26</v>
      </c>
    </row>
    <row r="2111" spans="1:17" x14ac:dyDescent="0.25">
      <c r="A2111" t="s">
        <v>2228</v>
      </c>
      <c r="B2111" s="1">
        <v>46045</v>
      </c>
      <c r="C2111" t="s">
        <v>60</v>
      </c>
      <c r="D2111" t="s">
        <v>151</v>
      </c>
      <c r="E2111" t="s">
        <v>20</v>
      </c>
      <c r="F2111" t="s">
        <v>137</v>
      </c>
      <c r="G2111" t="s">
        <v>56</v>
      </c>
      <c r="H2111" t="s">
        <v>23</v>
      </c>
      <c r="I2111" t="s">
        <v>99</v>
      </c>
      <c r="J2111">
        <v>7</v>
      </c>
      <c r="K2111">
        <v>13285.16</v>
      </c>
      <c r="L2111">
        <v>92996.12</v>
      </c>
      <c r="M2111">
        <v>10701.42</v>
      </c>
      <c r="N2111">
        <v>0</v>
      </c>
      <c r="O2111">
        <v>82294.7</v>
      </c>
      <c r="P2111" t="s">
        <v>73</v>
      </c>
      <c r="Q2111" t="s">
        <v>26</v>
      </c>
    </row>
    <row r="2112" spans="1:17" x14ac:dyDescent="0.25">
      <c r="A2112" t="s">
        <v>2229</v>
      </c>
      <c r="B2112" s="1">
        <v>45956</v>
      </c>
      <c r="C2112" t="s">
        <v>79</v>
      </c>
      <c r="D2112" t="s">
        <v>101</v>
      </c>
      <c r="E2112" t="s">
        <v>41</v>
      </c>
      <c r="F2112" t="s">
        <v>105</v>
      </c>
      <c r="G2112" t="s">
        <v>85</v>
      </c>
      <c r="H2112" t="s">
        <v>67</v>
      </c>
      <c r="I2112" t="s">
        <v>103</v>
      </c>
      <c r="J2112">
        <v>38</v>
      </c>
      <c r="K2112">
        <v>18842.45</v>
      </c>
      <c r="L2112">
        <v>716013.1</v>
      </c>
      <c r="M2112">
        <v>20805.53</v>
      </c>
      <c r="N2112">
        <v>192308.82</v>
      </c>
      <c r="O2112">
        <v>502898.75</v>
      </c>
      <c r="P2112" t="s">
        <v>32</v>
      </c>
      <c r="Q2112" t="s">
        <v>32</v>
      </c>
    </row>
    <row r="2113" spans="1:17" x14ac:dyDescent="0.25">
      <c r="A2113" t="s">
        <v>2230</v>
      </c>
      <c r="B2113" s="1">
        <v>45974</v>
      </c>
      <c r="C2113" t="s">
        <v>79</v>
      </c>
      <c r="D2113" t="s">
        <v>101</v>
      </c>
      <c r="E2113" t="s">
        <v>49</v>
      </c>
      <c r="F2113" t="s">
        <v>137</v>
      </c>
      <c r="G2113" t="s">
        <v>66</v>
      </c>
      <c r="H2113" t="s">
        <v>44</v>
      </c>
      <c r="I2113" t="s">
        <v>135</v>
      </c>
      <c r="J2113">
        <v>27</v>
      </c>
      <c r="K2113">
        <v>41583.94</v>
      </c>
      <c r="L2113">
        <v>1122766.3799999999</v>
      </c>
      <c r="M2113">
        <v>88495.28</v>
      </c>
      <c r="N2113">
        <v>0</v>
      </c>
      <c r="O2113">
        <v>1034271.1</v>
      </c>
      <c r="P2113" t="s">
        <v>73</v>
      </c>
      <c r="Q2113" t="s">
        <v>26</v>
      </c>
    </row>
    <row r="2114" spans="1:17" x14ac:dyDescent="0.25">
      <c r="A2114" t="s">
        <v>2231</v>
      </c>
      <c r="B2114" s="1">
        <v>45974</v>
      </c>
      <c r="C2114" t="s">
        <v>54</v>
      </c>
      <c r="D2114" t="s">
        <v>70</v>
      </c>
      <c r="E2114" t="s">
        <v>20</v>
      </c>
      <c r="F2114" t="s">
        <v>62</v>
      </c>
      <c r="G2114" t="s">
        <v>81</v>
      </c>
      <c r="H2114" t="s">
        <v>38</v>
      </c>
      <c r="I2114" t="s">
        <v>39</v>
      </c>
      <c r="J2114">
        <v>21</v>
      </c>
      <c r="K2114">
        <v>39487.82</v>
      </c>
      <c r="L2114">
        <v>829244.22</v>
      </c>
      <c r="M2114">
        <v>65750.13</v>
      </c>
      <c r="N2114">
        <v>0</v>
      </c>
      <c r="O2114">
        <v>763494.09</v>
      </c>
      <c r="P2114" t="s">
        <v>25</v>
      </c>
      <c r="Q2114" t="s">
        <v>26</v>
      </c>
    </row>
    <row r="2115" spans="1:17" x14ac:dyDescent="0.25">
      <c r="A2115" t="s">
        <v>2232</v>
      </c>
      <c r="B2115" s="1">
        <v>46022</v>
      </c>
      <c r="C2115" t="s">
        <v>18</v>
      </c>
      <c r="D2115" t="s">
        <v>19</v>
      </c>
      <c r="E2115" t="s">
        <v>41</v>
      </c>
      <c r="F2115" t="s">
        <v>137</v>
      </c>
      <c r="G2115" t="s">
        <v>138</v>
      </c>
      <c r="H2115" t="s">
        <v>94</v>
      </c>
      <c r="I2115" t="s">
        <v>115</v>
      </c>
      <c r="J2115">
        <v>30</v>
      </c>
      <c r="K2115">
        <v>13825.95</v>
      </c>
      <c r="L2115">
        <v>414778.5</v>
      </c>
      <c r="M2115">
        <v>72281.86</v>
      </c>
      <c r="N2115">
        <v>0</v>
      </c>
      <c r="O2115">
        <v>342496.64</v>
      </c>
      <c r="P2115" t="s">
        <v>31</v>
      </c>
      <c r="Q2115" t="s">
        <v>32</v>
      </c>
    </row>
    <row r="2116" spans="1:17" x14ac:dyDescent="0.25">
      <c r="A2116" t="s">
        <v>2233</v>
      </c>
      <c r="B2116" s="1">
        <v>45982</v>
      </c>
      <c r="C2116" t="s">
        <v>60</v>
      </c>
      <c r="D2116" t="s">
        <v>123</v>
      </c>
      <c r="E2116" t="s">
        <v>35</v>
      </c>
      <c r="F2116" t="s">
        <v>62</v>
      </c>
      <c r="G2116" t="s">
        <v>138</v>
      </c>
      <c r="H2116" t="s">
        <v>44</v>
      </c>
      <c r="I2116" t="s">
        <v>124</v>
      </c>
      <c r="J2116">
        <v>28</v>
      </c>
      <c r="K2116">
        <v>2195.5700000000002</v>
      </c>
      <c r="L2116">
        <v>61475.96</v>
      </c>
      <c r="M2116">
        <v>5285.3</v>
      </c>
      <c r="N2116">
        <v>0</v>
      </c>
      <c r="O2116">
        <v>56190.66</v>
      </c>
      <c r="P2116" t="s">
        <v>73</v>
      </c>
      <c r="Q2116" t="s">
        <v>32</v>
      </c>
    </row>
    <row r="2117" spans="1:17" x14ac:dyDescent="0.25">
      <c r="A2117" t="s">
        <v>2234</v>
      </c>
      <c r="B2117" s="1">
        <v>46033</v>
      </c>
      <c r="C2117" t="s">
        <v>79</v>
      </c>
      <c r="D2117" t="s">
        <v>80</v>
      </c>
      <c r="E2117" t="s">
        <v>41</v>
      </c>
      <c r="F2117" t="s">
        <v>36</v>
      </c>
      <c r="G2117" t="s">
        <v>56</v>
      </c>
      <c r="H2117" t="s">
        <v>57</v>
      </c>
      <c r="I2117" t="s">
        <v>92</v>
      </c>
      <c r="J2117">
        <v>37</v>
      </c>
      <c r="K2117">
        <v>32980.019999999997</v>
      </c>
      <c r="L2117">
        <v>1220260.74</v>
      </c>
      <c r="M2117">
        <v>0</v>
      </c>
      <c r="N2117">
        <v>0</v>
      </c>
      <c r="O2117">
        <v>1220260.74</v>
      </c>
      <c r="P2117" t="s">
        <v>25</v>
      </c>
      <c r="Q2117" t="s">
        <v>26</v>
      </c>
    </row>
    <row r="2118" spans="1:17" x14ac:dyDescent="0.25">
      <c r="A2118" t="s">
        <v>2235</v>
      </c>
      <c r="B2118" s="1">
        <v>46032</v>
      </c>
      <c r="C2118" t="s">
        <v>47</v>
      </c>
      <c r="D2118" t="s">
        <v>114</v>
      </c>
      <c r="E2118" t="s">
        <v>49</v>
      </c>
      <c r="F2118" t="s">
        <v>36</v>
      </c>
      <c r="G2118" t="s">
        <v>56</v>
      </c>
      <c r="H2118" t="s">
        <v>94</v>
      </c>
      <c r="I2118" t="s">
        <v>193</v>
      </c>
      <c r="J2118">
        <v>43</v>
      </c>
      <c r="K2118">
        <v>46502.69</v>
      </c>
      <c r="L2118">
        <v>1999615.67</v>
      </c>
      <c r="M2118">
        <v>54610.18</v>
      </c>
      <c r="N2118">
        <v>0</v>
      </c>
      <c r="O2118">
        <v>1945005.49</v>
      </c>
      <c r="P2118" t="s">
        <v>73</v>
      </c>
      <c r="Q2118" t="s">
        <v>32</v>
      </c>
    </row>
    <row r="2119" spans="1:17" x14ac:dyDescent="0.25">
      <c r="A2119" t="s">
        <v>2236</v>
      </c>
      <c r="B2119" s="1">
        <v>45988</v>
      </c>
      <c r="C2119" t="s">
        <v>54</v>
      </c>
      <c r="D2119" t="s">
        <v>97</v>
      </c>
      <c r="E2119" t="s">
        <v>35</v>
      </c>
      <c r="F2119" t="s">
        <v>84</v>
      </c>
      <c r="G2119" t="s">
        <v>43</v>
      </c>
      <c r="H2119" t="s">
        <v>44</v>
      </c>
      <c r="I2119" t="s">
        <v>141</v>
      </c>
      <c r="J2119">
        <v>48</v>
      </c>
      <c r="K2119">
        <v>8238.93</v>
      </c>
      <c r="L2119">
        <v>395468.64</v>
      </c>
      <c r="M2119">
        <v>44072.25</v>
      </c>
      <c r="N2119">
        <v>0</v>
      </c>
      <c r="O2119">
        <v>351396.39</v>
      </c>
      <c r="P2119" t="s">
        <v>31</v>
      </c>
      <c r="Q2119" t="s">
        <v>32</v>
      </c>
    </row>
    <row r="2120" spans="1:17" x14ac:dyDescent="0.25">
      <c r="A2120" t="s">
        <v>2237</v>
      </c>
      <c r="B2120" s="1">
        <v>45983</v>
      </c>
      <c r="C2120" t="s">
        <v>47</v>
      </c>
      <c r="D2120" t="s">
        <v>48</v>
      </c>
      <c r="E2120" t="s">
        <v>35</v>
      </c>
      <c r="F2120" t="s">
        <v>71</v>
      </c>
      <c r="G2120" t="s">
        <v>81</v>
      </c>
      <c r="H2120" t="s">
        <v>94</v>
      </c>
      <c r="I2120" t="s">
        <v>193</v>
      </c>
      <c r="J2120">
        <v>2</v>
      </c>
      <c r="K2120">
        <v>22973.040000000001</v>
      </c>
      <c r="L2120">
        <v>45946.080000000002</v>
      </c>
      <c r="M2120">
        <v>7826.3</v>
      </c>
      <c r="N2120">
        <v>4852.1099999999997</v>
      </c>
      <c r="O2120">
        <v>33267.67</v>
      </c>
      <c r="P2120" t="s">
        <v>25</v>
      </c>
      <c r="Q2120" t="s">
        <v>26</v>
      </c>
    </row>
    <row r="2121" spans="1:17" x14ac:dyDescent="0.25">
      <c r="A2121" t="s">
        <v>2238</v>
      </c>
      <c r="B2121" s="1">
        <v>45996</v>
      </c>
      <c r="C2121" t="s">
        <v>60</v>
      </c>
      <c r="D2121" t="s">
        <v>151</v>
      </c>
      <c r="E2121" t="s">
        <v>49</v>
      </c>
      <c r="F2121" t="s">
        <v>105</v>
      </c>
      <c r="G2121" t="s">
        <v>66</v>
      </c>
      <c r="H2121" t="s">
        <v>38</v>
      </c>
      <c r="I2121" t="s">
        <v>39</v>
      </c>
      <c r="J2121">
        <v>44</v>
      </c>
      <c r="K2121">
        <v>49753.82</v>
      </c>
      <c r="L2121">
        <v>2189168.08</v>
      </c>
      <c r="M2121">
        <v>0</v>
      </c>
      <c r="N2121">
        <v>0</v>
      </c>
      <c r="O2121">
        <v>2189168.08</v>
      </c>
      <c r="P2121" t="s">
        <v>32</v>
      </c>
      <c r="Q2121" t="s">
        <v>32</v>
      </c>
    </row>
    <row r="2122" spans="1:17" x14ac:dyDescent="0.25">
      <c r="A2122" t="s">
        <v>2239</v>
      </c>
      <c r="B2122" s="1">
        <v>45979</v>
      </c>
      <c r="C2122" t="s">
        <v>60</v>
      </c>
      <c r="D2122" t="s">
        <v>65</v>
      </c>
      <c r="E2122" t="s">
        <v>41</v>
      </c>
      <c r="F2122" t="s">
        <v>137</v>
      </c>
      <c r="G2122" t="s">
        <v>138</v>
      </c>
      <c r="H2122" t="s">
        <v>94</v>
      </c>
      <c r="I2122" t="s">
        <v>144</v>
      </c>
      <c r="J2122">
        <v>15</v>
      </c>
      <c r="K2122">
        <v>35199.06</v>
      </c>
      <c r="L2122">
        <v>527985.9</v>
      </c>
      <c r="M2122">
        <v>104879.17</v>
      </c>
      <c r="N2122">
        <v>0</v>
      </c>
      <c r="O2122">
        <v>423106.73</v>
      </c>
      <c r="P2122" t="s">
        <v>73</v>
      </c>
      <c r="Q2122" t="s">
        <v>32</v>
      </c>
    </row>
    <row r="2123" spans="1:17" x14ac:dyDescent="0.25">
      <c r="A2123" t="s">
        <v>2240</v>
      </c>
      <c r="B2123" s="1">
        <v>45983</v>
      </c>
      <c r="C2123" t="s">
        <v>54</v>
      </c>
      <c r="D2123" t="s">
        <v>97</v>
      </c>
      <c r="E2123" t="s">
        <v>20</v>
      </c>
      <c r="F2123" t="s">
        <v>21</v>
      </c>
      <c r="G2123" t="s">
        <v>63</v>
      </c>
      <c r="H2123" t="s">
        <v>23</v>
      </c>
      <c r="I2123" t="s">
        <v>110</v>
      </c>
      <c r="J2123">
        <v>43</v>
      </c>
      <c r="K2123">
        <v>8367.61</v>
      </c>
      <c r="L2123">
        <v>359807.23</v>
      </c>
      <c r="M2123">
        <v>0</v>
      </c>
      <c r="N2123">
        <v>0</v>
      </c>
      <c r="O2123">
        <v>359807.23</v>
      </c>
      <c r="P2123" t="s">
        <v>25</v>
      </c>
      <c r="Q2123" t="s">
        <v>26</v>
      </c>
    </row>
    <row r="2124" spans="1:17" x14ac:dyDescent="0.25">
      <c r="A2124" t="s">
        <v>2241</v>
      </c>
      <c r="B2124" s="1">
        <v>46007</v>
      </c>
      <c r="C2124" t="s">
        <v>18</v>
      </c>
      <c r="D2124" t="s">
        <v>28</v>
      </c>
      <c r="E2124" t="s">
        <v>41</v>
      </c>
      <c r="F2124" t="s">
        <v>71</v>
      </c>
      <c r="G2124" t="s">
        <v>85</v>
      </c>
      <c r="H2124" t="s">
        <v>23</v>
      </c>
      <c r="I2124" t="s">
        <v>52</v>
      </c>
      <c r="J2124">
        <v>34</v>
      </c>
      <c r="K2124">
        <v>4839.6400000000003</v>
      </c>
      <c r="L2124">
        <v>164547.76</v>
      </c>
      <c r="M2124">
        <v>11736.52</v>
      </c>
      <c r="N2124">
        <v>0</v>
      </c>
      <c r="O2124">
        <v>152811.24</v>
      </c>
      <c r="P2124" t="s">
        <v>32</v>
      </c>
      <c r="Q2124" t="s">
        <v>32</v>
      </c>
    </row>
    <row r="2125" spans="1:17" x14ac:dyDescent="0.25">
      <c r="A2125" t="s">
        <v>2242</v>
      </c>
      <c r="B2125" s="1">
        <v>45982</v>
      </c>
      <c r="C2125" t="s">
        <v>18</v>
      </c>
      <c r="D2125" t="s">
        <v>34</v>
      </c>
      <c r="E2125" t="s">
        <v>35</v>
      </c>
      <c r="F2125" t="s">
        <v>71</v>
      </c>
      <c r="G2125" t="s">
        <v>37</v>
      </c>
      <c r="H2125" t="s">
        <v>57</v>
      </c>
      <c r="I2125" t="s">
        <v>160</v>
      </c>
      <c r="J2125">
        <v>16</v>
      </c>
      <c r="K2125">
        <v>41386.32</v>
      </c>
      <c r="L2125">
        <v>662181.12</v>
      </c>
      <c r="M2125">
        <v>0</v>
      </c>
      <c r="N2125">
        <v>0</v>
      </c>
      <c r="O2125">
        <v>662181.12</v>
      </c>
      <c r="P2125" t="s">
        <v>25</v>
      </c>
      <c r="Q2125" t="s">
        <v>26</v>
      </c>
    </row>
    <row r="2126" spans="1:17" x14ac:dyDescent="0.25">
      <c r="A2126" t="s">
        <v>2243</v>
      </c>
      <c r="B2126" s="1">
        <v>45957</v>
      </c>
      <c r="C2126" t="s">
        <v>60</v>
      </c>
      <c r="D2126" t="s">
        <v>123</v>
      </c>
      <c r="E2126" t="s">
        <v>35</v>
      </c>
      <c r="F2126" t="s">
        <v>21</v>
      </c>
      <c r="G2126" t="s">
        <v>66</v>
      </c>
      <c r="H2126" t="s">
        <v>23</v>
      </c>
      <c r="I2126" t="s">
        <v>110</v>
      </c>
      <c r="J2126">
        <v>7</v>
      </c>
      <c r="K2126">
        <v>21985.58</v>
      </c>
      <c r="L2126">
        <v>153899.06</v>
      </c>
      <c r="M2126">
        <v>779.28</v>
      </c>
      <c r="N2126">
        <v>0</v>
      </c>
      <c r="O2126">
        <v>153119.78</v>
      </c>
      <c r="P2126" t="s">
        <v>32</v>
      </c>
      <c r="Q2126" t="s">
        <v>32</v>
      </c>
    </row>
    <row r="2127" spans="1:17" x14ac:dyDescent="0.25">
      <c r="A2127" t="s">
        <v>2244</v>
      </c>
      <c r="B2127" s="1">
        <v>45957</v>
      </c>
      <c r="C2127" t="s">
        <v>18</v>
      </c>
      <c r="D2127" t="s">
        <v>34</v>
      </c>
      <c r="E2127" t="s">
        <v>49</v>
      </c>
      <c r="F2127" t="s">
        <v>62</v>
      </c>
      <c r="G2127" t="s">
        <v>56</v>
      </c>
      <c r="H2127" t="s">
        <v>38</v>
      </c>
      <c r="I2127" t="s">
        <v>82</v>
      </c>
      <c r="J2127">
        <v>33</v>
      </c>
      <c r="K2127">
        <v>27755.43</v>
      </c>
      <c r="L2127">
        <v>915929.19</v>
      </c>
      <c r="M2127">
        <v>131138.57</v>
      </c>
      <c r="N2127">
        <v>194801.84</v>
      </c>
      <c r="O2127">
        <v>589988.78</v>
      </c>
      <c r="P2127" t="s">
        <v>73</v>
      </c>
      <c r="Q2127" t="s">
        <v>32</v>
      </c>
    </row>
    <row r="2128" spans="1:17" x14ac:dyDescent="0.25">
      <c r="A2128" t="s">
        <v>2245</v>
      </c>
      <c r="B2128" s="1">
        <v>45963</v>
      </c>
      <c r="C2128" t="s">
        <v>54</v>
      </c>
      <c r="D2128" t="s">
        <v>55</v>
      </c>
      <c r="E2128" t="s">
        <v>41</v>
      </c>
      <c r="F2128" t="s">
        <v>84</v>
      </c>
      <c r="G2128" t="s">
        <v>22</v>
      </c>
      <c r="H2128" t="s">
        <v>67</v>
      </c>
      <c r="I2128" t="s">
        <v>170</v>
      </c>
      <c r="J2128">
        <v>17</v>
      </c>
      <c r="K2128">
        <v>23028.71</v>
      </c>
      <c r="L2128">
        <v>391488.07</v>
      </c>
      <c r="M2128">
        <v>0</v>
      </c>
      <c r="N2128">
        <v>0</v>
      </c>
      <c r="O2128">
        <v>391488.07</v>
      </c>
      <c r="P2128" t="s">
        <v>31</v>
      </c>
      <c r="Q2128" t="s">
        <v>32</v>
      </c>
    </row>
    <row r="2129" spans="1:17" x14ac:dyDescent="0.25">
      <c r="A2129" t="s">
        <v>2246</v>
      </c>
      <c r="B2129" s="1">
        <v>45997</v>
      </c>
      <c r="C2129" t="s">
        <v>54</v>
      </c>
      <c r="D2129" t="s">
        <v>97</v>
      </c>
      <c r="E2129" t="s">
        <v>20</v>
      </c>
      <c r="F2129" t="s">
        <v>62</v>
      </c>
      <c r="G2129" t="s">
        <v>43</v>
      </c>
      <c r="H2129" t="s">
        <v>67</v>
      </c>
      <c r="I2129" t="s">
        <v>170</v>
      </c>
      <c r="J2129">
        <v>14</v>
      </c>
      <c r="K2129">
        <v>13487.56</v>
      </c>
      <c r="L2129">
        <v>188825.84</v>
      </c>
      <c r="M2129">
        <v>0</v>
      </c>
      <c r="N2129">
        <v>0</v>
      </c>
      <c r="O2129">
        <v>188825.84</v>
      </c>
      <c r="P2129" t="s">
        <v>31</v>
      </c>
      <c r="Q2129" t="s">
        <v>32</v>
      </c>
    </row>
    <row r="2130" spans="1:17" x14ac:dyDescent="0.25">
      <c r="A2130" t="s">
        <v>2247</v>
      </c>
      <c r="B2130" s="1">
        <v>46020</v>
      </c>
      <c r="C2130" t="s">
        <v>79</v>
      </c>
      <c r="D2130" t="s">
        <v>107</v>
      </c>
      <c r="E2130" t="s">
        <v>20</v>
      </c>
      <c r="F2130" t="s">
        <v>50</v>
      </c>
      <c r="G2130" t="s">
        <v>29</v>
      </c>
      <c r="H2130" t="s">
        <v>67</v>
      </c>
      <c r="I2130" t="s">
        <v>201</v>
      </c>
      <c r="J2130">
        <v>23</v>
      </c>
      <c r="K2130">
        <v>40683.81</v>
      </c>
      <c r="L2130">
        <v>935727.63</v>
      </c>
      <c r="M2130">
        <v>120917.48</v>
      </c>
      <c r="N2130">
        <v>0</v>
      </c>
      <c r="O2130">
        <v>814810.15</v>
      </c>
      <c r="P2130" t="s">
        <v>32</v>
      </c>
      <c r="Q2130" t="s">
        <v>32</v>
      </c>
    </row>
    <row r="2131" spans="1:17" x14ac:dyDescent="0.25">
      <c r="A2131" t="s">
        <v>2248</v>
      </c>
      <c r="B2131" s="1">
        <v>46021</v>
      </c>
      <c r="C2131" t="s">
        <v>47</v>
      </c>
      <c r="D2131" t="s">
        <v>127</v>
      </c>
      <c r="E2131" t="s">
        <v>20</v>
      </c>
      <c r="F2131" t="s">
        <v>36</v>
      </c>
      <c r="G2131" t="s">
        <v>81</v>
      </c>
      <c r="H2131" t="s">
        <v>67</v>
      </c>
      <c r="I2131" t="s">
        <v>77</v>
      </c>
      <c r="J2131">
        <v>9</v>
      </c>
      <c r="K2131">
        <v>40822.720000000001</v>
      </c>
      <c r="L2131">
        <v>367404.48</v>
      </c>
      <c r="M2131">
        <v>34213.26</v>
      </c>
      <c r="N2131">
        <v>40225.120000000003</v>
      </c>
      <c r="O2131">
        <v>292966.09999999998</v>
      </c>
      <c r="P2131" t="s">
        <v>32</v>
      </c>
      <c r="Q2131" t="s">
        <v>32</v>
      </c>
    </row>
    <row r="2132" spans="1:17" x14ac:dyDescent="0.25">
      <c r="A2132" t="s">
        <v>2249</v>
      </c>
      <c r="B2132" s="1">
        <v>45996</v>
      </c>
      <c r="C2132" t="s">
        <v>54</v>
      </c>
      <c r="D2132" t="s">
        <v>133</v>
      </c>
      <c r="E2132" t="s">
        <v>35</v>
      </c>
      <c r="F2132" t="s">
        <v>84</v>
      </c>
      <c r="G2132" t="s">
        <v>22</v>
      </c>
      <c r="H2132" t="s">
        <v>57</v>
      </c>
      <c r="I2132" t="s">
        <v>118</v>
      </c>
      <c r="J2132">
        <v>49</v>
      </c>
      <c r="K2132">
        <v>4525.75</v>
      </c>
      <c r="L2132">
        <v>221761.75</v>
      </c>
      <c r="M2132">
        <v>33211.230000000003</v>
      </c>
      <c r="N2132">
        <v>0</v>
      </c>
      <c r="O2132">
        <v>188550.52</v>
      </c>
      <c r="P2132" t="s">
        <v>32</v>
      </c>
      <c r="Q2132" t="s">
        <v>32</v>
      </c>
    </row>
    <row r="2133" spans="1:17" x14ac:dyDescent="0.25">
      <c r="A2133" t="s">
        <v>2250</v>
      </c>
      <c r="B2133" s="1">
        <v>46027</v>
      </c>
      <c r="C2133" t="s">
        <v>54</v>
      </c>
      <c r="D2133" t="s">
        <v>133</v>
      </c>
      <c r="E2133" t="s">
        <v>49</v>
      </c>
      <c r="F2133" t="s">
        <v>50</v>
      </c>
      <c r="G2133" t="s">
        <v>102</v>
      </c>
      <c r="H2133" t="s">
        <v>44</v>
      </c>
      <c r="I2133" t="s">
        <v>124</v>
      </c>
      <c r="J2133">
        <v>4</v>
      </c>
      <c r="K2133">
        <v>22230.13</v>
      </c>
      <c r="L2133">
        <v>88920.52</v>
      </c>
      <c r="M2133">
        <v>0</v>
      </c>
      <c r="N2133">
        <v>15008.84</v>
      </c>
      <c r="O2133">
        <v>73911.679999999993</v>
      </c>
      <c r="P2133" t="s">
        <v>31</v>
      </c>
      <c r="Q2133" t="s">
        <v>32</v>
      </c>
    </row>
    <row r="2134" spans="1:17" x14ac:dyDescent="0.25">
      <c r="A2134" t="s">
        <v>2251</v>
      </c>
      <c r="B2134" s="1">
        <v>46026</v>
      </c>
      <c r="C2134" t="s">
        <v>47</v>
      </c>
      <c r="D2134" t="s">
        <v>114</v>
      </c>
      <c r="E2134" t="s">
        <v>41</v>
      </c>
      <c r="F2134" t="s">
        <v>105</v>
      </c>
      <c r="G2134" t="s">
        <v>29</v>
      </c>
      <c r="H2134" t="s">
        <v>38</v>
      </c>
      <c r="I2134" t="s">
        <v>175</v>
      </c>
      <c r="J2134">
        <v>5</v>
      </c>
      <c r="K2134">
        <v>22856.42</v>
      </c>
      <c r="L2134">
        <v>114282.1</v>
      </c>
      <c r="M2134">
        <v>0</v>
      </c>
      <c r="N2134">
        <v>0</v>
      </c>
      <c r="O2134">
        <v>114282.1</v>
      </c>
      <c r="P2134" t="s">
        <v>25</v>
      </c>
      <c r="Q2134" t="s">
        <v>26</v>
      </c>
    </row>
    <row r="2135" spans="1:17" x14ac:dyDescent="0.25">
      <c r="A2135" t="s">
        <v>2252</v>
      </c>
      <c r="B2135" s="1">
        <v>46026</v>
      </c>
      <c r="C2135" t="s">
        <v>18</v>
      </c>
      <c r="D2135" t="s">
        <v>34</v>
      </c>
      <c r="E2135" t="s">
        <v>49</v>
      </c>
      <c r="F2135" t="s">
        <v>84</v>
      </c>
      <c r="G2135" t="s">
        <v>89</v>
      </c>
      <c r="H2135" t="s">
        <v>67</v>
      </c>
      <c r="I2135" t="s">
        <v>154</v>
      </c>
      <c r="J2135">
        <v>14</v>
      </c>
      <c r="K2135">
        <v>38019.519999999997</v>
      </c>
      <c r="L2135">
        <v>532273.28</v>
      </c>
      <c r="M2135">
        <v>44301.62</v>
      </c>
      <c r="N2135">
        <v>0</v>
      </c>
      <c r="O2135">
        <v>487971.66</v>
      </c>
      <c r="P2135" t="s">
        <v>31</v>
      </c>
      <c r="Q2135" t="s">
        <v>32</v>
      </c>
    </row>
    <row r="2136" spans="1:17" x14ac:dyDescent="0.25">
      <c r="A2136" t="s">
        <v>2253</v>
      </c>
      <c r="B2136" s="1">
        <v>45979</v>
      </c>
      <c r="C2136" t="s">
        <v>54</v>
      </c>
      <c r="D2136" t="s">
        <v>133</v>
      </c>
      <c r="E2136" t="s">
        <v>20</v>
      </c>
      <c r="F2136" t="s">
        <v>105</v>
      </c>
      <c r="G2136" t="s">
        <v>22</v>
      </c>
      <c r="H2136" t="s">
        <v>23</v>
      </c>
      <c r="I2136" t="s">
        <v>110</v>
      </c>
      <c r="J2136">
        <v>28</v>
      </c>
      <c r="K2136">
        <v>26167.81</v>
      </c>
      <c r="L2136">
        <v>732698.68</v>
      </c>
      <c r="M2136">
        <v>18758.62</v>
      </c>
      <c r="N2136">
        <v>105732.04</v>
      </c>
      <c r="O2136">
        <v>608208.02</v>
      </c>
      <c r="P2136" t="s">
        <v>25</v>
      </c>
      <c r="Q2136" t="s">
        <v>26</v>
      </c>
    </row>
    <row r="2137" spans="1:17" x14ac:dyDescent="0.25">
      <c r="A2137" t="s">
        <v>2254</v>
      </c>
      <c r="B2137" s="1">
        <v>45980</v>
      </c>
      <c r="C2137" t="s">
        <v>47</v>
      </c>
      <c r="D2137" t="s">
        <v>114</v>
      </c>
      <c r="E2137" t="s">
        <v>49</v>
      </c>
      <c r="F2137" t="s">
        <v>50</v>
      </c>
      <c r="G2137" t="s">
        <v>66</v>
      </c>
      <c r="H2137" t="s">
        <v>67</v>
      </c>
      <c r="I2137" t="s">
        <v>154</v>
      </c>
      <c r="J2137">
        <v>45</v>
      </c>
      <c r="K2137">
        <v>19023.490000000002</v>
      </c>
      <c r="L2137">
        <v>856057.05</v>
      </c>
      <c r="M2137">
        <v>137534.19</v>
      </c>
      <c r="N2137">
        <v>128253.85</v>
      </c>
      <c r="O2137">
        <v>590269.01</v>
      </c>
      <c r="P2137" t="s">
        <v>31</v>
      </c>
      <c r="Q2137" t="s">
        <v>32</v>
      </c>
    </row>
    <row r="2138" spans="1:17" x14ac:dyDescent="0.25">
      <c r="A2138" t="s">
        <v>2255</v>
      </c>
      <c r="B2138" s="1">
        <v>45989</v>
      </c>
      <c r="C2138" t="s">
        <v>18</v>
      </c>
      <c r="D2138" t="s">
        <v>75</v>
      </c>
      <c r="E2138" t="s">
        <v>41</v>
      </c>
      <c r="F2138" t="s">
        <v>137</v>
      </c>
      <c r="G2138" t="s">
        <v>22</v>
      </c>
      <c r="H2138" t="s">
        <v>44</v>
      </c>
      <c r="I2138" t="s">
        <v>45</v>
      </c>
      <c r="J2138">
        <v>14</v>
      </c>
      <c r="K2138">
        <v>46377.120000000003</v>
      </c>
      <c r="L2138">
        <v>649279.68000000005</v>
      </c>
      <c r="M2138">
        <v>0</v>
      </c>
      <c r="N2138">
        <v>0</v>
      </c>
      <c r="O2138">
        <v>649279.68000000005</v>
      </c>
      <c r="P2138" t="s">
        <v>32</v>
      </c>
      <c r="Q2138" t="s">
        <v>32</v>
      </c>
    </row>
    <row r="2139" spans="1:17" x14ac:dyDescent="0.25">
      <c r="A2139" t="s">
        <v>2256</v>
      </c>
      <c r="B2139" s="1">
        <v>46031</v>
      </c>
      <c r="C2139" t="s">
        <v>60</v>
      </c>
      <c r="D2139" t="s">
        <v>61</v>
      </c>
      <c r="E2139" t="s">
        <v>20</v>
      </c>
      <c r="F2139" t="s">
        <v>112</v>
      </c>
      <c r="G2139" t="s">
        <v>140</v>
      </c>
      <c r="H2139" t="s">
        <v>67</v>
      </c>
      <c r="I2139" t="s">
        <v>77</v>
      </c>
      <c r="J2139">
        <v>15</v>
      </c>
      <c r="K2139">
        <v>17180.8</v>
      </c>
      <c r="L2139">
        <v>257712</v>
      </c>
      <c r="M2139">
        <v>4446.76</v>
      </c>
      <c r="N2139">
        <v>0</v>
      </c>
      <c r="O2139">
        <v>253265.24</v>
      </c>
      <c r="P2139" t="s">
        <v>25</v>
      </c>
      <c r="Q2139" t="s">
        <v>26</v>
      </c>
    </row>
    <row r="2140" spans="1:17" x14ac:dyDescent="0.25">
      <c r="A2140" t="s">
        <v>2257</v>
      </c>
      <c r="B2140" s="1">
        <v>46018</v>
      </c>
      <c r="C2140" t="s">
        <v>47</v>
      </c>
      <c r="D2140" t="s">
        <v>127</v>
      </c>
      <c r="E2140" t="s">
        <v>35</v>
      </c>
      <c r="F2140" t="s">
        <v>50</v>
      </c>
      <c r="G2140" t="s">
        <v>22</v>
      </c>
      <c r="H2140" t="s">
        <v>44</v>
      </c>
      <c r="I2140" t="s">
        <v>135</v>
      </c>
      <c r="J2140">
        <v>6</v>
      </c>
      <c r="K2140">
        <v>32350.9</v>
      </c>
      <c r="L2140">
        <v>194105.4</v>
      </c>
      <c r="M2140">
        <v>0</v>
      </c>
      <c r="N2140">
        <v>20794.73</v>
      </c>
      <c r="O2140">
        <v>173310.67</v>
      </c>
      <c r="P2140" t="s">
        <v>73</v>
      </c>
      <c r="Q2140" t="s">
        <v>32</v>
      </c>
    </row>
    <row r="2141" spans="1:17" x14ac:dyDescent="0.25">
      <c r="A2141" t="s">
        <v>2258</v>
      </c>
      <c r="B2141" s="1">
        <v>46011</v>
      </c>
      <c r="C2141" t="s">
        <v>47</v>
      </c>
      <c r="D2141" t="s">
        <v>48</v>
      </c>
      <c r="E2141" t="s">
        <v>20</v>
      </c>
      <c r="F2141" t="s">
        <v>71</v>
      </c>
      <c r="G2141" t="s">
        <v>43</v>
      </c>
      <c r="H2141" t="s">
        <v>38</v>
      </c>
      <c r="I2141" t="s">
        <v>120</v>
      </c>
      <c r="J2141">
        <v>32</v>
      </c>
      <c r="K2141">
        <v>46094.67</v>
      </c>
      <c r="L2141">
        <v>1475029.44</v>
      </c>
      <c r="M2141">
        <v>0</v>
      </c>
      <c r="N2141">
        <v>0</v>
      </c>
      <c r="O2141">
        <v>1475029.44</v>
      </c>
      <c r="P2141" t="s">
        <v>25</v>
      </c>
      <c r="Q2141" t="s">
        <v>26</v>
      </c>
    </row>
    <row r="2142" spans="1:17" x14ac:dyDescent="0.25">
      <c r="A2142" t="s">
        <v>2259</v>
      </c>
      <c r="B2142" s="1">
        <v>46005</v>
      </c>
      <c r="C2142" t="s">
        <v>18</v>
      </c>
      <c r="D2142" t="s">
        <v>19</v>
      </c>
      <c r="E2142" t="s">
        <v>20</v>
      </c>
      <c r="F2142" t="s">
        <v>105</v>
      </c>
      <c r="G2142" t="s">
        <v>22</v>
      </c>
      <c r="H2142" t="s">
        <v>94</v>
      </c>
      <c r="I2142" t="s">
        <v>115</v>
      </c>
      <c r="J2142">
        <v>35</v>
      </c>
      <c r="K2142">
        <v>31602.45</v>
      </c>
      <c r="L2142">
        <v>1106085.75</v>
      </c>
      <c r="M2142">
        <v>173650.11</v>
      </c>
      <c r="N2142">
        <v>0</v>
      </c>
      <c r="O2142">
        <v>932435.64</v>
      </c>
      <c r="P2142" t="s">
        <v>31</v>
      </c>
      <c r="Q2142" t="s">
        <v>32</v>
      </c>
    </row>
    <row r="2143" spans="1:17" x14ac:dyDescent="0.25">
      <c r="A2143" t="s">
        <v>2260</v>
      </c>
      <c r="B2143" s="1">
        <v>45992</v>
      </c>
      <c r="C2143" t="s">
        <v>54</v>
      </c>
      <c r="D2143" t="s">
        <v>70</v>
      </c>
      <c r="E2143" t="s">
        <v>20</v>
      </c>
      <c r="F2143" t="s">
        <v>105</v>
      </c>
      <c r="G2143" t="s">
        <v>56</v>
      </c>
      <c r="H2143" t="s">
        <v>23</v>
      </c>
      <c r="I2143" t="s">
        <v>30</v>
      </c>
      <c r="J2143">
        <v>50</v>
      </c>
      <c r="K2143">
        <v>38132.54</v>
      </c>
      <c r="L2143">
        <v>1906627</v>
      </c>
      <c r="M2143">
        <v>340229.59</v>
      </c>
      <c r="N2143">
        <v>0</v>
      </c>
      <c r="O2143">
        <v>1566397.41</v>
      </c>
      <c r="P2143" t="s">
        <v>73</v>
      </c>
      <c r="Q2143" t="s">
        <v>32</v>
      </c>
    </row>
    <row r="2144" spans="1:17" x14ac:dyDescent="0.25">
      <c r="A2144" t="s">
        <v>2261</v>
      </c>
      <c r="B2144" s="1">
        <v>45955</v>
      </c>
      <c r="C2144" t="s">
        <v>18</v>
      </c>
      <c r="D2144" t="s">
        <v>19</v>
      </c>
      <c r="E2144" t="s">
        <v>49</v>
      </c>
      <c r="F2144" t="s">
        <v>105</v>
      </c>
      <c r="G2144" t="s">
        <v>81</v>
      </c>
      <c r="H2144" t="s">
        <v>44</v>
      </c>
      <c r="I2144" t="s">
        <v>281</v>
      </c>
      <c r="J2144">
        <v>26</v>
      </c>
      <c r="K2144">
        <v>21069.55</v>
      </c>
      <c r="L2144">
        <v>547808.30000000005</v>
      </c>
      <c r="M2144">
        <v>0</v>
      </c>
      <c r="N2144">
        <v>0</v>
      </c>
      <c r="O2144">
        <v>547808.30000000005</v>
      </c>
      <c r="P2144" t="s">
        <v>73</v>
      </c>
      <c r="Q2144" t="s">
        <v>32</v>
      </c>
    </row>
    <row r="2145" spans="1:17" x14ac:dyDescent="0.25">
      <c r="A2145" t="s">
        <v>2262</v>
      </c>
      <c r="B2145" s="1">
        <v>45994</v>
      </c>
      <c r="C2145" t="s">
        <v>54</v>
      </c>
      <c r="D2145" t="s">
        <v>55</v>
      </c>
      <c r="E2145" t="s">
        <v>49</v>
      </c>
      <c r="F2145" t="s">
        <v>42</v>
      </c>
      <c r="G2145" t="s">
        <v>85</v>
      </c>
      <c r="H2145" t="s">
        <v>57</v>
      </c>
      <c r="I2145" t="s">
        <v>118</v>
      </c>
      <c r="J2145">
        <v>31</v>
      </c>
      <c r="K2145">
        <v>31237.05</v>
      </c>
      <c r="L2145">
        <v>968348.55</v>
      </c>
      <c r="M2145">
        <v>69459.039999999994</v>
      </c>
      <c r="N2145">
        <v>0</v>
      </c>
      <c r="O2145">
        <v>898889.51</v>
      </c>
      <c r="P2145" t="s">
        <v>32</v>
      </c>
      <c r="Q2145" t="s">
        <v>32</v>
      </c>
    </row>
    <row r="2146" spans="1:17" x14ac:dyDescent="0.25">
      <c r="A2146" t="s">
        <v>2263</v>
      </c>
      <c r="B2146" s="1">
        <v>45981</v>
      </c>
      <c r="C2146" t="s">
        <v>54</v>
      </c>
      <c r="D2146" t="s">
        <v>97</v>
      </c>
      <c r="E2146" t="s">
        <v>35</v>
      </c>
      <c r="F2146" t="s">
        <v>21</v>
      </c>
      <c r="G2146" t="s">
        <v>66</v>
      </c>
      <c r="H2146" t="s">
        <v>23</v>
      </c>
      <c r="I2146" t="s">
        <v>30</v>
      </c>
      <c r="J2146">
        <v>33</v>
      </c>
      <c r="K2146">
        <v>49044.65</v>
      </c>
      <c r="L2146">
        <v>1618473.45</v>
      </c>
      <c r="M2146">
        <v>0</v>
      </c>
      <c r="N2146">
        <v>0</v>
      </c>
      <c r="O2146">
        <v>1618473.45</v>
      </c>
      <c r="P2146" t="s">
        <v>31</v>
      </c>
      <c r="Q2146" t="s">
        <v>32</v>
      </c>
    </row>
    <row r="2147" spans="1:17" x14ac:dyDescent="0.25">
      <c r="A2147" t="s">
        <v>2264</v>
      </c>
      <c r="B2147" s="1">
        <v>45993</v>
      </c>
      <c r="C2147" t="s">
        <v>18</v>
      </c>
      <c r="D2147" t="s">
        <v>75</v>
      </c>
      <c r="E2147" t="s">
        <v>35</v>
      </c>
      <c r="F2147" t="s">
        <v>84</v>
      </c>
      <c r="G2147" t="s">
        <v>66</v>
      </c>
      <c r="H2147" t="s">
        <v>57</v>
      </c>
      <c r="I2147" t="s">
        <v>92</v>
      </c>
      <c r="J2147">
        <v>12</v>
      </c>
      <c r="K2147">
        <v>17471.939999999999</v>
      </c>
      <c r="L2147">
        <v>209663.28</v>
      </c>
      <c r="M2147">
        <v>4387.6400000000003</v>
      </c>
      <c r="N2147">
        <v>0</v>
      </c>
      <c r="O2147">
        <v>205275.64</v>
      </c>
      <c r="P2147" t="s">
        <v>31</v>
      </c>
      <c r="Q2147" t="s">
        <v>32</v>
      </c>
    </row>
    <row r="2148" spans="1:17" x14ac:dyDescent="0.25">
      <c r="A2148" t="s">
        <v>2265</v>
      </c>
      <c r="B2148" s="1">
        <v>45997</v>
      </c>
      <c r="C2148" t="s">
        <v>54</v>
      </c>
      <c r="D2148" t="s">
        <v>97</v>
      </c>
      <c r="E2148" t="s">
        <v>20</v>
      </c>
      <c r="F2148" t="s">
        <v>50</v>
      </c>
      <c r="G2148" t="s">
        <v>89</v>
      </c>
      <c r="H2148" t="s">
        <v>44</v>
      </c>
      <c r="I2148" t="s">
        <v>135</v>
      </c>
      <c r="J2148">
        <v>31</v>
      </c>
      <c r="K2148">
        <v>46701.21</v>
      </c>
      <c r="L2148">
        <v>1447737.51</v>
      </c>
      <c r="M2148">
        <v>279775.62</v>
      </c>
      <c r="N2148">
        <v>246731.08</v>
      </c>
      <c r="O2148">
        <v>921230.81</v>
      </c>
      <c r="P2148" t="s">
        <v>73</v>
      </c>
      <c r="Q2148" t="s">
        <v>32</v>
      </c>
    </row>
    <row r="2149" spans="1:17" x14ac:dyDescent="0.25">
      <c r="A2149" t="s">
        <v>2266</v>
      </c>
      <c r="B2149" s="1">
        <v>46017</v>
      </c>
      <c r="C2149" t="s">
        <v>54</v>
      </c>
      <c r="D2149" t="s">
        <v>55</v>
      </c>
      <c r="E2149" t="s">
        <v>35</v>
      </c>
      <c r="F2149" t="s">
        <v>50</v>
      </c>
      <c r="G2149" t="s">
        <v>63</v>
      </c>
      <c r="H2149" t="s">
        <v>23</v>
      </c>
      <c r="I2149" t="s">
        <v>110</v>
      </c>
      <c r="J2149">
        <v>44</v>
      </c>
      <c r="K2149">
        <v>27679.62</v>
      </c>
      <c r="L2149">
        <v>1217903.28</v>
      </c>
      <c r="M2149">
        <v>192956.87</v>
      </c>
      <c r="N2149">
        <v>0</v>
      </c>
      <c r="O2149">
        <v>1024946.41</v>
      </c>
      <c r="P2149" t="s">
        <v>25</v>
      </c>
      <c r="Q2149" t="s">
        <v>26</v>
      </c>
    </row>
    <row r="2150" spans="1:17" x14ac:dyDescent="0.25">
      <c r="A2150" t="s">
        <v>2267</v>
      </c>
      <c r="B2150" s="1">
        <v>46041</v>
      </c>
      <c r="C2150" t="s">
        <v>47</v>
      </c>
      <c r="D2150" t="s">
        <v>127</v>
      </c>
      <c r="E2150" t="s">
        <v>20</v>
      </c>
      <c r="F2150" t="s">
        <v>62</v>
      </c>
      <c r="G2150" t="s">
        <v>56</v>
      </c>
      <c r="H2150" t="s">
        <v>38</v>
      </c>
      <c r="I2150" t="s">
        <v>175</v>
      </c>
      <c r="J2150">
        <v>35</v>
      </c>
      <c r="K2150">
        <v>38887.93</v>
      </c>
      <c r="L2150">
        <v>1361077.55</v>
      </c>
      <c r="M2150">
        <v>98240.06</v>
      </c>
      <c r="N2150">
        <v>0</v>
      </c>
      <c r="O2150">
        <v>1262837.49</v>
      </c>
      <c r="P2150" t="s">
        <v>73</v>
      </c>
      <c r="Q2150" t="s">
        <v>32</v>
      </c>
    </row>
    <row r="2151" spans="1:17" x14ac:dyDescent="0.25">
      <c r="A2151" t="s">
        <v>2268</v>
      </c>
      <c r="B2151" s="1">
        <v>46003</v>
      </c>
      <c r="C2151" t="s">
        <v>54</v>
      </c>
      <c r="D2151" t="s">
        <v>70</v>
      </c>
      <c r="E2151" t="s">
        <v>41</v>
      </c>
      <c r="F2151" t="s">
        <v>84</v>
      </c>
      <c r="G2151" t="s">
        <v>51</v>
      </c>
      <c r="H2151" t="s">
        <v>44</v>
      </c>
      <c r="I2151" t="s">
        <v>124</v>
      </c>
      <c r="J2151">
        <v>16</v>
      </c>
      <c r="K2151">
        <v>29377.33</v>
      </c>
      <c r="L2151">
        <v>470037.28</v>
      </c>
      <c r="M2151">
        <v>59444.58</v>
      </c>
      <c r="N2151">
        <v>0</v>
      </c>
      <c r="O2151">
        <v>410592.7</v>
      </c>
      <c r="P2151" t="s">
        <v>31</v>
      </c>
      <c r="Q2151" t="s">
        <v>32</v>
      </c>
    </row>
    <row r="2152" spans="1:17" x14ac:dyDescent="0.25">
      <c r="A2152" t="s">
        <v>2269</v>
      </c>
      <c r="B2152" s="1">
        <v>46033</v>
      </c>
      <c r="C2152" t="s">
        <v>60</v>
      </c>
      <c r="D2152" t="s">
        <v>65</v>
      </c>
      <c r="E2152" t="s">
        <v>20</v>
      </c>
      <c r="F2152" t="s">
        <v>112</v>
      </c>
      <c r="G2152" t="s">
        <v>22</v>
      </c>
      <c r="H2152" t="s">
        <v>57</v>
      </c>
      <c r="I2152" t="s">
        <v>160</v>
      </c>
      <c r="J2152">
        <v>30</v>
      </c>
      <c r="K2152">
        <v>25979.38</v>
      </c>
      <c r="L2152">
        <v>779381.4</v>
      </c>
      <c r="M2152">
        <v>55141</v>
      </c>
      <c r="N2152">
        <v>0</v>
      </c>
      <c r="O2152">
        <v>724240.4</v>
      </c>
      <c r="P2152" t="s">
        <v>25</v>
      </c>
      <c r="Q2152" t="s">
        <v>26</v>
      </c>
    </row>
    <row r="2153" spans="1:17" x14ac:dyDescent="0.25">
      <c r="A2153" t="s">
        <v>2270</v>
      </c>
      <c r="B2153" s="1">
        <v>45959</v>
      </c>
      <c r="C2153" t="s">
        <v>79</v>
      </c>
      <c r="D2153" t="s">
        <v>107</v>
      </c>
      <c r="E2153" t="s">
        <v>35</v>
      </c>
      <c r="F2153" t="s">
        <v>105</v>
      </c>
      <c r="G2153" t="s">
        <v>81</v>
      </c>
      <c r="H2153" t="s">
        <v>38</v>
      </c>
      <c r="I2153" t="s">
        <v>86</v>
      </c>
      <c r="J2153">
        <v>31</v>
      </c>
      <c r="K2153">
        <v>5826.84</v>
      </c>
      <c r="L2153">
        <v>180632.04</v>
      </c>
      <c r="M2153">
        <v>0</v>
      </c>
      <c r="N2153">
        <v>0</v>
      </c>
      <c r="O2153">
        <v>180632.04</v>
      </c>
      <c r="P2153" t="s">
        <v>25</v>
      </c>
      <c r="Q2153" t="s">
        <v>26</v>
      </c>
    </row>
    <row r="2154" spans="1:17" x14ac:dyDescent="0.25">
      <c r="A2154" t="s">
        <v>2271</v>
      </c>
      <c r="B2154" s="1">
        <v>46002</v>
      </c>
      <c r="C2154" t="s">
        <v>79</v>
      </c>
      <c r="D2154" t="s">
        <v>80</v>
      </c>
      <c r="E2154" t="s">
        <v>20</v>
      </c>
      <c r="F2154" t="s">
        <v>50</v>
      </c>
      <c r="G2154" t="s">
        <v>81</v>
      </c>
      <c r="H2154" t="s">
        <v>57</v>
      </c>
      <c r="I2154" t="s">
        <v>160</v>
      </c>
      <c r="J2154">
        <v>22</v>
      </c>
      <c r="K2154">
        <v>19106.12</v>
      </c>
      <c r="L2154">
        <v>420334.64</v>
      </c>
      <c r="M2154">
        <v>19036.48</v>
      </c>
      <c r="N2154">
        <v>91891.03</v>
      </c>
      <c r="O2154">
        <v>309407.13</v>
      </c>
      <c r="P2154" t="s">
        <v>32</v>
      </c>
      <c r="Q2154" t="s">
        <v>32</v>
      </c>
    </row>
    <row r="2155" spans="1:17" x14ac:dyDescent="0.25">
      <c r="A2155" t="s">
        <v>2272</v>
      </c>
      <c r="B2155" s="1">
        <v>46033</v>
      </c>
      <c r="C2155" t="s">
        <v>79</v>
      </c>
      <c r="D2155" t="s">
        <v>91</v>
      </c>
      <c r="E2155" t="s">
        <v>41</v>
      </c>
      <c r="F2155" t="s">
        <v>137</v>
      </c>
      <c r="G2155" t="s">
        <v>85</v>
      </c>
      <c r="H2155" t="s">
        <v>57</v>
      </c>
      <c r="I2155" t="s">
        <v>118</v>
      </c>
      <c r="J2155">
        <v>26</v>
      </c>
      <c r="K2155">
        <v>35316.75</v>
      </c>
      <c r="L2155">
        <v>918235.5</v>
      </c>
      <c r="M2155">
        <v>0</v>
      </c>
      <c r="N2155">
        <v>0</v>
      </c>
      <c r="O2155">
        <v>918235.5</v>
      </c>
      <c r="P2155" t="s">
        <v>32</v>
      </c>
      <c r="Q2155" t="s">
        <v>26</v>
      </c>
    </row>
    <row r="2156" spans="1:17" x14ac:dyDescent="0.25">
      <c r="A2156" t="s">
        <v>2273</v>
      </c>
      <c r="B2156" s="1">
        <v>46041</v>
      </c>
      <c r="C2156" t="s">
        <v>79</v>
      </c>
      <c r="D2156" t="s">
        <v>91</v>
      </c>
      <c r="E2156" t="s">
        <v>49</v>
      </c>
      <c r="F2156" t="s">
        <v>62</v>
      </c>
      <c r="G2156" t="s">
        <v>140</v>
      </c>
      <c r="H2156" t="s">
        <v>38</v>
      </c>
      <c r="I2156" t="s">
        <v>120</v>
      </c>
      <c r="J2156">
        <v>30</v>
      </c>
      <c r="K2156">
        <v>43243.53</v>
      </c>
      <c r="L2156">
        <v>1297305.8999999999</v>
      </c>
      <c r="M2156">
        <v>154718.37</v>
      </c>
      <c r="N2156">
        <v>0</v>
      </c>
      <c r="O2156">
        <v>1142587.53</v>
      </c>
      <c r="P2156" t="s">
        <v>73</v>
      </c>
      <c r="Q2156" t="s">
        <v>26</v>
      </c>
    </row>
    <row r="2157" spans="1:17" x14ac:dyDescent="0.25">
      <c r="A2157" t="s">
        <v>2274</v>
      </c>
      <c r="B2157" s="1">
        <v>45987</v>
      </c>
      <c r="C2157" t="s">
        <v>79</v>
      </c>
      <c r="D2157" t="s">
        <v>101</v>
      </c>
      <c r="E2157" t="s">
        <v>49</v>
      </c>
      <c r="F2157" t="s">
        <v>105</v>
      </c>
      <c r="G2157" t="s">
        <v>37</v>
      </c>
      <c r="H2157" t="s">
        <v>44</v>
      </c>
      <c r="I2157" t="s">
        <v>281</v>
      </c>
      <c r="J2157">
        <v>14</v>
      </c>
      <c r="K2157">
        <v>12902.27</v>
      </c>
      <c r="L2157">
        <v>180631.78</v>
      </c>
      <c r="M2157">
        <v>10323.75</v>
      </c>
      <c r="N2157">
        <v>0</v>
      </c>
      <c r="O2157">
        <v>170308.03</v>
      </c>
      <c r="P2157" t="s">
        <v>25</v>
      </c>
      <c r="Q2157" t="s">
        <v>26</v>
      </c>
    </row>
    <row r="2158" spans="1:17" x14ac:dyDescent="0.25">
      <c r="A2158" t="s">
        <v>2275</v>
      </c>
      <c r="B2158" s="1">
        <v>46019</v>
      </c>
      <c r="C2158" t="s">
        <v>47</v>
      </c>
      <c r="D2158" t="s">
        <v>48</v>
      </c>
      <c r="E2158" t="s">
        <v>49</v>
      </c>
      <c r="F2158" t="s">
        <v>84</v>
      </c>
      <c r="G2158" t="s">
        <v>29</v>
      </c>
      <c r="H2158" t="s">
        <v>67</v>
      </c>
      <c r="I2158" t="s">
        <v>154</v>
      </c>
      <c r="J2158">
        <v>11</v>
      </c>
      <c r="K2158">
        <v>34250.410000000003</v>
      </c>
      <c r="L2158">
        <v>376754.51</v>
      </c>
      <c r="M2158">
        <v>0</v>
      </c>
      <c r="N2158">
        <v>0</v>
      </c>
      <c r="O2158">
        <v>376754.51</v>
      </c>
      <c r="P2158" t="s">
        <v>31</v>
      </c>
      <c r="Q2158" t="s">
        <v>32</v>
      </c>
    </row>
    <row r="2159" spans="1:17" x14ac:dyDescent="0.25">
      <c r="A2159" t="s">
        <v>2276</v>
      </c>
      <c r="B2159" s="1">
        <v>46020</v>
      </c>
      <c r="C2159" t="s">
        <v>47</v>
      </c>
      <c r="D2159" t="s">
        <v>88</v>
      </c>
      <c r="E2159" t="s">
        <v>35</v>
      </c>
      <c r="F2159" t="s">
        <v>112</v>
      </c>
      <c r="G2159" t="s">
        <v>81</v>
      </c>
      <c r="H2159" t="s">
        <v>38</v>
      </c>
      <c r="I2159" t="s">
        <v>86</v>
      </c>
      <c r="J2159">
        <v>23</v>
      </c>
      <c r="K2159">
        <v>48969.03</v>
      </c>
      <c r="L2159">
        <v>1126287.69</v>
      </c>
      <c r="M2159">
        <v>20090.23</v>
      </c>
      <c r="N2159">
        <v>0</v>
      </c>
      <c r="O2159">
        <v>1106197.46</v>
      </c>
      <c r="P2159" t="s">
        <v>25</v>
      </c>
      <c r="Q2159" t="s">
        <v>26</v>
      </c>
    </row>
    <row r="2160" spans="1:17" x14ac:dyDescent="0.25">
      <c r="A2160" t="s">
        <v>2277</v>
      </c>
      <c r="B2160" s="1">
        <v>46044</v>
      </c>
      <c r="C2160" t="s">
        <v>47</v>
      </c>
      <c r="D2160" t="s">
        <v>114</v>
      </c>
      <c r="E2160" t="s">
        <v>20</v>
      </c>
      <c r="F2160" t="s">
        <v>112</v>
      </c>
      <c r="G2160" t="s">
        <v>98</v>
      </c>
      <c r="H2160" t="s">
        <v>38</v>
      </c>
      <c r="I2160" t="s">
        <v>82</v>
      </c>
      <c r="J2160">
        <v>19</v>
      </c>
      <c r="K2160">
        <v>25241.71</v>
      </c>
      <c r="L2160">
        <v>479592.49</v>
      </c>
      <c r="M2160">
        <v>58080.480000000003</v>
      </c>
      <c r="N2160">
        <v>0</v>
      </c>
      <c r="O2160">
        <v>421512.01</v>
      </c>
      <c r="P2160" t="s">
        <v>25</v>
      </c>
      <c r="Q2160" t="s">
        <v>128</v>
      </c>
    </row>
    <row r="2161" spans="1:17" x14ac:dyDescent="0.25">
      <c r="A2161" t="s">
        <v>2278</v>
      </c>
      <c r="B2161" s="1">
        <v>45981</v>
      </c>
      <c r="C2161" t="s">
        <v>47</v>
      </c>
      <c r="D2161" t="s">
        <v>88</v>
      </c>
      <c r="E2161" t="s">
        <v>49</v>
      </c>
      <c r="F2161" t="s">
        <v>62</v>
      </c>
      <c r="G2161" t="s">
        <v>37</v>
      </c>
      <c r="H2161" t="s">
        <v>67</v>
      </c>
      <c r="I2161" t="s">
        <v>201</v>
      </c>
      <c r="J2161">
        <v>10</v>
      </c>
      <c r="K2161">
        <v>9694.44</v>
      </c>
      <c r="L2161">
        <v>96944.4</v>
      </c>
      <c r="M2161">
        <v>13108.15</v>
      </c>
      <c r="N2161">
        <v>0</v>
      </c>
      <c r="O2161">
        <v>83836.25</v>
      </c>
      <c r="P2161" t="s">
        <v>31</v>
      </c>
      <c r="Q2161" t="s">
        <v>32</v>
      </c>
    </row>
    <row r="2162" spans="1:17" x14ac:dyDescent="0.25">
      <c r="A2162" t="s">
        <v>2279</v>
      </c>
      <c r="B2162" s="1">
        <v>46006</v>
      </c>
      <c r="C2162" t="s">
        <v>60</v>
      </c>
      <c r="D2162" t="s">
        <v>61</v>
      </c>
      <c r="E2162" t="s">
        <v>20</v>
      </c>
      <c r="F2162" t="s">
        <v>62</v>
      </c>
      <c r="G2162" t="s">
        <v>43</v>
      </c>
      <c r="H2162" t="s">
        <v>94</v>
      </c>
      <c r="I2162" t="s">
        <v>95</v>
      </c>
      <c r="J2162">
        <v>5</v>
      </c>
      <c r="K2162">
        <v>38806.239999999998</v>
      </c>
      <c r="L2162">
        <v>194031.2</v>
      </c>
      <c r="M2162">
        <v>18829.36</v>
      </c>
      <c r="N2162">
        <v>0</v>
      </c>
      <c r="O2162">
        <v>175201.84</v>
      </c>
      <c r="P2162" t="s">
        <v>73</v>
      </c>
      <c r="Q2162" t="s">
        <v>26</v>
      </c>
    </row>
    <row r="2163" spans="1:17" x14ac:dyDescent="0.25">
      <c r="A2163" t="s">
        <v>2280</v>
      </c>
      <c r="B2163" s="1">
        <v>45964</v>
      </c>
      <c r="C2163" t="s">
        <v>60</v>
      </c>
      <c r="D2163" t="s">
        <v>65</v>
      </c>
      <c r="E2163" t="s">
        <v>41</v>
      </c>
      <c r="F2163" t="s">
        <v>50</v>
      </c>
      <c r="G2163" t="s">
        <v>66</v>
      </c>
      <c r="H2163" t="s">
        <v>94</v>
      </c>
      <c r="I2163" t="s">
        <v>115</v>
      </c>
      <c r="J2163">
        <v>16</v>
      </c>
      <c r="K2163">
        <v>17444.330000000002</v>
      </c>
      <c r="L2163">
        <v>279109.28000000003</v>
      </c>
      <c r="M2163">
        <v>0</v>
      </c>
      <c r="N2163">
        <v>0</v>
      </c>
      <c r="O2163">
        <v>279109.28000000003</v>
      </c>
      <c r="P2163" t="s">
        <v>73</v>
      </c>
      <c r="Q2163" t="s">
        <v>32</v>
      </c>
    </row>
    <row r="2164" spans="1:17" x14ac:dyDescent="0.25">
      <c r="A2164" t="s">
        <v>2281</v>
      </c>
      <c r="B2164" s="1">
        <v>46022</v>
      </c>
      <c r="C2164" t="s">
        <v>79</v>
      </c>
      <c r="D2164" t="s">
        <v>91</v>
      </c>
      <c r="E2164" t="s">
        <v>49</v>
      </c>
      <c r="F2164" t="s">
        <v>105</v>
      </c>
      <c r="G2164" t="s">
        <v>63</v>
      </c>
      <c r="H2164" t="s">
        <v>38</v>
      </c>
      <c r="I2164" t="s">
        <v>108</v>
      </c>
      <c r="J2164">
        <v>23</v>
      </c>
      <c r="K2164">
        <v>45144.959999999999</v>
      </c>
      <c r="L2164">
        <v>1038334.08</v>
      </c>
      <c r="M2164">
        <v>0</v>
      </c>
      <c r="N2164">
        <v>0</v>
      </c>
      <c r="O2164">
        <v>1038334.08</v>
      </c>
      <c r="P2164" t="s">
        <v>25</v>
      </c>
      <c r="Q2164" t="s">
        <v>26</v>
      </c>
    </row>
    <row r="2165" spans="1:17" x14ac:dyDescent="0.25">
      <c r="A2165" t="s">
        <v>2282</v>
      </c>
      <c r="B2165" s="1">
        <v>46035</v>
      </c>
      <c r="C2165" t="s">
        <v>79</v>
      </c>
      <c r="D2165" t="s">
        <v>107</v>
      </c>
      <c r="E2165" t="s">
        <v>49</v>
      </c>
      <c r="F2165" t="s">
        <v>50</v>
      </c>
      <c r="G2165" t="s">
        <v>89</v>
      </c>
      <c r="H2165" t="s">
        <v>57</v>
      </c>
      <c r="I2165" t="s">
        <v>148</v>
      </c>
      <c r="J2165">
        <v>30</v>
      </c>
      <c r="K2165">
        <v>4962.7299999999996</v>
      </c>
      <c r="L2165">
        <v>148881.9</v>
      </c>
      <c r="M2165">
        <v>21781</v>
      </c>
      <c r="N2165">
        <v>0</v>
      </c>
      <c r="O2165">
        <v>127100.9</v>
      </c>
      <c r="P2165" t="s">
        <v>31</v>
      </c>
      <c r="Q2165" t="s">
        <v>32</v>
      </c>
    </row>
    <row r="2166" spans="1:17" x14ac:dyDescent="0.25">
      <c r="A2166" t="s">
        <v>2283</v>
      </c>
      <c r="B2166" s="1">
        <v>46011</v>
      </c>
      <c r="C2166" t="s">
        <v>47</v>
      </c>
      <c r="D2166" t="s">
        <v>114</v>
      </c>
      <c r="E2166" t="s">
        <v>35</v>
      </c>
      <c r="F2166" t="s">
        <v>84</v>
      </c>
      <c r="G2166" t="s">
        <v>66</v>
      </c>
      <c r="H2166" t="s">
        <v>44</v>
      </c>
      <c r="I2166" t="s">
        <v>281</v>
      </c>
      <c r="J2166">
        <v>20</v>
      </c>
      <c r="K2166">
        <v>49794.83</v>
      </c>
      <c r="L2166">
        <v>995896.6</v>
      </c>
      <c r="M2166">
        <v>0</v>
      </c>
      <c r="N2166">
        <v>0</v>
      </c>
      <c r="O2166">
        <v>995896.6</v>
      </c>
      <c r="P2166" t="s">
        <v>32</v>
      </c>
      <c r="Q2166" t="s">
        <v>32</v>
      </c>
    </row>
    <row r="2167" spans="1:17" x14ac:dyDescent="0.25">
      <c r="A2167" t="s">
        <v>2284</v>
      </c>
      <c r="B2167" s="1">
        <v>45996</v>
      </c>
      <c r="C2167" t="s">
        <v>54</v>
      </c>
      <c r="D2167" t="s">
        <v>55</v>
      </c>
      <c r="E2167" t="s">
        <v>41</v>
      </c>
      <c r="F2167" t="s">
        <v>42</v>
      </c>
      <c r="G2167" t="s">
        <v>37</v>
      </c>
      <c r="H2167" t="s">
        <v>44</v>
      </c>
      <c r="I2167" t="s">
        <v>135</v>
      </c>
      <c r="J2167">
        <v>42</v>
      </c>
      <c r="K2167">
        <v>16265.35</v>
      </c>
      <c r="L2167">
        <v>683144.7</v>
      </c>
      <c r="M2167">
        <v>0</v>
      </c>
      <c r="N2167">
        <v>74516.490000000005</v>
      </c>
      <c r="O2167">
        <v>608628.21</v>
      </c>
      <c r="P2167" t="s">
        <v>32</v>
      </c>
      <c r="Q2167" t="s">
        <v>32</v>
      </c>
    </row>
    <row r="2168" spans="1:17" x14ac:dyDescent="0.25">
      <c r="A2168" t="s">
        <v>2285</v>
      </c>
      <c r="B2168" s="1">
        <v>45962</v>
      </c>
      <c r="C2168" t="s">
        <v>60</v>
      </c>
      <c r="D2168" t="s">
        <v>151</v>
      </c>
      <c r="E2168" t="s">
        <v>35</v>
      </c>
      <c r="F2168" t="s">
        <v>21</v>
      </c>
      <c r="G2168" t="s">
        <v>89</v>
      </c>
      <c r="H2168" t="s">
        <v>94</v>
      </c>
      <c r="I2168" t="s">
        <v>177</v>
      </c>
      <c r="J2168">
        <v>24</v>
      </c>
      <c r="K2168">
        <v>48270.67</v>
      </c>
      <c r="L2168">
        <v>1158496.08</v>
      </c>
      <c r="M2168">
        <v>0</v>
      </c>
      <c r="N2168">
        <v>0</v>
      </c>
      <c r="O2168">
        <v>1158496.08</v>
      </c>
      <c r="P2168" t="s">
        <v>32</v>
      </c>
      <c r="Q2168" t="s">
        <v>32</v>
      </c>
    </row>
    <row r="2169" spans="1:17" x14ac:dyDescent="0.25">
      <c r="A2169" t="s">
        <v>2286</v>
      </c>
      <c r="B2169" s="1">
        <v>45970</v>
      </c>
      <c r="C2169" t="s">
        <v>47</v>
      </c>
      <c r="D2169" t="s">
        <v>114</v>
      </c>
      <c r="E2169" t="s">
        <v>20</v>
      </c>
      <c r="F2169" t="s">
        <v>112</v>
      </c>
      <c r="G2169" t="s">
        <v>98</v>
      </c>
      <c r="H2169" t="s">
        <v>44</v>
      </c>
      <c r="I2169" t="s">
        <v>135</v>
      </c>
      <c r="J2169">
        <v>45</v>
      </c>
      <c r="K2169">
        <v>15938.95</v>
      </c>
      <c r="L2169">
        <v>717252.75</v>
      </c>
      <c r="M2169">
        <v>56718.79</v>
      </c>
      <c r="N2169">
        <v>0</v>
      </c>
      <c r="O2169">
        <v>660533.96</v>
      </c>
      <c r="P2169" t="s">
        <v>25</v>
      </c>
      <c r="Q2169" t="s">
        <v>26</v>
      </c>
    </row>
    <row r="2170" spans="1:17" x14ac:dyDescent="0.25">
      <c r="A2170" t="s">
        <v>2287</v>
      </c>
      <c r="B2170" s="1">
        <v>45956</v>
      </c>
      <c r="C2170" t="s">
        <v>47</v>
      </c>
      <c r="D2170" t="s">
        <v>88</v>
      </c>
      <c r="E2170" t="s">
        <v>41</v>
      </c>
      <c r="F2170" t="s">
        <v>42</v>
      </c>
      <c r="G2170" t="s">
        <v>138</v>
      </c>
      <c r="H2170" t="s">
        <v>67</v>
      </c>
      <c r="I2170" t="s">
        <v>170</v>
      </c>
      <c r="J2170">
        <v>13</v>
      </c>
      <c r="K2170">
        <v>4547.45</v>
      </c>
      <c r="L2170">
        <v>59116.85</v>
      </c>
      <c r="M2170">
        <v>10360.549999999999</v>
      </c>
      <c r="N2170">
        <v>0</v>
      </c>
      <c r="O2170">
        <v>48756.3</v>
      </c>
      <c r="P2170" t="s">
        <v>25</v>
      </c>
      <c r="Q2170" t="s">
        <v>26</v>
      </c>
    </row>
    <row r="2171" spans="1:17" x14ac:dyDescent="0.25">
      <c r="A2171" t="s">
        <v>2288</v>
      </c>
      <c r="B2171" s="1">
        <v>45980</v>
      </c>
      <c r="C2171" t="s">
        <v>18</v>
      </c>
      <c r="D2171" t="s">
        <v>34</v>
      </c>
      <c r="E2171" t="s">
        <v>20</v>
      </c>
      <c r="F2171" t="s">
        <v>84</v>
      </c>
      <c r="G2171" t="s">
        <v>81</v>
      </c>
      <c r="H2171" t="s">
        <v>44</v>
      </c>
      <c r="I2171" t="s">
        <v>135</v>
      </c>
      <c r="J2171">
        <v>27</v>
      </c>
      <c r="K2171">
        <v>11865.84</v>
      </c>
      <c r="L2171">
        <v>320377.68</v>
      </c>
      <c r="M2171">
        <v>60107.64</v>
      </c>
      <c r="N2171">
        <v>0</v>
      </c>
      <c r="O2171">
        <v>260270.04</v>
      </c>
      <c r="P2171" t="s">
        <v>25</v>
      </c>
      <c r="Q2171" t="s">
        <v>26</v>
      </c>
    </row>
    <row r="2172" spans="1:17" x14ac:dyDescent="0.25">
      <c r="A2172" t="s">
        <v>2289</v>
      </c>
      <c r="B2172" s="1">
        <v>45968</v>
      </c>
      <c r="C2172" t="s">
        <v>47</v>
      </c>
      <c r="D2172" t="s">
        <v>114</v>
      </c>
      <c r="E2172" t="s">
        <v>35</v>
      </c>
      <c r="F2172" t="s">
        <v>50</v>
      </c>
      <c r="G2172" t="s">
        <v>51</v>
      </c>
      <c r="H2172" t="s">
        <v>67</v>
      </c>
      <c r="I2172" t="s">
        <v>201</v>
      </c>
      <c r="J2172">
        <v>26</v>
      </c>
      <c r="K2172">
        <v>14773.3</v>
      </c>
      <c r="L2172">
        <v>384105.8</v>
      </c>
      <c r="M2172">
        <v>0</v>
      </c>
      <c r="N2172">
        <v>78700.78</v>
      </c>
      <c r="O2172">
        <v>305405.02</v>
      </c>
      <c r="P2172" t="s">
        <v>31</v>
      </c>
      <c r="Q2172" t="s">
        <v>32</v>
      </c>
    </row>
    <row r="2173" spans="1:17" x14ac:dyDescent="0.25">
      <c r="A2173" t="s">
        <v>2290</v>
      </c>
      <c r="B2173" s="1">
        <v>45999</v>
      </c>
      <c r="C2173" t="s">
        <v>18</v>
      </c>
      <c r="D2173" t="s">
        <v>19</v>
      </c>
      <c r="E2173" t="s">
        <v>35</v>
      </c>
      <c r="F2173" t="s">
        <v>50</v>
      </c>
      <c r="G2173" t="s">
        <v>89</v>
      </c>
      <c r="H2173" t="s">
        <v>23</v>
      </c>
      <c r="I2173" t="s">
        <v>131</v>
      </c>
      <c r="J2173">
        <v>48</v>
      </c>
      <c r="K2173">
        <v>18064.93</v>
      </c>
      <c r="L2173">
        <v>867116.64</v>
      </c>
      <c r="M2173">
        <v>0</v>
      </c>
      <c r="N2173">
        <v>0</v>
      </c>
      <c r="O2173">
        <v>867116.64</v>
      </c>
      <c r="P2173" t="s">
        <v>25</v>
      </c>
      <c r="Q2173" t="s">
        <v>32</v>
      </c>
    </row>
    <row r="2174" spans="1:17" x14ac:dyDescent="0.25">
      <c r="A2174" t="s">
        <v>2291</v>
      </c>
      <c r="B2174" s="1">
        <v>45954</v>
      </c>
      <c r="C2174" t="s">
        <v>60</v>
      </c>
      <c r="D2174" t="s">
        <v>151</v>
      </c>
      <c r="E2174" t="s">
        <v>20</v>
      </c>
      <c r="F2174" t="s">
        <v>21</v>
      </c>
      <c r="G2174" t="s">
        <v>85</v>
      </c>
      <c r="H2174" t="s">
        <v>57</v>
      </c>
      <c r="I2174" t="s">
        <v>92</v>
      </c>
      <c r="J2174">
        <v>29</v>
      </c>
      <c r="K2174">
        <v>8374.9</v>
      </c>
      <c r="L2174">
        <v>242872.1</v>
      </c>
      <c r="M2174">
        <v>47486.49</v>
      </c>
      <c r="N2174">
        <v>0</v>
      </c>
      <c r="O2174">
        <v>195385.61</v>
      </c>
      <c r="P2174" t="s">
        <v>73</v>
      </c>
      <c r="Q2174" t="s">
        <v>32</v>
      </c>
    </row>
    <row r="2175" spans="1:17" x14ac:dyDescent="0.25">
      <c r="A2175" t="s">
        <v>2292</v>
      </c>
      <c r="B2175" s="1">
        <v>45966</v>
      </c>
      <c r="C2175" t="s">
        <v>54</v>
      </c>
      <c r="D2175" t="s">
        <v>55</v>
      </c>
      <c r="E2175" t="s">
        <v>35</v>
      </c>
      <c r="F2175" t="s">
        <v>50</v>
      </c>
      <c r="G2175" t="s">
        <v>85</v>
      </c>
      <c r="H2175" t="s">
        <v>94</v>
      </c>
      <c r="I2175" t="s">
        <v>144</v>
      </c>
      <c r="J2175">
        <v>10</v>
      </c>
      <c r="K2175">
        <v>28370.19</v>
      </c>
      <c r="L2175">
        <v>283701.90000000002</v>
      </c>
      <c r="M2175">
        <v>7059.44</v>
      </c>
      <c r="N2175">
        <v>0</v>
      </c>
      <c r="O2175">
        <v>276642.46000000002</v>
      </c>
      <c r="P2175" t="s">
        <v>31</v>
      </c>
      <c r="Q2175" t="s">
        <v>32</v>
      </c>
    </row>
    <row r="2176" spans="1:17" x14ac:dyDescent="0.25">
      <c r="A2176" t="s">
        <v>2293</v>
      </c>
      <c r="B2176" s="1">
        <v>45976</v>
      </c>
      <c r="C2176" t="s">
        <v>79</v>
      </c>
      <c r="D2176" t="s">
        <v>80</v>
      </c>
      <c r="E2176" t="s">
        <v>49</v>
      </c>
      <c r="F2176" t="s">
        <v>36</v>
      </c>
      <c r="G2176" t="s">
        <v>43</v>
      </c>
      <c r="H2176" t="s">
        <v>57</v>
      </c>
      <c r="I2176" t="s">
        <v>148</v>
      </c>
      <c r="J2176">
        <v>20</v>
      </c>
      <c r="K2176">
        <v>49838.05</v>
      </c>
      <c r="L2176">
        <v>996761</v>
      </c>
      <c r="M2176">
        <v>0</v>
      </c>
      <c r="N2176">
        <v>0</v>
      </c>
      <c r="O2176">
        <v>996761</v>
      </c>
      <c r="P2176" t="s">
        <v>31</v>
      </c>
      <c r="Q2176" t="s">
        <v>32</v>
      </c>
    </row>
    <row r="2177" spans="1:17" x14ac:dyDescent="0.25">
      <c r="A2177" t="s">
        <v>2294</v>
      </c>
      <c r="B2177" s="1">
        <v>45969</v>
      </c>
      <c r="C2177" t="s">
        <v>60</v>
      </c>
      <c r="D2177" t="s">
        <v>123</v>
      </c>
      <c r="E2177" t="s">
        <v>49</v>
      </c>
      <c r="F2177" t="s">
        <v>137</v>
      </c>
      <c r="G2177" t="s">
        <v>29</v>
      </c>
      <c r="H2177" t="s">
        <v>67</v>
      </c>
      <c r="I2177" t="s">
        <v>103</v>
      </c>
      <c r="J2177">
        <v>43</v>
      </c>
      <c r="K2177">
        <v>7715.19</v>
      </c>
      <c r="L2177">
        <v>331753.17</v>
      </c>
      <c r="M2177">
        <v>0</v>
      </c>
      <c r="N2177">
        <v>66672.66</v>
      </c>
      <c r="O2177">
        <v>265080.51</v>
      </c>
      <c r="P2177" t="s">
        <v>73</v>
      </c>
      <c r="Q2177" t="s">
        <v>32</v>
      </c>
    </row>
    <row r="2178" spans="1:17" x14ac:dyDescent="0.25">
      <c r="A2178" t="s">
        <v>2295</v>
      </c>
      <c r="B2178" s="1">
        <v>46022</v>
      </c>
      <c r="C2178" t="s">
        <v>79</v>
      </c>
      <c r="D2178" t="s">
        <v>91</v>
      </c>
      <c r="E2178" t="s">
        <v>35</v>
      </c>
      <c r="F2178" t="s">
        <v>42</v>
      </c>
      <c r="G2178" t="s">
        <v>51</v>
      </c>
      <c r="H2178" t="s">
        <v>57</v>
      </c>
      <c r="I2178" t="s">
        <v>92</v>
      </c>
      <c r="J2178">
        <v>44</v>
      </c>
      <c r="K2178">
        <v>26039.39</v>
      </c>
      <c r="L2178">
        <v>1145733.1599999999</v>
      </c>
      <c r="M2178">
        <v>40865</v>
      </c>
      <c r="N2178">
        <v>26638.05</v>
      </c>
      <c r="O2178">
        <v>1078230.1100000001</v>
      </c>
      <c r="P2178" t="s">
        <v>32</v>
      </c>
      <c r="Q2178" t="s">
        <v>32</v>
      </c>
    </row>
    <row r="2179" spans="1:17" x14ac:dyDescent="0.25">
      <c r="A2179" t="s">
        <v>2296</v>
      </c>
      <c r="B2179" s="1">
        <v>46001</v>
      </c>
      <c r="C2179" t="s">
        <v>60</v>
      </c>
      <c r="D2179" t="s">
        <v>65</v>
      </c>
      <c r="E2179" t="s">
        <v>20</v>
      </c>
      <c r="F2179" t="s">
        <v>112</v>
      </c>
      <c r="G2179" t="s">
        <v>56</v>
      </c>
      <c r="H2179" t="s">
        <v>94</v>
      </c>
      <c r="I2179" t="s">
        <v>193</v>
      </c>
      <c r="J2179">
        <v>38</v>
      </c>
      <c r="K2179">
        <v>36295.589999999997</v>
      </c>
      <c r="L2179">
        <v>1379232.42</v>
      </c>
      <c r="M2179">
        <v>0</v>
      </c>
      <c r="N2179">
        <v>0</v>
      </c>
      <c r="O2179">
        <v>1379232.42</v>
      </c>
      <c r="P2179" t="s">
        <v>32</v>
      </c>
      <c r="Q2179" t="s">
        <v>32</v>
      </c>
    </row>
    <row r="2180" spans="1:17" x14ac:dyDescent="0.25">
      <c r="A2180" t="s">
        <v>2297</v>
      </c>
      <c r="B2180" s="1">
        <v>45970</v>
      </c>
      <c r="C2180" t="s">
        <v>79</v>
      </c>
      <c r="D2180" t="s">
        <v>91</v>
      </c>
      <c r="E2180" t="s">
        <v>20</v>
      </c>
      <c r="F2180" t="s">
        <v>84</v>
      </c>
      <c r="G2180" t="s">
        <v>56</v>
      </c>
      <c r="H2180" t="s">
        <v>23</v>
      </c>
      <c r="I2180" t="s">
        <v>52</v>
      </c>
      <c r="J2180">
        <v>17</v>
      </c>
      <c r="K2180">
        <v>7909.62</v>
      </c>
      <c r="L2180">
        <v>134463.54</v>
      </c>
      <c r="M2180">
        <v>8533.3700000000008</v>
      </c>
      <c r="N2180">
        <v>19343.12</v>
      </c>
      <c r="O2180">
        <v>106587.05</v>
      </c>
      <c r="P2180" t="s">
        <v>32</v>
      </c>
      <c r="Q2180" t="s">
        <v>32</v>
      </c>
    </row>
    <row r="2181" spans="1:17" x14ac:dyDescent="0.25">
      <c r="A2181" t="s">
        <v>2298</v>
      </c>
      <c r="B2181" s="1">
        <v>45956</v>
      </c>
      <c r="C2181" t="s">
        <v>18</v>
      </c>
      <c r="D2181" t="s">
        <v>19</v>
      </c>
      <c r="E2181" t="s">
        <v>41</v>
      </c>
      <c r="F2181" t="s">
        <v>105</v>
      </c>
      <c r="G2181" t="s">
        <v>102</v>
      </c>
      <c r="H2181" t="s">
        <v>44</v>
      </c>
      <c r="I2181" t="s">
        <v>124</v>
      </c>
      <c r="J2181">
        <v>29</v>
      </c>
      <c r="K2181">
        <v>3652.64</v>
      </c>
      <c r="L2181">
        <v>105926.56</v>
      </c>
      <c r="M2181">
        <v>11266.32</v>
      </c>
      <c r="N2181">
        <v>0</v>
      </c>
      <c r="O2181">
        <v>94660.24</v>
      </c>
      <c r="P2181" t="s">
        <v>32</v>
      </c>
      <c r="Q2181" t="s">
        <v>32</v>
      </c>
    </row>
    <row r="2182" spans="1:17" x14ac:dyDescent="0.25">
      <c r="A2182" t="s">
        <v>2299</v>
      </c>
      <c r="B2182" s="1">
        <v>45957</v>
      </c>
      <c r="C2182" t="s">
        <v>18</v>
      </c>
      <c r="D2182" t="s">
        <v>19</v>
      </c>
      <c r="E2182" t="s">
        <v>20</v>
      </c>
      <c r="F2182" t="s">
        <v>112</v>
      </c>
      <c r="G2182" t="s">
        <v>98</v>
      </c>
      <c r="H2182" t="s">
        <v>44</v>
      </c>
      <c r="I2182" t="s">
        <v>141</v>
      </c>
      <c r="J2182">
        <v>7</v>
      </c>
      <c r="K2182">
        <v>19203.740000000002</v>
      </c>
      <c r="L2182">
        <v>134426.18</v>
      </c>
      <c r="M2182">
        <v>0</v>
      </c>
      <c r="N2182">
        <v>0</v>
      </c>
      <c r="O2182">
        <v>134426.18</v>
      </c>
      <c r="P2182" t="s">
        <v>32</v>
      </c>
      <c r="Q2182" t="s">
        <v>26</v>
      </c>
    </row>
    <row r="2183" spans="1:17" x14ac:dyDescent="0.25">
      <c r="A2183" t="s">
        <v>2300</v>
      </c>
      <c r="B2183" s="1">
        <v>46035</v>
      </c>
      <c r="C2183" t="s">
        <v>60</v>
      </c>
      <c r="D2183" t="s">
        <v>123</v>
      </c>
      <c r="E2183" t="s">
        <v>35</v>
      </c>
      <c r="F2183" t="s">
        <v>84</v>
      </c>
      <c r="G2183" t="s">
        <v>63</v>
      </c>
      <c r="H2183" t="s">
        <v>23</v>
      </c>
      <c r="I2183" t="s">
        <v>52</v>
      </c>
      <c r="J2183">
        <v>15</v>
      </c>
      <c r="K2183">
        <v>48408.79</v>
      </c>
      <c r="L2183">
        <v>726131.85</v>
      </c>
      <c r="M2183">
        <v>0</v>
      </c>
      <c r="N2183">
        <v>0</v>
      </c>
      <c r="O2183">
        <v>726131.85</v>
      </c>
      <c r="P2183" t="s">
        <v>25</v>
      </c>
      <c r="Q2183" t="s">
        <v>26</v>
      </c>
    </row>
    <row r="2184" spans="1:17" x14ac:dyDescent="0.25">
      <c r="A2184" t="s">
        <v>2301</v>
      </c>
      <c r="B2184" s="1">
        <v>46025</v>
      </c>
      <c r="C2184" t="s">
        <v>79</v>
      </c>
      <c r="D2184" t="s">
        <v>91</v>
      </c>
      <c r="E2184" t="s">
        <v>35</v>
      </c>
      <c r="F2184" t="s">
        <v>42</v>
      </c>
      <c r="G2184" t="s">
        <v>56</v>
      </c>
      <c r="H2184" t="s">
        <v>57</v>
      </c>
      <c r="I2184" t="s">
        <v>58</v>
      </c>
      <c r="J2184">
        <v>40</v>
      </c>
      <c r="K2184">
        <v>2438.2199999999998</v>
      </c>
      <c r="L2184">
        <v>97528.8</v>
      </c>
      <c r="M2184">
        <v>9889.33</v>
      </c>
      <c r="N2184">
        <v>0</v>
      </c>
      <c r="O2184">
        <v>87639.47</v>
      </c>
      <c r="P2184" t="s">
        <v>31</v>
      </c>
      <c r="Q2184" t="s">
        <v>32</v>
      </c>
    </row>
    <row r="2185" spans="1:17" x14ac:dyDescent="0.25">
      <c r="A2185" t="s">
        <v>2302</v>
      </c>
      <c r="B2185" s="1">
        <v>46004</v>
      </c>
      <c r="C2185" t="s">
        <v>18</v>
      </c>
      <c r="D2185" t="s">
        <v>75</v>
      </c>
      <c r="E2185" t="s">
        <v>41</v>
      </c>
      <c r="F2185" t="s">
        <v>36</v>
      </c>
      <c r="G2185" t="s">
        <v>89</v>
      </c>
      <c r="H2185" t="s">
        <v>44</v>
      </c>
      <c r="I2185" t="s">
        <v>135</v>
      </c>
      <c r="J2185">
        <v>19</v>
      </c>
      <c r="K2185">
        <v>811.27</v>
      </c>
      <c r="L2185">
        <v>15414.13</v>
      </c>
      <c r="M2185">
        <v>2402.12</v>
      </c>
      <c r="N2185">
        <v>0</v>
      </c>
      <c r="O2185">
        <v>13012.01</v>
      </c>
      <c r="P2185" t="s">
        <v>31</v>
      </c>
      <c r="Q2185" t="s">
        <v>32</v>
      </c>
    </row>
    <row r="2186" spans="1:17" x14ac:dyDescent="0.25">
      <c r="A2186" t="s">
        <v>2303</v>
      </c>
      <c r="B2186" s="1">
        <v>45998</v>
      </c>
      <c r="C2186" t="s">
        <v>79</v>
      </c>
      <c r="D2186" t="s">
        <v>80</v>
      </c>
      <c r="E2186" t="s">
        <v>35</v>
      </c>
      <c r="F2186" t="s">
        <v>71</v>
      </c>
      <c r="G2186" t="s">
        <v>29</v>
      </c>
      <c r="H2186" t="s">
        <v>23</v>
      </c>
      <c r="I2186" t="s">
        <v>110</v>
      </c>
      <c r="J2186">
        <v>2</v>
      </c>
      <c r="K2186">
        <v>30559.58</v>
      </c>
      <c r="L2186">
        <v>61119.16</v>
      </c>
      <c r="M2186">
        <v>8997.8700000000008</v>
      </c>
      <c r="N2186">
        <v>0</v>
      </c>
      <c r="O2186">
        <v>52121.29</v>
      </c>
      <c r="P2186" t="s">
        <v>25</v>
      </c>
      <c r="Q2186" t="s">
        <v>26</v>
      </c>
    </row>
    <row r="2187" spans="1:17" x14ac:dyDescent="0.25">
      <c r="A2187" t="s">
        <v>2304</v>
      </c>
      <c r="B2187" s="1">
        <v>45981</v>
      </c>
      <c r="C2187" t="s">
        <v>79</v>
      </c>
      <c r="D2187" t="s">
        <v>107</v>
      </c>
      <c r="E2187" t="s">
        <v>41</v>
      </c>
      <c r="F2187" t="s">
        <v>50</v>
      </c>
      <c r="G2187" t="s">
        <v>98</v>
      </c>
      <c r="H2187" t="s">
        <v>38</v>
      </c>
      <c r="I2187" t="s">
        <v>82</v>
      </c>
      <c r="J2187">
        <v>11</v>
      </c>
      <c r="K2187">
        <v>45001.67</v>
      </c>
      <c r="L2187">
        <v>495018.37</v>
      </c>
      <c r="M2187">
        <v>0</v>
      </c>
      <c r="N2187">
        <v>0</v>
      </c>
      <c r="O2187">
        <v>495018.37</v>
      </c>
      <c r="P2187" t="s">
        <v>25</v>
      </c>
      <c r="Q2187" t="s">
        <v>26</v>
      </c>
    </row>
    <row r="2188" spans="1:17" x14ac:dyDescent="0.25">
      <c r="A2188" t="s">
        <v>2305</v>
      </c>
      <c r="B2188" s="1">
        <v>45957</v>
      </c>
      <c r="C2188" t="s">
        <v>79</v>
      </c>
      <c r="D2188" t="s">
        <v>80</v>
      </c>
      <c r="E2188" t="s">
        <v>20</v>
      </c>
      <c r="F2188" t="s">
        <v>84</v>
      </c>
      <c r="G2188" t="s">
        <v>102</v>
      </c>
      <c r="H2188" t="s">
        <v>23</v>
      </c>
      <c r="I2188" t="s">
        <v>99</v>
      </c>
      <c r="J2188">
        <v>39</v>
      </c>
      <c r="K2188">
        <v>14170.25</v>
      </c>
      <c r="L2188">
        <v>552639.75</v>
      </c>
      <c r="M2188">
        <v>51368.05</v>
      </c>
      <c r="N2188">
        <v>16890.25</v>
      </c>
      <c r="O2188">
        <v>484381.45</v>
      </c>
      <c r="P2188" t="s">
        <v>25</v>
      </c>
      <c r="Q2188" t="s">
        <v>26</v>
      </c>
    </row>
    <row r="2189" spans="1:17" x14ac:dyDescent="0.25">
      <c r="A2189" t="s">
        <v>2306</v>
      </c>
      <c r="B2189" s="1">
        <v>46031</v>
      </c>
      <c r="C2189" t="s">
        <v>18</v>
      </c>
      <c r="D2189" t="s">
        <v>28</v>
      </c>
      <c r="E2189" t="s">
        <v>41</v>
      </c>
      <c r="F2189" t="s">
        <v>84</v>
      </c>
      <c r="G2189" t="s">
        <v>37</v>
      </c>
      <c r="H2189" t="s">
        <v>57</v>
      </c>
      <c r="I2189" t="s">
        <v>160</v>
      </c>
      <c r="J2189">
        <v>29</v>
      </c>
      <c r="K2189">
        <v>39287.839999999997</v>
      </c>
      <c r="L2189">
        <v>1139347.3600000001</v>
      </c>
      <c r="M2189">
        <v>0</v>
      </c>
      <c r="N2189">
        <v>92068.78</v>
      </c>
      <c r="O2189">
        <v>1047278.58</v>
      </c>
      <c r="P2189" t="s">
        <v>32</v>
      </c>
      <c r="Q2189" t="s">
        <v>32</v>
      </c>
    </row>
    <row r="2190" spans="1:17" x14ac:dyDescent="0.25">
      <c r="A2190" t="s">
        <v>2307</v>
      </c>
      <c r="B2190" s="1">
        <v>45997</v>
      </c>
      <c r="C2190" t="s">
        <v>18</v>
      </c>
      <c r="D2190" t="s">
        <v>28</v>
      </c>
      <c r="E2190" t="s">
        <v>41</v>
      </c>
      <c r="F2190" t="s">
        <v>84</v>
      </c>
      <c r="G2190" t="s">
        <v>102</v>
      </c>
      <c r="H2190" t="s">
        <v>67</v>
      </c>
      <c r="I2190" t="s">
        <v>201</v>
      </c>
      <c r="J2190">
        <v>16</v>
      </c>
      <c r="K2190">
        <v>27666.55</v>
      </c>
      <c r="L2190">
        <v>442664.8</v>
      </c>
      <c r="M2190">
        <v>42527.08</v>
      </c>
      <c r="N2190">
        <v>0</v>
      </c>
      <c r="O2190">
        <v>400137.72</v>
      </c>
      <c r="P2190" t="s">
        <v>31</v>
      </c>
      <c r="Q2190" t="s">
        <v>32</v>
      </c>
    </row>
    <row r="2191" spans="1:17" x14ac:dyDescent="0.25">
      <c r="A2191" t="s">
        <v>2308</v>
      </c>
      <c r="B2191" s="1">
        <v>46027</v>
      </c>
      <c r="C2191" t="s">
        <v>47</v>
      </c>
      <c r="D2191" t="s">
        <v>114</v>
      </c>
      <c r="E2191" t="s">
        <v>41</v>
      </c>
      <c r="F2191" t="s">
        <v>112</v>
      </c>
      <c r="G2191" t="s">
        <v>102</v>
      </c>
      <c r="H2191" t="s">
        <v>57</v>
      </c>
      <c r="I2191" t="s">
        <v>160</v>
      </c>
      <c r="J2191">
        <v>40</v>
      </c>
      <c r="K2191">
        <v>41264.31</v>
      </c>
      <c r="L2191">
        <v>1650572.4</v>
      </c>
      <c r="M2191">
        <v>188618.74</v>
      </c>
      <c r="N2191">
        <v>0</v>
      </c>
      <c r="O2191">
        <v>1461953.66</v>
      </c>
      <c r="P2191" t="s">
        <v>25</v>
      </c>
      <c r="Q2191" t="s">
        <v>26</v>
      </c>
    </row>
    <row r="2192" spans="1:17" x14ac:dyDescent="0.25">
      <c r="A2192" t="s">
        <v>2309</v>
      </c>
      <c r="B2192" s="1">
        <v>46038</v>
      </c>
      <c r="C2192" t="s">
        <v>47</v>
      </c>
      <c r="D2192" t="s">
        <v>88</v>
      </c>
      <c r="E2192" t="s">
        <v>49</v>
      </c>
      <c r="F2192" t="s">
        <v>50</v>
      </c>
      <c r="G2192" t="s">
        <v>56</v>
      </c>
      <c r="H2192" t="s">
        <v>67</v>
      </c>
      <c r="I2192" t="s">
        <v>201</v>
      </c>
      <c r="J2192">
        <v>16</v>
      </c>
      <c r="K2192">
        <v>17503.330000000002</v>
      </c>
      <c r="L2192">
        <v>280053.28000000003</v>
      </c>
      <c r="M2192">
        <v>25145.3</v>
      </c>
      <c r="N2192">
        <v>0</v>
      </c>
      <c r="O2192">
        <v>254907.98</v>
      </c>
      <c r="P2192" t="s">
        <v>32</v>
      </c>
      <c r="Q2192" t="s">
        <v>26</v>
      </c>
    </row>
    <row r="2193" spans="1:17" x14ac:dyDescent="0.25">
      <c r="A2193" t="s">
        <v>2310</v>
      </c>
      <c r="B2193" s="1">
        <v>45959</v>
      </c>
      <c r="C2193" t="s">
        <v>47</v>
      </c>
      <c r="D2193" t="s">
        <v>127</v>
      </c>
      <c r="E2193" t="s">
        <v>35</v>
      </c>
      <c r="F2193" t="s">
        <v>42</v>
      </c>
      <c r="G2193" t="s">
        <v>63</v>
      </c>
      <c r="H2193" t="s">
        <v>67</v>
      </c>
      <c r="I2193" t="s">
        <v>154</v>
      </c>
      <c r="J2193">
        <v>6</v>
      </c>
      <c r="K2193">
        <v>14402.83</v>
      </c>
      <c r="L2193">
        <v>86416.98</v>
      </c>
      <c r="M2193">
        <v>7760.6</v>
      </c>
      <c r="N2193">
        <v>0</v>
      </c>
      <c r="O2193">
        <v>78656.38</v>
      </c>
      <c r="P2193" t="s">
        <v>32</v>
      </c>
      <c r="Q2193" t="s">
        <v>26</v>
      </c>
    </row>
    <row r="2194" spans="1:17" x14ac:dyDescent="0.25">
      <c r="A2194" t="s">
        <v>2311</v>
      </c>
      <c r="B2194" s="1">
        <v>46028</v>
      </c>
      <c r="C2194" t="s">
        <v>54</v>
      </c>
      <c r="D2194" t="s">
        <v>55</v>
      </c>
      <c r="E2194" t="s">
        <v>20</v>
      </c>
      <c r="F2194" t="s">
        <v>84</v>
      </c>
      <c r="G2194" t="s">
        <v>63</v>
      </c>
      <c r="H2194" t="s">
        <v>57</v>
      </c>
      <c r="I2194" t="s">
        <v>160</v>
      </c>
      <c r="J2194">
        <v>47</v>
      </c>
      <c r="K2194">
        <v>9791.52</v>
      </c>
      <c r="L2194">
        <v>460201.44</v>
      </c>
      <c r="M2194">
        <v>22906.39</v>
      </c>
      <c r="N2194">
        <v>0</v>
      </c>
      <c r="O2194">
        <v>437295.05</v>
      </c>
      <c r="P2194" t="s">
        <v>25</v>
      </c>
      <c r="Q2194" t="s">
        <v>26</v>
      </c>
    </row>
    <row r="2195" spans="1:17" x14ac:dyDescent="0.25">
      <c r="A2195" t="s">
        <v>2312</v>
      </c>
      <c r="B2195" s="1">
        <v>46004</v>
      </c>
      <c r="C2195" t="s">
        <v>47</v>
      </c>
      <c r="D2195" t="s">
        <v>127</v>
      </c>
      <c r="E2195" t="s">
        <v>49</v>
      </c>
      <c r="F2195" t="s">
        <v>50</v>
      </c>
      <c r="G2195" t="s">
        <v>43</v>
      </c>
      <c r="H2195" t="s">
        <v>94</v>
      </c>
      <c r="I2195" t="s">
        <v>95</v>
      </c>
      <c r="J2195">
        <v>3</v>
      </c>
      <c r="K2195">
        <v>46186.23</v>
      </c>
      <c r="L2195">
        <v>138558.69</v>
      </c>
      <c r="M2195">
        <v>11080.05</v>
      </c>
      <c r="N2195">
        <v>0</v>
      </c>
      <c r="O2195">
        <v>127478.64</v>
      </c>
      <c r="P2195" t="s">
        <v>32</v>
      </c>
      <c r="Q2195" t="s">
        <v>32</v>
      </c>
    </row>
    <row r="2196" spans="1:17" x14ac:dyDescent="0.25">
      <c r="A2196" t="s">
        <v>2313</v>
      </c>
      <c r="B2196" s="1">
        <v>46002</v>
      </c>
      <c r="C2196" t="s">
        <v>18</v>
      </c>
      <c r="D2196" t="s">
        <v>19</v>
      </c>
      <c r="E2196" t="s">
        <v>20</v>
      </c>
      <c r="F2196" t="s">
        <v>112</v>
      </c>
      <c r="G2196" t="s">
        <v>89</v>
      </c>
      <c r="H2196" t="s">
        <v>67</v>
      </c>
      <c r="I2196" t="s">
        <v>201</v>
      </c>
      <c r="J2196">
        <v>48</v>
      </c>
      <c r="K2196">
        <v>31456.560000000001</v>
      </c>
      <c r="L2196">
        <v>1509914.88</v>
      </c>
      <c r="M2196">
        <v>0</v>
      </c>
      <c r="N2196">
        <v>0</v>
      </c>
      <c r="O2196">
        <v>1509914.88</v>
      </c>
      <c r="P2196" t="s">
        <v>73</v>
      </c>
      <c r="Q2196" t="s">
        <v>26</v>
      </c>
    </row>
    <row r="2197" spans="1:17" x14ac:dyDescent="0.25">
      <c r="A2197" t="s">
        <v>2314</v>
      </c>
      <c r="B2197" s="1">
        <v>46012</v>
      </c>
      <c r="C2197" t="s">
        <v>18</v>
      </c>
      <c r="D2197" t="s">
        <v>75</v>
      </c>
      <c r="E2197" t="s">
        <v>41</v>
      </c>
      <c r="F2197" t="s">
        <v>71</v>
      </c>
      <c r="G2197" t="s">
        <v>51</v>
      </c>
      <c r="H2197" t="s">
        <v>38</v>
      </c>
      <c r="I2197" t="s">
        <v>82</v>
      </c>
      <c r="J2197">
        <v>37</v>
      </c>
      <c r="K2197">
        <v>31317.42</v>
      </c>
      <c r="L2197">
        <v>1158744.54</v>
      </c>
      <c r="M2197">
        <v>35385.769999999997</v>
      </c>
      <c r="N2197">
        <v>0</v>
      </c>
      <c r="O2197">
        <v>1123358.77</v>
      </c>
      <c r="P2197" t="s">
        <v>32</v>
      </c>
      <c r="Q2197" t="s">
        <v>32</v>
      </c>
    </row>
    <row r="2198" spans="1:17" x14ac:dyDescent="0.25">
      <c r="A2198" t="s">
        <v>2315</v>
      </c>
      <c r="B2198" s="1">
        <v>46001</v>
      </c>
      <c r="C2198" t="s">
        <v>47</v>
      </c>
      <c r="D2198" t="s">
        <v>88</v>
      </c>
      <c r="E2198" t="s">
        <v>41</v>
      </c>
      <c r="F2198" t="s">
        <v>42</v>
      </c>
      <c r="G2198" t="s">
        <v>140</v>
      </c>
      <c r="H2198" t="s">
        <v>94</v>
      </c>
      <c r="I2198" t="s">
        <v>115</v>
      </c>
      <c r="J2198">
        <v>11</v>
      </c>
      <c r="K2198">
        <v>17831.419999999998</v>
      </c>
      <c r="L2198">
        <v>196145.62</v>
      </c>
      <c r="M2198">
        <v>0</v>
      </c>
      <c r="N2198">
        <v>0</v>
      </c>
      <c r="O2198">
        <v>196145.62</v>
      </c>
      <c r="P2198" t="s">
        <v>73</v>
      </c>
      <c r="Q2198" t="s">
        <v>26</v>
      </c>
    </row>
    <row r="2199" spans="1:17" x14ac:dyDescent="0.25">
      <c r="A2199" t="s">
        <v>2316</v>
      </c>
      <c r="B2199" s="1">
        <v>45957</v>
      </c>
      <c r="C2199" t="s">
        <v>54</v>
      </c>
      <c r="D2199" t="s">
        <v>97</v>
      </c>
      <c r="E2199" t="s">
        <v>49</v>
      </c>
      <c r="F2199" t="s">
        <v>62</v>
      </c>
      <c r="G2199" t="s">
        <v>98</v>
      </c>
      <c r="H2199" t="s">
        <v>38</v>
      </c>
      <c r="I2199" t="s">
        <v>108</v>
      </c>
      <c r="J2199">
        <v>32</v>
      </c>
      <c r="K2199">
        <v>10814.9</v>
      </c>
      <c r="L2199">
        <v>346076.8</v>
      </c>
      <c r="M2199">
        <v>30044.32</v>
      </c>
      <c r="N2199">
        <v>0</v>
      </c>
      <c r="O2199">
        <v>316032.48</v>
      </c>
      <c r="P2199" t="s">
        <v>73</v>
      </c>
      <c r="Q2199" t="s">
        <v>26</v>
      </c>
    </row>
    <row r="2200" spans="1:17" x14ac:dyDescent="0.25">
      <c r="A2200" t="s">
        <v>2317</v>
      </c>
      <c r="B2200" s="1">
        <v>46016</v>
      </c>
      <c r="C2200" t="s">
        <v>60</v>
      </c>
      <c r="D2200" t="s">
        <v>151</v>
      </c>
      <c r="E2200" t="s">
        <v>41</v>
      </c>
      <c r="F2200" t="s">
        <v>112</v>
      </c>
      <c r="G2200" t="s">
        <v>85</v>
      </c>
      <c r="H2200" t="s">
        <v>94</v>
      </c>
      <c r="I2200" t="s">
        <v>95</v>
      </c>
      <c r="J2200">
        <v>30</v>
      </c>
      <c r="K2200">
        <v>4404.18</v>
      </c>
      <c r="L2200">
        <v>132125.4</v>
      </c>
      <c r="M2200">
        <v>0</v>
      </c>
      <c r="N2200">
        <v>9810.4699999999993</v>
      </c>
      <c r="O2200">
        <v>122314.93</v>
      </c>
      <c r="P2200" t="s">
        <v>32</v>
      </c>
      <c r="Q2200" t="s">
        <v>32</v>
      </c>
    </row>
    <row r="2201" spans="1:17" x14ac:dyDescent="0.25">
      <c r="A2201" t="s">
        <v>2318</v>
      </c>
      <c r="B2201" s="1">
        <v>46021</v>
      </c>
      <c r="C2201" t="s">
        <v>18</v>
      </c>
      <c r="D2201" t="s">
        <v>34</v>
      </c>
      <c r="E2201" t="s">
        <v>49</v>
      </c>
      <c r="F2201" t="s">
        <v>42</v>
      </c>
      <c r="G2201" t="s">
        <v>140</v>
      </c>
      <c r="H2201" t="s">
        <v>57</v>
      </c>
      <c r="I2201" t="s">
        <v>92</v>
      </c>
      <c r="J2201">
        <v>33</v>
      </c>
      <c r="K2201">
        <v>15248.1</v>
      </c>
      <c r="L2201">
        <v>503187.3</v>
      </c>
      <c r="M2201">
        <v>92601.25</v>
      </c>
      <c r="N2201">
        <v>21231.52</v>
      </c>
      <c r="O2201">
        <v>389354.53</v>
      </c>
      <c r="P2201" t="s">
        <v>25</v>
      </c>
      <c r="Q2201" t="s">
        <v>26</v>
      </c>
    </row>
    <row r="2202" spans="1:17" x14ac:dyDescent="0.25">
      <c r="A2202" t="s">
        <v>2319</v>
      </c>
      <c r="B2202" s="1">
        <v>46007</v>
      </c>
      <c r="C2202" t="s">
        <v>18</v>
      </c>
      <c r="D2202" t="s">
        <v>19</v>
      </c>
      <c r="E2202" t="s">
        <v>41</v>
      </c>
      <c r="F2202" t="s">
        <v>84</v>
      </c>
      <c r="G2202" t="s">
        <v>140</v>
      </c>
      <c r="H2202" t="s">
        <v>23</v>
      </c>
      <c r="I2202" t="s">
        <v>52</v>
      </c>
      <c r="J2202">
        <v>23</v>
      </c>
      <c r="K2202">
        <v>41446.959999999999</v>
      </c>
      <c r="L2202">
        <v>953280.08</v>
      </c>
      <c r="M2202">
        <v>31788.74</v>
      </c>
      <c r="N2202">
        <v>53938.34</v>
      </c>
      <c r="O2202">
        <v>867553</v>
      </c>
      <c r="P2202" t="s">
        <v>25</v>
      </c>
      <c r="Q2202" t="s">
        <v>26</v>
      </c>
    </row>
    <row r="2203" spans="1:17" x14ac:dyDescent="0.25">
      <c r="A2203" t="s">
        <v>2320</v>
      </c>
      <c r="B2203" s="1">
        <v>46016</v>
      </c>
      <c r="C2203" t="s">
        <v>47</v>
      </c>
      <c r="D2203" t="s">
        <v>114</v>
      </c>
      <c r="E2203" t="s">
        <v>35</v>
      </c>
      <c r="F2203" t="s">
        <v>50</v>
      </c>
      <c r="G2203" t="s">
        <v>51</v>
      </c>
      <c r="H2203" t="s">
        <v>57</v>
      </c>
      <c r="I2203" t="s">
        <v>148</v>
      </c>
      <c r="J2203">
        <v>31</v>
      </c>
      <c r="K2203">
        <v>36395.32</v>
      </c>
      <c r="L2203">
        <v>1128254.92</v>
      </c>
      <c r="M2203">
        <v>0</v>
      </c>
      <c r="N2203">
        <v>0</v>
      </c>
      <c r="O2203">
        <v>1128254.92</v>
      </c>
      <c r="P2203" t="s">
        <v>25</v>
      </c>
      <c r="Q2203" t="s">
        <v>26</v>
      </c>
    </row>
    <row r="2204" spans="1:17" x14ac:dyDescent="0.25">
      <c r="A2204" t="s">
        <v>2321</v>
      </c>
      <c r="B2204" s="1">
        <v>45994</v>
      </c>
      <c r="C2204" t="s">
        <v>54</v>
      </c>
      <c r="D2204" t="s">
        <v>133</v>
      </c>
      <c r="E2204" t="s">
        <v>41</v>
      </c>
      <c r="F2204" t="s">
        <v>71</v>
      </c>
      <c r="G2204" t="s">
        <v>29</v>
      </c>
      <c r="H2204" t="s">
        <v>23</v>
      </c>
      <c r="I2204" t="s">
        <v>99</v>
      </c>
      <c r="J2204">
        <v>29</v>
      </c>
      <c r="K2204">
        <v>17036.05</v>
      </c>
      <c r="L2204">
        <v>494045.45</v>
      </c>
      <c r="M2204">
        <v>0</v>
      </c>
      <c r="N2204">
        <v>0</v>
      </c>
      <c r="O2204">
        <v>494045.45</v>
      </c>
      <c r="P2204" t="s">
        <v>73</v>
      </c>
      <c r="Q2204" t="s">
        <v>26</v>
      </c>
    </row>
    <row r="2205" spans="1:17" x14ac:dyDescent="0.25">
      <c r="A2205" t="s">
        <v>2322</v>
      </c>
      <c r="B2205" s="1">
        <v>46001</v>
      </c>
      <c r="C2205" t="s">
        <v>47</v>
      </c>
      <c r="D2205" t="s">
        <v>88</v>
      </c>
      <c r="E2205" t="s">
        <v>41</v>
      </c>
      <c r="F2205" t="s">
        <v>105</v>
      </c>
      <c r="G2205" t="s">
        <v>66</v>
      </c>
      <c r="H2205" t="s">
        <v>23</v>
      </c>
      <c r="I2205" t="s">
        <v>52</v>
      </c>
      <c r="J2205">
        <v>32</v>
      </c>
      <c r="K2205">
        <v>32058.43</v>
      </c>
      <c r="L2205">
        <v>1025869.76</v>
      </c>
      <c r="M2205">
        <v>0</v>
      </c>
      <c r="N2205">
        <v>259195.43</v>
      </c>
      <c r="O2205">
        <v>766674.33</v>
      </c>
      <c r="P2205" t="s">
        <v>73</v>
      </c>
      <c r="Q2205" t="s">
        <v>32</v>
      </c>
    </row>
    <row r="2206" spans="1:17" x14ac:dyDescent="0.25">
      <c r="A2206" t="s">
        <v>2323</v>
      </c>
      <c r="B2206" s="1">
        <v>46015</v>
      </c>
      <c r="C2206" t="s">
        <v>79</v>
      </c>
      <c r="D2206" t="s">
        <v>80</v>
      </c>
      <c r="E2206" t="s">
        <v>20</v>
      </c>
      <c r="F2206" t="s">
        <v>21</v>
      </c>
      <c r="G2206" t="s">
        <v>85</v>
      </c>
      <c r="H2206" t="s">
        <v>38</v>
      </c>
      <c r="I2206" t="s">
        <v>39</v>
      </c>
      <c r="J2206">
        <v>4</v>
      </c>
      <c r="K2206">
        <v>38564.68</v>
      </c>
      <c r="L2206">
        <v>154258.72</v>
      </c>
      <c r="M2206">
        <v>27861.52</v>
      </c>
      <c r="N2206">
        <v>0</v>
      </c>
      <c r="O2206">
        <v>126397.2</v>
      </c>
      <c r="P2206" t="s">
        <v>73</v>
      </c>
      <c r="Q2206" t="s">
        <v>26</v>
      </c>
    </row>
    <row r="2207" spans="1:17" x14ac:dyDescent="0.25">
      <c r="A2207" t="s">
        <v>2324</v>
      </c>
      <c r="B2207" s="1">
        <v>46032</v>
      </c>
      <c r="C2207" t="s">
        <v>79</v>
      </c>
      <c r="D2207" t="s">
        <v>101</v>
      </c>
      <c r="E2207" t="s">
        <v>49</v>
      </c>
      <c r="F2207" t="s">
        <v>71</v>
      </c>
      <c r="G2207" t="s">
        <v>140</v>
      </c>
      <c r="H2207" t="s">
        <v>67</v>
      </c>
      <c r="I2207" t="s">
        <v>77</v>
      </c>
      <c r="J2207">
        <v>8</v>
      </c>
      <c r="K2207">
        <v>10525.36</v>
      </c>
      <c r="L2207">
        <v>84202.880000000005</v>
      </c>
      <c r="M2207">
        <v>0</v>
      </c>
      <c r="N2207">
        <v>0</v>
      </c>
      <c r="O2207">
        <v>84202.880000000005</v>
      </c>
      <c r="P2207" t="s">
        <v>31</v>
      </c>
      <c r="Q2207" t="s">
        <v>32</v>
      </c>
    </row>
    <row r="2208" spans="1:17" x14ac:dyDescent="0.25">
      <c r="A2208" t="s">
        <v>2325</v>
      </c>
      <c r="B2208" s="1">
        <v>45957</v>
      </c>
      <c r="C2208" t="s">
        <v>18</v>
      </c>
      <c r="D2208" t="s">
        <v>34</v>
      </c>
      <c r="E2208" t="s">
        <v>20</v>
      </c>
      <c r="F2208" t="s">
        <v>42</v>
      </c>
      <c r="G2208" t="s">
        <v>51</v>
      </c>
      <c r="H2208" t="s">
        <v>44</v>
      </c>
      <c r="I2208" t="s">
        <v>124</v>
      </c>
      <c r="J2208">
        <v>31</v>
      </c>
      <c r="K2208">
        <v>6784.84</v>
      </c>
      <c r="L2208">
        <v>210330.04</v>
      </c>
      <c r="M2208">
        <v>0</v>
      </c>
      <c r="N2208">
        <v>0</v>
      </c>
      <c r="O2208">
        <v>210330.04</v>
      </c>
      <c r="P2208" t="s">
        <v>31</v>
      </c>
      <c r="Q2208" t="s">
        <v>32</v>
      </c>
    </row>
    <row r="2209" spans="1:17" x14ac:dyDescent="0.25">
      <c r="A2209" t="s">
        <v>2326</v>
      </c>
      <c r="B2209" s="1">
        <v>46032</v>
      </c>
      <c r="C2209" t="s">
        <v>60</v>
      </c>
      <c r="D2209" t="s">
        <v>65</v>
      </c>
      <c r="E2209" t="s">
        <v>35</v>
      </c>
      <c r="F2209" t="s">
        <v>84</v>
      </c>
      <c r="G2209" t="s">
        <v>63</v>
      </c>
      <c r="H2209" t="s">
        <v>44</v>
      </c>
      <c r="I2209" t="s">
        <v>45</v>
      </c>
      <c r="J2209">
        <v>11</v>
      </c>
      <c r="K2209">
        <v>9700.2999999999993</v>
      </c>
      <c r="L2209">
        <v>106703.3</v>
      </c>
      <c r="M2209">
        <v>13317.04</v>
      </c>
      <c r="N2209">
        <v>0</v>
      </c>
      <c r="O2209">
        <v>93386.26</v>
      </c>
      <c r="P2209" t="s">
        <v>32</v>
      </c>
      <c r="Q2209" t="s">
        <v>32</v>
      </c>
    </row>
    <row r="2210" spans="1:17" x14ac:dyDescent="0.25">
      <c r="A2210" t="s">
        <v>2327</v>
      </c>
      <c r="B2210" s="1">
        <v>46028</v>
      </c>
      <c r="C2210" t="s">
        <v>54</v>
      </c>
      <c r="D2210" t="s">
        <v>55</v>
      </c>
      <c r="E2210" t="s">
        <v>20</v>
      </c>
      <c r="F2210" t="s">
        <v>71</v>
      </c>
      <c r="G2210" t="s">
        <v>138</v>
      </c>
      <c r="H2210" t="s">
        <v>94</v>
      </c>
      <c r="I2210" t="s">
        <v>193</v>
      </c>
      <c r="J2210">
        <v>30</v>
      </c>
      <c r="K2210">
        <v>36053.07</v>
      </c>
      <c r="L2210">
        <v>1081592.1000000001</v>
      </c>
      <c r="M2210">
        <v>0</v>
      </c>
      <c r="N2210">
        <v>0</v>
      </c>
      <c r="O2210">
        <v>1081592.1000000001</v>
      </c>
      <c r="P2210" t="s">
        <v>73</v>
      </c>
      <c r="Q2210" t="s">
        <v>32</v>
      </c>
    </row>
    <row r="2211" spans="1:17" x14ac:dyDescent="0.25">
      <c r="A2211" t="s">
        <v>2328</v>
      </c>
      <c r="B2211" s="1">
        <v>46020</v>
      </c>
      <c r="C2211" t="s">
        <v>54</v>
      </c>
      <c r="D2211" t="s">
        <v>97</v>
      </c>
      <c r="E2211" t="s">
        <v>35</v>
      </c>
      <c r="F2211" t="s">
        <v>36</v>
      </c>
      <c r="G2211" t="s">
        <v>22</v>
      </c>
      <c r="H2211" t="s">
        <v>23</v>
      </c>
      <c r="I2211" t="s">
        <v>52</v>
      </c>
      <c r="J2211">
        <v>3</v>
      </c>
      <c r="K2211">
        <v>25731.32</v>
      </c>
      <c r="L2211">
        <v>77193.960000000006</v>
      </c>
      <c r="M2211">
        <v>0</v>
      </c>
      <c r="N2211">
        <v>0</v>
      </c>
      <c r="O2211">
        <v>77193.960000000006</v>
      </c>
      <c r="P2211" t="s">
        <v>25</v>
      </c>
      <c r="Q2211" t="s">
        <v>26</v>
      </c>
    </row>
    <row r="2212" spans="1:17" x14ac:dyDescent="0.25">
      <c r="A2212" t="s">
        <v>2329</v>
      </c>
      <c r="B2212" s="1">
        <v>45990</v>
      </c>
      <c r="C2212" t="s">
        <v>18</v>
      </c>
      <c r="D2212" t="s">
        <v>34</v>
      </c>
      <c r="E2212" t="s">
        <v>49</v>
      </c>
      <c r="F2212" t="s">
        <v>62</v>
      </c>
      <c r="G2212" t="s">
        <v>37</v>
      </c>
      <c r="H2212" t="s">
        <v>44</v>
      </c>
      <c r="I2212" t="s">
        <v>141</v>
      </c>
      <c r="J2212">
        <v>6</v>
      </c>
      <c r="K2212">
        <v>38155.599999999999</v>
      </c>
      <c r="L2212">
        <v>228933.6</v>
      </c>
      <c r="M2212">
        <v>0</v>
      </c>
      <c r="N2212">
        <v>0</v>
      </c>
      <c r="O2212">
        <v>228933.6</v>
      </c>
      <c r="P2212" t="s">
        <v>31</v>
      </c>
      <c r="Q2212" t="s">
        <v>32</v>
      </c>
    </row>
    <row r="2213" spans="1:17" x14ac:dyDescent="0.25">
      <c r="A2213" t="s">
        <v>2330</v>
      </c>
      <c r="B2213" s="1">
        <v>46034</v>
      </c>
      <c r="C2213" t="s">
        <v>47</v>
      </c>
      <c r="D2213" t="s">
        <v>114</v>
      </c>
      <c r="E2213" t="s">
        <v>20</v>
      </c>
      <c r="F2213" t="s">
        <v>137</v>
      </c>
      <c r="G2213" t="s">
        <v>29</v>
      </c>
      <c r="H2213" t="s">
        <v>38</v>
      </c>
      <c r="I2213" t="s">
        <v>120</v>
      </c>
      <c r="J2213">
        <v>42</v>
      </c>
      <c r="K2213">
        <v>42333.9</v>
      </c>
      <c r="L2213">
        <v>1778023.8</v>
      </c>
      <c r="M2213">
        <v>90884.63</v>
      </c>
      <c r="N2213">
        <v>0</v>
      </c>
      <c r="O2213">
        <v>1687139.17</v>
      </c>
      <c r="P2213" t="s">
        <v>25</v>
      </c>
      <c r="Q2213" t="s">
        <v>26</v>
      </c>
    </row>
    <row r="2214" spans="1:17" x14ac:dyDescent="0.25">
      <c r="A2214" t="s">
        <v>2331</v>
      </c>
      <c r="B2214" s="1">
        <v>46026</v>
      </c>
      <c r="C2214" t="s">
        <v>54</v>
      </c>
      <c r="D2214" t="s">
        <v>55</v>
      </c>
      <c r="E2214" t="s">
        <v>49</v>
      </c>
      <c r="F2214" t="s">
        <v>42</v>
      </c>
      <c r="G2214" t="s">
        <v>51</v>
      </c>
      <c r="H2214" t="s">
        <v>23</v>
      </c>
      <c r="I2214" t="s">
        <v>99</v>
      </c>
      <c r="J2214">
        <v>29</v>
      </c>
      <c r="K2214">
        <v>40876.160000000003</v>
      </c>
      <c r="L2214">
        <v>1185408.6399999999</v>
      </c>
      <c r="M2214">
        <v>217636.62</v>
      </c>
      <c r="N2214">
        <v>0</v>
      </c>
      <c r="O2214">
        <v>967772.02</v>
      </c>
      <c r="P2214" t="s">
        <v>31</v>
      </c>
      <c r="Q2214" t="s">
        <v>32</v>
      </c>
    </row>
    <row r="2215" spans="1:17" x14ac:dyDescent="0.25">
      <c r="A2215" t="s">
        <v>2332</v>
      </c>
      <c r="B2215" s="1">
        <v>46000</v>
      </c>
      <c r="C2215" t="s">
        <v>47</v>
      </c>
      <c r="D2215" t="s">
        <v>88</v>
      </c>
      <c r="E2215" t="s">
        <v>49</v>
      </c>
      <c r="F2215" t="s">
        <v>50</v>
      </c>
      <c r="G2215" t="s">
        <v>140</v>
      </c>
      <c r="H2215" t="s">
        <v>94</v>
      </c>
      <c r="I2215" t="s">
        <v>163</v>
      </c>
      <c r="J2215">
        <v>9</v>
      </c>
      <c r="K2215">
        <v>40031.24</v>
      </c>
      <c r="L2215">
        <v>360281.16</v>
      </c>
      <c r="M2215">
        <v>33441.07</v>
      </c>
      <c r="N2215">
        <v>17557.599999999999</v>
      </c>
      <c r="O2215">
        <v>309282.49</v>
      </c>
      <c r="P2215" t="s">
        <v>25</v>
      </c>
      <c r="Q2215" t="s">
        <v>26</v>
      </c>
    </row>
    <row r="2216" spans="1:17" x14ac:dyDescent="0.25">
      <c r="A2216" t="s">
        <v>2333</v>
      </c>
      <c r="B2216" s="1">
        <v>46037</v>
      </c>
      <c r="C2216" t="s">
        <v>79</v>
      </c>
      <c r="D2216" t="s">
        <v>107</v>
      </c>
      <c r="E2216" t="s">
        <v>49</v>
      </c>
      <c r="F2216" t="s">
        <v>105</v>
      </c>
      <c r="G2216" t="s">
        <v>66</v>
      </c>
      <c r="H2216" t="s">
        <v>94</v>
      </c>
      <c r="I2216" t="s">
        <v>193</v>
      </c>
      <c r="J2216">
        <v>30</v>
      </c>
      <c r="K2216">
        <v>23520.080000000002</v>
      </c>
      <c r="L2216">
        <v>705602.4</v>
      </c>
      <c r="M2216">
        <v>138789.19</v>
      </c>
      <c r="N2216">
        <v>0</v>
      </c>
      <c r="O2216">
        <v>566813.21</v>
      </c>
      <c r="P2216" t="s">
        <v>73</v>
      </c>
      <c r="Q2216" t="s">
        <v>32</v>
      </c>
    </row>
    <row r="2217" spans="1:17" x14ac:dyDescent="0.25">
      <c r="A2217" t="s">
        <v>2334</v>
      </c>
      <c r="B2217" s="1">
        <v>46026</v>
      </c>
      <c r="C2217" t="s">
        <v>60</v>
      </c>
      <c r="D2217" t="s">
        <v>123</v>
      </c>
      <c r="E2217" t="s">
        <v>41</v>
      </c>
      <c r="F2217" t="s">
        <v>112</v>
      </c>
      <c r="G2217" t="s">
        <v>56</v>
      </c>
      <c r="H2217" t="s">
        <v>67</v>
      </c>
      <c r="I2217" t="s">
        <v>154</v>
      </c>
      <c r="J2217">
        <v>16</v>
      </c>
      <c r="K2217">
        <v>15364.64</v>
      </c>
      <c r="L2217">
        <v>245834.23999999999</v>
      </c>
      <c r="M2217">
        <v>0</v>
      </c>
      <c r="N2217">
        <v>0</v>
      </c>
      <c r="O2217">
        <v>245834.23999999999</v>
      </c>
      <c r="P2217" t="s">
        <v>25</v>
      </c>
      <c r="Q2217" t="s">
        <v>26</v>
      </c>
    </row>
    <row r="2218" spans="1:17" x14ac:dyDescent="0.25">
      <c r="A2218" t="s">
        <v>2335</v>
      </c>
      <c r="B2218" s="1">
        <v>46040</v>
      </c>
      <c r="C2218" t="s">
        <v>60</v>
      </c>
      <c r="D2218" t="s">
        <v>61</v>
      </c>
      <c r="E2218" t="s">
        <v>49</v>
      </c>
      <c r="F2218" t="s">
        <v>36</v>
      </c>
      <c r="G2218" t="s">
        <v>102</v>
      </c>
      <c r="H2218" t="s">
        <v>23</v>
      </c>
      <c r="I2218" t="s">
        <v>131</v>
      </c>
      <c r="J2218">
        <v>25</v>
      </c>
      <c r="K2218">
        <v>41740.31</v>
      </c>
      <c r="L2218">
        <v>1043507.75</v>
      </c>
      <c r="M2218">
        <v>0</v>
      </c>
      <c r="N2218">
        <v>0</v>
      </c>
      <c r="O2218">
        <v>1043507.75</v>
      </c>
      <c r="P2218" t="s">
        <v>31</v>
      </c>
      <c r="Q2218" t="s">
        <v>32</v>
      </c>
    </row>
    <row r="2219" spans="1:17" x14ac:dyDescent="0.25">
      <c r="A2219" t="s">
        <v>2336</v>
      </c>
      <c r="B2219" s="1">
        <v>46012</v>
      </c>
      <c r="C2219" t="s">
        <v>18</v>
      </c>
      <c r="D2219" t="s">
        <v>34</v>
      </c>
      <c r="E2219" t="s">
        <v>49</v>
      </c>
      <c r="F2219" t="s">
        <v>50</v>
      </c>
      <c r="G2219" t="s">
        <v>37</v>
      </c>
      <c r="H2219" t="s">
        <v>94</v>
      </c>
      <c r="I2219" t="s">
        <v>193</v>
      </c>
      <c r="J2219">
        <v>12</v>
      </c>
      <c r="K2219">
        <v>45365.29</v>
      </c>
      <c r="L2219">
        <v>544383.48</v>
      </c>
      <c r="M2219">
        <v>70753.08</v>
      </c>
      <c r="N2219">
        <v>0</v>
      </c>
      <c r="O2219">
        <v>473630.4</v>
      </c>
      <c r="P2219" t="s">
        <v>25</v>
      </c>
      <c r="Q2219" t="s">
        <v>26</v>
      </c>
    </row>
    <row r="2220" spans="1:17" x14ac:dyDescent="0.25">
      <c r="A2220" t="s">
        <v>2337</v>
      </c>
      <c r="B2220" s="1">
        <v>45992</v>
      </c>
      <c r="C2220" t="s">
        <v>79</v>
      </c>
      <c r="D2220" t="s">
        <v>91</v>
      </c>
      <c r="E2220" t="s">
        <v>49</v>
      </c>
      <c r="F2220" t="s">
        <v>36</v>
      </c>
      <c r="G2220" t="s">
        <v>102</v>
      </c>
      <c r="H2220" t="s">
        <v>44</v>
      </c>
      <c r="I2220" t="s">
        <v>135</v>
      </c>
      <c r="J2220">
        <v>49</v>
      </c>
      <c r="K2220">
        <v>24480.02</v>
      </c>
      <c r="L2220">
        <v>1199520.98</v>
      </c>
      <c r="M2220">
        <v>111186.35</v>
      </c>
      <c r="N2220">
        <v>135899.13</v>
      </c>
      <c r="O2220">
        <v>952435.5</v>
      </c>
      <c r="P2220" t="s">
        <v>25</v>
      </c>
      <c r="Q2220" t="s">
        <v>26</v>
      </c>
    </row>
    <row r="2221" spans="1:17" x14ac:dyDescent="0.25">
      <c r="A2221" t="s">
        <v>2338</v>
      </c>
      <c r="B2221" s="1">
        <v>46012</v>
      </c>
      <c r="C2221" t="s">
        <v>54</v>
      </c>
      <c r="D2221" t="s">
        <v>97</v>
      </c>
      <c r="E2221" t="s">
        <v>20</v>
      </c>
      <c r="F2221" t="s">
        <v>21</v>
      </c>
      <c r="G2221" t="s">
        <v>85</v>
      </c>
      <c r="H2221" t="s">
        <v>67</v>
      </c>
      <c r="I2221" t="s">
        <v>154</v>
      </c>
      <c r="J2221">
        <v>3</v>
      </c>
      <c r="K2221">
        <v>46242.68</v>
      </c>
      <c r="L2221">
        <v>138728.04</v>
      </c>
      <c r="M2221">
        <v>0</v>
      </c>
      <c r="N2221">
        <v>0</v>
      </c>
      <c r="O2221">
        <v>138728.04</v>
      </c>
      <c r="P2221" t="s">
        <v>32</v>
      </c>
      <c r="Q2221" t="s">
        <v>32</v>
      </c>
    </row>
    <row r="2222" spans="1:17" x14ac:dyDescent="0.25">
      <c r="A2222" t="s">
        <v>2339</v>
      </c>
      <c r="B2222" s="1">
        <v>45980</v>
      </c>
      <c r="C2222" t="s">
        <v>54</v>
      </c>
      <c r="D2222" t="s">
        <v>70</v>
      </c>
      <c r="E2222" t="s">
        <v>20</v>
      </c>
      <c r="F2222" t="s">
        <v>50</v>
      </c>
      <c r="G2222" t="s">
        <v>37</v>
      </c>
      <c r="H2222" t="s">
        <v>44</v>
      </c>
      <c r="I2222" t="s">
        <v>45</v>
      </c>
      <c r="J2222">
        <v>50</v>
      </c>
      <c r="K2222">
        <v>24292.55</v>
      </c>
      <c r="L2222">
        <v>1214627.5</v>
      </c>
      <c r="M2222">
        <v>93909.98</v>
      </c>
      <c r="N2222">
        <v>0</v>
      </c>
      <c r="O2222">
        <v>1120717.52</v>
      </c>
      <c r="P2222" t="s">
        <v>31</v>
      </c>
      <c r="Q2222" t="s">
        <v>32</v>
      </c>
    </row>
    <row r="2223" spans="1:17" x14ac:dyDescent="0.25">
      <c r="A2223" t="s">
        <v>2340</v>
      </c>
      <c r="B2223" s="1">
        <v>46003</v>
      </c>
      <c r="C2223" t="s">
        <v>79</v>
      </c>
      <c r="D2223" t="s">
        <v>91</v>
      </c>
      <c r="E2223" t="s">
        <v>41</v>
      </c>
      <c r="F2223" t="s">
        <v>105</v>
      </c>
      <c r="G2223" t="s">
        <v>29</v>
      </c>
      <c r="H2223" t="s">
        <v>38</v>
      </c>
      <c r="I2223" t="s">
        <v>120</v>
      </c>
      <c r="J2223">
        <v>50</v>
      </c>
      <c r="K2223">
        <v>13993.57</v>
      </c>
      <c r="L2223">
        <v>699678.5</v>
      </c>
      <c r="M2223">
        <v>0</v>
      </c>
      <c r="N2223">
        <v>0</v>
      </c>
      <c r="O2223">
        <v>699678.5</v>
      </c>
      <c r="P2223" t="s">
        <v>25</v>
      </c>
      <c r="Q2223" t="s">
        <v>26</v>
      </c>
    </row>
    <row r="2224" spans="1:17" x14ac:dyDescent="0.25">
      <c r="A2224" t="s">
        <v>2341</v>
      </c>
      <c r="B2224" s="1">
        <v>45994</v>
      </c>
      <c r="C2224" t="s">
        <v>18</v>
      </c>
      <c r="D2224" t="s">
        <v>19</v>
      </c>
      <c r="E2224" t="s">
        <v>20</v>
      </c>
      <c r="F2224" t="s">
        <v>105</v>
      </c>
      <c r="G2224" t="s">
        <v>56</v>
      </c>
      <c r="H2224" t="s">
        <v>44</v>
      </c>
      <c r="I2224" t="s">
        <v>152</v>
      </c>
      <c r="J2224">
        <v>19</v>
      </c>
      <c r="K2224">
        <v>46203.77</v>
      </c>
      <c r="L2224">
        <v>877871.63</v>
      </c>
      <c r="M2224">
        <v>91496.99</v>
      </c>
      <c r="N2224">
        <v>0</v>
      </c>
      <c r="O2224">
        <v>786374.64</v>
      </c>
      <c r="P2224" t="s">
        <v>25</v>
      </c>
      <c r="Q2224" t="s">
        <v>26</v>
      </c>
    </row>
    <row r="2225" spans="1:17" x14ac:dyDescent="0.25">
      <c r="A2225" t="s">
        <v>2342</v>
      </c>
      <c r="B2225" s="1">
        <v>45981</v>
      </c>
      <c r="C2225" t="s">
        <v>60</v>
      </c>
      <c r="D2225" t="s">
        <v>123</v>
      </c>
      <c r="E2225" t="s">
        <v>41</v>
      </c>
      <c r="F2225" t="s">
        <v>105</v>
      </c>
      <c r="G2225" t="s">
        <v>66</v>
      </c>
      <c r="H2225" t="s">
        <v>38</v>
      </c>
      <c r="I2225" t="s">
        <v>120</v>
      </c>
      <c r="J2225">
        <v>14</v>
      </c>
      <c r="K2225">
        <v>44884.81</v>
      </c>
      <c r="L2225">
        <v>628387.34</v>
      </c>
      <c r="M2225">
        <v>105502.81</v>
      </c>
      <c r="N2225">
        <v>0</v>
      </c>
      <c r="O2225">
        <v>522884.53</v>
      </c>
      <c r="P2225" t="s">
        <v>73</v>
      </c>
      <c r="Q2225" t="s">
        <v>32</v>
      </c>
    </row>
    <row r="2226" spans="1:17" x14ac:dyDescent="0.25">
      <c r="A2226" t="s">
        <v>2343</v>
      </c>
      <c r="B2226" s="1">
        <v>46034</v>
      </c>
      <c r="C2226" t="s">
        <v>18</v>
      </c>
      <c r="D2226" t="s">
        <v>28</v>
      </c>
      <c r="E2226" t="s">
        <v>41</v>
      </c>
      <c r="F2226" t="s">
        <v>71</v>
      </c>
      <c r="G2226" t="s">
        <v>37</v>
      </c>
      <c r="H2226" t="s">
        <v>44</v>
      </c>
      <c r="I2226" t="s">
        <v>124</v>
      </c>
      <c r="J2226">
        <v>29</v>
      </c>
      <c r="K2226">
        <v>25978.99</v>
      </c>
      <c r="L2226">
        <v>753390.71</v>
      </c>
      <c r="M2226">
        <v>41780.46</v>
      </c>
      <c r="N2226">
        <v>0</v>
      </c>
      <c r="O2226">
        <v>711610.25</v>
      </c>
      <c r="P2226" t="s">
        <v>25</v>
      </c>
      <c r="Q2226" t="s">
        <v>26</v>
      </c>
    </row>
    <row r="2227" spans="1:17" x14ac:dyDescent="0.25">
      <c r="A2227" t="s">
        <v>2344</v>
      </c>
      <c r="B2227" s="1">
        <v>46044</v>
      </c>
      <c r="C2227" t="s">
        <v>47</v>
      </c>
      <c r="D2227" t="s">
        <v>48</v>
      </c>
      <c r="E2227" t="s">
        <v>20</v>
      </c>
      <c r="F2227" t="s">
        <v>42</v>
      </c>
      <c r="G2227" t="s">
        <v>85</v>
      </c>
      <c r="H2227" t="s">
        <v>23</v>
      </c>
      <c r="I2227" t="s">
        <v>52</v>
      </c>
      <c r="J2227">
        <v>32</v>
      </c>
      <c r="K2227">
        <v>19458.05</v>
      </c>
      <c r="L2227">
        <v>622657.6</v>
      </c>
      <c r="M2227">
        <v>38287.07</v>
      </c>
      <c r="N2227">
        <v>0</v>
      </c>
      <c r="O2227">
        <v>584370.53</v>
      </c>
      <c r="P2227" t="s">
        <v>32</v>
      </c>
      <c r="Q2227" t="s">
        <v>26</v>
      </c>
    </row>
    <row r="2228" spans="1:17" x14ac:dyDescent="0.25">
      <c r="A2228" t="s">
        <v>2345</v>
      </c>
      <c r="B2228" s="1">
        <v>46030</v>
      </c>
      <c r="C2228" t="s">
        <v>54</v>
      </c>
      <c r="D2228" t="s">
        <v>97</v>
      </c>
      <c r="E2228" t="s">
        <v>20</v>
      </c>
      <c r="F2228" t="s">
        <v>21</v>
      </c>
      <c r="G2228" t="s">
        <v>89</v>
      </c>
      <c r="H2228" t="s">
        <v>94</v>
      </c>
      <c r="I2228" t="s">
        <v>163</v>
      </c>
      <c r="J2228">
        <v>48</v>
      </c>
      <c r="K2228">
        <v>33851.550000000003</v>
      </c>
      <c r="L2228">
        <v>1624874.4</v>
      </c>
      <c r="M2228">
        <v>0</v>
      </c>
      <c r="N2228">
        <v>0</v>
      </c>
      <c r="O2228">
        <v>1624874.4</v>
      </c>
      <c r="P2228" t="s">
        <v>32</v>
      </c>
      <c r="Q2228" t="s">
        <v>26</v>
      </c>
    </row>
    <row r="2229" spans="1:17" x14ac:dyDescent="0.25">
      <c r="A2229" t="s">
        <v>2346</v>
      </c>
      <c r="B2229" s="1">
        <v>46013</v>
      </c>
      <c r="C2229" t="s">
        <v>18</v>
      </c>
      <c r="D2229" t="s">
        <v>34</v>
      </c>
      <c r="E2229" t="s">
        <v>20</v>
      </c>
      <c r="F2229" t="s">
        <v>62</v>
      </c>
      <c r="G2229" t="s">
        <v>22</v>
      </c>
      <c r="H2229" t="s">
        <v>38</v>
      </c>
      <c r="I2229" t="s">
        <v>120</v>
      </c>
      <c r="J2229">
        <v>35</v>
      </c>
      <c r="K2229">
        <v>21878.86</v>
      </c>
      <c r="L2229">
        <v>765760.1</v>
      </c>
      <c r="M2229">
        <v>71077.84</v>
      </c>
      <c r="N2229">
        <v>0</v>
      </c>
      <c r="O2229">
        <v>694682.26</v>
      </c>
      <c r="P2229" t="s">
        <v>73</v>
      </c>
      <c r="Q2229" t="s">
        <v>32</v>
      </c>
    </row>
    <row r="2230" spans="1:17" x14ac:dyDescent="0.25">
      <c r="A2230" t="s">
        <v>2347</v>
      </c>
      <c r="B2230" s="1">
        <v>45987</v>
      </c>
      <c r="C2230" t="s">
        <v>60</v>
      </c>
      <c r="D2230" t="s">
        <v>61</v>
      </c>
      <c r="E2230" t="s">
        <v>35</v>
      </c>
      <c r="F2230" t="s">
        <v>42</v>
      </c>
      <c r="G2230" t="s">
        <v>63</v>
      </c>
      <c r="H2230" t="s">
        <v>57</v>
      </c>
      <c r="I2230" t="s">
        <v>58</v>
      </c>
      <c r="J2230">
        <v>27</v>
      </c>
      <c r="K2230">
        <v>34043.53</v>
      </c>
      <c r="L2230">
        <v>919175.31</v>
      </c>
      <c r="M2230">
        <v>145484.93</v>
      </c>
      <c r="N2230">
        <v>0</v>
      </c>
      <c r="O2230">
        <v>773690.38</v>
      </c>
      <c r="P2230" t="s">
        <v>31</v>
      </c>
      <c r="Q2230" t="s">
        <v>32</v>
      </c>
    </row>
    <row r="2231" spans="1:17" x14ac:dyDescent="0.25">
      <c r="A2231" t="s">
        <v>2348</v>
      </c>
      <c r="B2231" s="1">
        <v>45974</v>
      </c>
      <c r="C2231" t="s">
        <v>47</v>
      </c>
      <c r="D2231" t="s">
        <v>114</v>
      </c>
      <c r="E2231" t="s">
        <v>49</v>
      </c>
      <c r="F2231" t="s">
        <v>84</v>
      </c>
      <c r="G2231" t="s">
        <v>85</v>
      </c>
      <c r="H2231" t="s">
        <v>23</v>
      </c>
      <c r="I2231" t="s">
        <v>110</v>
      </c>
      <c r="J2231">
        <v>21</v>
      </c>
      <c r="K2231">
        <v>30695.360000000001</v>
      </c>
      <c r="L2231">
        <v>644602.56000000006</v>
      </c>
      <c r="M2231">
        <v>57239.97</v>
      </c>
      <c r="N2231">
        <v>0</v>
      </c>
      <c r="O2231">
        <v>587362.59</v>
      </c>
      <c r="P2231" t="s">
        <v>25</v>
      </c>
      <c r="Q2231" t="s">
        <v>26</v>
      </c>
    </row>
    <row r="2232" spans="1:17" x14ac:dyDescent="0.25">
      <c r="A2232" t="s">
        <v>2349</v>
      </c>
      <c r="B2232" s="1">
        <v>46010</v>
      </c>
      <c r="C2232" t="s">
        <v>47</v>
      </c>
      <c r="D2232" t="s">
        <v>88</v>
      </c>
      <c r="E2232" t="s">
        <v>49</v>
      </c>
      <c r="F2232" t="s">
        <v>84</v>
      </c>
      <c r="G2232" t="s">
        <v>29</v>
      </c>
      <c r="H2232" t="s">
        <v>67</v>
      </c>
      <c r="I2232" t="s">
        <v>154</v>
      </c>
      <c r="J2232">
        <v>4</v>
      </c>
      <c r="K2232">
        <v>9413.3799999999992</v>
      </c>
      <c r="L2232">
        <v>37653.519999999997</v>
      </c>
      <c r="M2232">
        <v>6141.05</v>
      </c>
      <c r="N2232">
        <v>0</v>
      </c>
      <c r="O2232">
        <v>31512.47</v>
      </c>
      <c r="P2232" t="s">
        <v>32</v>
      </c>
      <c r="Q2232" t="s">
        <v>26</v>
      </c>
    </row>
    <row r="2233" spans="1:17" x14ac:dyDescent="0.25">
      <c r="A2233" t="s">
        <v>2350</v>
      </c>
      <c r="B2233" s="1">
        <v>45977</v>
      </c>
      <c r="C2233" t="s">
        <v>47</v>
      </c>
      <c r="D2233" t="s">
        <v>114</v>
      </c>
      <c r="E2233" t="s">
        <v>35</v>
      </c>
      <c r="F2233" t="s">
        <v>112</v>
      </c>
      <c r="G2233" t="s">
        <v>102</v>
      </c>
      <c r="H2233" t="s">
        <v>57</v>
      </c>
      <c r="I2233" t="s">
        <v>148</v>
      </c>
      <c r="J2233">
        <v>34</v>
      </c>
      <c r="K2233">
        <v>49787.92</v>
      </c>
      <c r="L2233">
        <v>1692789.28</v>
      </c>
      <c r="M2233">
        <v>0</v>
      </c>
      <c r="N2233">
        <v>21479.81</v>
      </c>
      <c r="O2233">
        <v>1671309.47</v>
      </c>
      <c r="P2233" t="s">
        <v>73</v>
      </c>
      <c r="Q2233" t="s">
        <v>32</v>
      </c>
    </row>
    <row r="2234" spans="1:17" x14ac:dyDescent="0.25">
      <c r="A2234" t="s">
        <v>2351</v>
      </c>
      <c r="B2234" s="1">
        <v>45974</v>
      </c>
      <c r="C2234" t="s">
        <v>47</v>
      </c>
      <c r="D2234" t="s">
        <v>114</v>
      </c>
      <c r="E2234" t="s">
        <v>20</v>
      </c>
      <c r="F2234" t="s">
        <v>71</v>
      </c>
      <c r="G2234" t="s">
        <v>81</v>
      </c>
      <c r="H2234" t="s">
        <v>38</v>
      </c>
      <c r="I2234" t="s">
        <v>86</v>
      </c>
      <c r="J2234">
        <v>20</v>
      </c>
      <c r="K2234">
        <v>47763.03</v>
      </c>
      <c r="L2234">
        <v>955260.6</v>
      </c>
      <c r="M2234">
        <v>18179.439999999999</v>
      </c>
      <c r="N2234">
        <v>0</v>
      </c>
      <c r="O2234">
        <v>937081.16</v>
      </c>
      <c r="P2234" t="s">
        <v>32</v>
      </c>
      <c r="Q2234" t="s">
        <v>32</v>
      </c>
    </row>
    <row r="2235" spans="1:17" x14ac:dyDescent="0.25">
      <c r="A2235" t="s">
        <v>2352</v>
      </c>
      <c r="B2235" s="1">
        <v>45982</v>
      </c>
      <c r="C2235" t="s">
        <v>18</v>
      </c>
      <c r="D2235" t="s">
        <v>19</v>
      </c>
      <c r="E2235" t="s">
        <v>35</v>
      </c>
      <c r="F2235" t="s">
        <v>36</v>
      </c>
      <c r="G2235" t="s">
        <v>51</v>
      </c>
      <c r="H2235" t="s">
        <v>23</v>
      </c>
      <c r="I2235" t="s">
        <v>24</v>
      </c>
      <c r="J2235">
        <v>26</v>
      </c>
      <c r="K2235">
        <v>29413.49</v>
      </c>
      <c r="L2235">
        <v>764750.74</v>
      </c>
      <c r="M2235">
        <v>53071.58</v>
      </c>
      <c r="N2235">
        <v>0</v>
      </c>
      <c r="O2235">
        <v>711679.16</v>
      </c>
      <c r="P2235" t="s">
        <v>31</v>
      </c>
      <c r="Q2235" t="s">
        <v>32</v>
      </c>
    </row>
    <row r="2236" spans="1:17" x14ac:dyDescent="0.25">
      <c r="A2236" t="s">
        <v>2353</v>
      </c>
      <c r="B2236" s="1">
        <v>46009</v>
      </c>
      <c r="C2236" t="s">
        <v>47</v>
      </c>
      <c r="D2236" t="s">
        <v>48</v>
      </c>
      <c r="E2236" t="s">
        <v>41</v>
      </c>
      <c r="F2236" t="s">
        <v>84</v>
      </c>
      <c r="G2236" t="s">
        <v>22</v>
      </c>
      <c r="H2236" t="s">
        <v>67</v>
      </c>
      <c r="I2236" t="s">
        <v>154</v>
      </c>
      <c r="J2236">
        <v>19</v>
      </c>
      <c r="K2236">
        <v>4709.95</v>
      </c>
      <c r="L2236">
        <v>89489.05</v>
      </c>
      <c r="M2236">
        <v>8042.29</v>
      </c>
      <c r="N2236">
        <v>0</v>
      </c>
      <c r="O2236">
        <v>81446.759999999995</v>
      </c>
      <c r="P2236" t="s">
        <v>31</v>
      </c>
      <c r="Q2236" t="s">
        <v>32</v>
      </c>
    </row>
    <row r="2237" spans="1:17" x14ac:dyDescent="0.25">
      <c r="A2237" t="s">
        <v>2354</v>
      </c>
      <c r="B2237" s="1">
        <v>46032</v>
      </c>
      <c r="C2237" t="s">
        <v>47</v>
      </c>
      <c r="D2237" t="s">
        <v>88</v>
      </c>
      <c r="E2237" t="s">
        <v>49</v>
      </c>
      <c r="F2237" t="s">
        <v>84</v>
      </c>
      <c r="G2237" t="s">
        <v>81</v>
      </c>
      <c r="H2237" t="s">
        <v>94</v>
      </c>
      <c r="I2237" t="s">
        <v>177</v>
      </c>
      <c r="J2237">
        <v>48</v>
      </c>
      <c r="K2237">
        <v>15833.99</v>
      </c>
      <c r="L2237">
        <v>760031.52</v>
      </c>
      <c r="M2237">
        <v>10002.42</v>
      </c>
      <c r="N2237">
        <v>0</v>
      </c>
      <c r="O2237">
        <v>750029.1</v>
      </c>
      <c r="P2237" t="s">
        <v>25</v>
      </c>
      <c r="Q2237" t="s">
        <v>26</v>
      </c>
    </row>
    <row r="2238" spans="1:17" x14ac:dyDescent="0.25">
      <c r="A2238" t="s">
        <v>2355</v>
      </c>
      <c r="B2238" s="1">
        <v>46034</v>
      </c>
      <c r="C2238" t="s">
        <v>18</v>
      </c>
      <c r="D2238" t="s">
        <v>19</v>
      </c>
      <c r="E2238" t="s">
        <v>49</v>
      </c>
      <c r="F2238" t="s">
        <v>50</v>
      </c>
      <c r="G2238" t="s">
        <v>102</v>
      </c>
      <c r="H2238" t="s">
        <v>38</v>
      </c>
      <c r="I2238" t="s">
        <v>175</v>
      </c>
      <c r="J2238">
        <v>4</v>
      </c>
      <c r="K2238">
        <v>39636.53</v>
      </c>
      <c r="L2238">
        <v>158546.12</v>
      </c>
      <c r="M2238">
        <v>18141.55</v>
      </c>
      <c r="N2238">
        <v>9430.82</v>
      </c>
      <c r="O2238">
        <v>130973.75</v>
      </c>
      <c r="P2238" t="s">
        <v>31</v>
      </c>
      <c r="Q2238" t="s">
        <v>32</v>
      </c>
    </row>
    <row r="2239" spans="1:17" x14ac:dyDescent="0.25">
      <c r="A2239" t="s">
        <v>2356</v>
      </c>
      <c r="B2239" s="1">
        <v>45974</v>
      </c>
      <c r="C2239" t="s">
        <v>79</v>
      </c>
      <c r="D2239" t="s">
        <v>107</v>
      </c>
      <c r="E2239" t="s">
        <v>41</v>
      </c>
      <c r="F2239" t="s">
        <v>42</v>
      </c>
      <c r="G2239" t="s">
        <v>37</v>
      </c>
      <c r="H2239" t="s">
        <v>94</v>
      </c>
      <c r="I2239" t="s">
        <v>95</v>
      </c>
      <c r="J2239">
        <v>32</v>
      </c>
      <c r="K2239">
        <v>24187.65</v>
      </c>
      <c r="L2239">
        <v>774004.8</v>
      </c>
      <c r="M2239">
        <v>19285.98</v>
      </c>
      <c r="N2239">
        <v>0</v>
      </c>
      <c r="O2239">
        <v>754718.82</v>
      </c>
      <c r="P2239" t="s">
        <v>25</v>
      </c>
      <c r="Q2239" t="s">
        <v>26</v>
      </c>
    </row>
    <row r="2240" spans="1:17" x14ac:dyDescent="0.25">
      <c r="A2240" t="s">
        <v>2357</v>
      </c>
      <c r="B2240" s="1">
        <v>46011</v>
      </c>
      <c r="C2240" t="s">
        <v>79</v>
      </c>
      <c r="D2240" t="s">
        <v>107</v>
      </c>
      <c r="E2240" t="s">
        <v>20</v>
      </c>
      <c r="F2240" t="s">
        <v>84</v>
      </c>
      <c r="G2240" t="s">
        <v>138</v>
      </c>
      <c r="H2240" t="s">
        <v>23</v>
      </c>
      <c r="I2240" t="s">
        <v>99</v>
      </c>
      <c r="J2240">
        <v>25</v>
      </c>
      <c r="K2240">
        <v>12527.44</v>
      </c>
      <c r="L2240">
        <v>313186</v>
      </c>
      <c r="M2240">
        <v>42278.95</v>
      </c>
      <c r="N2240">
        <v>16361.53</v>
      </c>
      <c r="O2240">
        <v>254545.52</v>
      </c>
      <c r="P2240" t="s">
        <v>73</v>
      </c>
      <c r="Q2240" t="s">
        <v>32</v>
      </c>
    </row>
    <row r="2241" spans="1:17" x14ac:dyDescent="0.25">
      <c r="A2241" t="s">
        <v>2358</v>
      </c>
      <c r="B2241" s="1">
        <v>45998</v>
      </c>
      <c r="C2241" t="s">
        <v>54</v>
      </c>
      <c r="D2241" t="s">
        <v>97</v>
      </c>
      <c r="E2241" t="s">
        <v>49</v>
      </c>
      <c r="F2241" t="s">
        <v>36</v>
      </c>
      <c r="G2241" t="s">
        <v>81</v>
      </c>
      <c r="H2241" t="s">
        <v>23</v>
      </c>
      <c r="I2241" t="s">
        <v>30</v>
      </c>
      <c r="J2241">
        <v>32</v>
      </c>
      <c r="K2241">
        <v>1533.34</v>
      </c>
      <c r="L2241">
        <v>49066.879999999997</v>
      </c>
      <c r="M2241">
        <v>0</v>
      </c>
      <c r="N2241">
        <v>0</v>
      </c>
      <c r="O2241">
        <v>49066.879999999997</v>
      </c>
      <c r="P2241" t="s">
        <v>25</v>
      </c>
      <c r="Q2241" t="s">
        <v>26</v>
      </c>
    </row>
    <row r="2242" spans="1:17" x14ac:dyDescent="0.25">
      <c r="A2242" t="s">
        <v>2359</v>
      </c>
      <c r="B2242" s="1">
        <v>46032</v>
      </c>
      <c r="C2242" t="s">
        <v>60</v>
      </c>
      <c r="D2242" t="s">
        <v>151</v>
      </c>
      <c r="E2242" t="s">
        <v>20</v>
      </c>
      <c r="F2242" t="s">
        <v>21</v>
      </c>
      <c r="G2242" t="s">
        <v>140</v>
      </c>
      <c r="H2242" t="s">
        <v>94</v>
      </c>
      <c r="I2242" t="s">
        <v>144</v>
      </c>
      <c r="J2242">
        <v>35</v>
      </c>
      <c r="K2242">
        <v>20769.310000000001</v>
      </c>
      <c r="L2242">
        <v>726925.85</v>
      </c>
      <c r="M2242">
        <v>0</v>
      </c>
      <c r="N2242">
        <v>0</v>
      </c>
      <c r="O2242">
        <v>726925.85</v>
      </c>
      <c r="P2242" t="s">
        <v>31</v>
      </c>
      <c r="Q2242" t="s">
        <v>32</v>
      </c>
    </row>
    <row r="2243" spans="1:17" x14ac:dyDescent="0.25">
      <c r="A2243" t="s">
        <v>2360</v>
      </c>
      <c r="B2243" s="1">
        <v>46042</v>
      </c>
      <c r="C2243" t="s">
        <v>60</v>
      </c>
      <c r="D2243" t="s">
        <v>151</v>
      </c>
      <c r="E2243" t="s">
        <v>41</v>
      </c>
      <c r="F2243" t="s">
        <v>62</v>
      </c>
      <c r="G2243" t="s">
        <v>102</v>
      </c>
      <c r="H2243" t="s">
        <v>44</v>
      </c>
      <c r="I2243" t="s">
        <v>135</v>
      </c>
      <c r="J2243">
        <v>1</v>
      </c>
      <c r="K2243">
        <v>1364.64</v>
      </c>
      <c r="L2243">
        <v>1364.64</v>
      </c>
      <c r="M2243">
        <v>206.93</v>
      </c>
      <c r="N2243">
        <v>0</v>
      </c>
      <c r="O2243">
        <v>1157.71</v>
      </c>
      <c r="P2243" t="s">
        <v>73</v>
      </c>
      <c r="Q2243" t="s">
        <v>32</v>
      </c>
    </row>
    <row r="2244" spans="1:17" x14ac:dyDescent="0.25">
      <c r="A2244" t="s">
        <v>2361</v>
      </c>
      <c r="B2244" s="1">
        <v>45998</v>
      </c>
      <c r="C2244" t="s">
        <v>79</v>
      </c>
      <c r="D2244" t="s">
        <v>80</v>
      </c>
      <c r="E2244" t="s">
        <v>35</v>
      </c>
      <c r="F2244" t="s">
        <v>42</v>
      </c>
      <c r="G2244" t="s">
        <v>22</v>
      </c>
      <c r="H2244" t="s">
        <v>94</v>
      </c>
      <c r="I2244" t="s">
        <v>144</v>
      </c>
      <c r="J2244">
        <v>31</v>
      </c>
      <c r="K2244">
        <v>32147.11</v>
      </c>
      <c r="L2244">
        <v>996560.41</v>
      </c>
      <c r="M2244">
        <v>48131.17</v>
      </c>
      <c r="N2244">
        <v>0</v>
      </c>
      <c r="O2244">
        <v>948429.24</v>
      </c>
      <c r="P2244" t="s">
        <v>73</v>
      </c>
      <c r="Q2244" t="s">
        <v>32</v>
      </c>
    </row>
    <row r="2245" spans="1:17" x14ac:dyDescent="0.25">
      <c r="A2245" t="s">
        <v>2362</v>
      </c>
      <c r="B2245" s="1">
        <v>46012</v>
      </c>
      <c r="C2245" t="s">
        <v>79</v>
      </c>
      <c r="D2245" t="s">
        <v>107</v>
      </c>
      <c r="E2245" t="s">
        <v>20</v>
      </c>
      <c r="F2245" t="s">
        <v>105</v>
      </c>
      <c r="G2245" t="s">
        <v>98</v>
      </c>
      <c r="H2245" t="s">
        <v>67</v>
      </c>
      <c r="I2245" t="s">
        <v>201</v>
      </c>
      <c r="J2245">
        <v>8</v>
      </c>
      <c r="K2245">
        <v>17888.71</v>
      </c>
      <c r="L2245">
        <v>143109.68</v>
      </c>
      <c r="M2245">
        <v>0</v>
      </c>
      <c r="N2245">
        <v>0</v>
      </c>
      <c r="O2245">
        <v>143109.68</v>
      </c>
      <c r="P2245" t="s">
        <v>25</v>
      </c>
      <c r="Q2245" t="s">
        <v>26</v>
      </c>
    </row>
    <row r="2246" spans="1:17" x14ac:dyDescent="0.25">
      <c r="A2246" t="s">
        <v>2363</v>
      </c>
      <c r="B2246" s="1">
        <v>45958</v>
      </c>
      <c r="C2246" t="s">
        <v>79</v>
      </c>
      <c r="D2246" t="s">
        <v>80</v>
      </c>
      <c r="E2246" t="s">
        <v>49</v>
      </c>
      <c r="F2246" t="s">
        <v>62</v>
      </c>
      <c r="G2246" t="s">
        <v>29</v>
      </c>
      <c r="H2246" t="s">
        <v>94</v>
      </c>
      <c r="I2246" t="s">
        <v>144</v>
      </c>
      <c r="J2246">
        <v>36</v>
      </c>
      <c r="K2246">
        <v>24799.200000000001</v>
      </c>
      <c r="L2246">
        <v>892771.2</v>
      </c>
      <c r="M2246">
        <v>18996.73</v>
      </c>
      <c r="N2246">
        <v>0</v>
      </c>
      <c r="O2246">
        <v>873774.47</v>
      </c>
      <c r="P2246" t="s">
        <v>31</v>
      </c>
      <c r="Q2246" t="s">
        <v>32</v>
      </c>
    </row>
    <row r="2247" spans="1:17" x14ac:dyDescent="0.25">
      <c r="A2247" t="s">
        <v>2364</v>
      </c>
      <c r="B2247" s="1">
        <v>46027</v>
      </c>
      <c r="C2247" t="s">
        <v>60</v>
      </c>
      <c r="D2247" t="s">
        <v>151</v>
      </c>
      <c r="E2247" t="s">
        <v>49</v>
      </c>
      <c r="F2247" t="s">
        <v>21</v>
      </c>
      <c r="G2247" t="s">
        <v>102</v>
      </c>
      <c r="H2247" t="s">
        <v>94</v>
      </c>
      <c r="I2247" t="s">
        <v>95</v>
      </c>
      <c r="J2247">
        <v>37</v>
      </c>
      <c r="K2247">
        <v>18690.46</v>
      </c>
      <c r="L2247">
        <v>691547.02</v>
      </c>
      <c r="M2247">
        <v>46701.32</v>
      </c>
      <c r="N2247">
        <v>0</v>
      </c>
      <c r="O2247">
        <v>644845.69999999995</v>
      </c>
      <c r="P2247" t="s">
        <v>31</v>
      </c>
      <c r="Q2247" t="s">
        <v>32</v>
      </c>
    </row>
    <row r="2248" spans="1:17" x14ac:dyDescent="0.25">
      <c r="A2248" t="s">
        <v>2365</v>
      </c>
      <c r="B2248" s="1">
        <v>45980</v>
      </c>
      <c r="C2248" t="s">
        <v>18</v>
      </c>
      <c r="D2248" t="s">
        <v>19</v>
      </c>
      <c r="E2248" t="s">
        <v>20</v>
      </c>
      <c r="F2248" t="s">
        <v>62</v>
      </c>
      <c r="G2248" t="s">
        <v>63</v>
      </c>
      <c r="H2248" t="s">
        <v>23</v>
      </c>
      <c r="I2248" t="s">
        <v>131</v>
      </c>
      <c r="J2248">
        <v>7</v>
      </c>
      <c r="K2248">
        <v>6454.03</v>
      </c>
      <c r="L2248">
        <v>45178.21</v>
      </c>
      <c r="M2248">
        <v>7044.17</v>
      </c>
      <c r="N2248">
        <v>0</v>
      </c>
      <c r="O2248">
        <v>38134.04</v>
      </c>
      <c r="P2248" t="s">
        <v>31</v>
      </c>
      <c r="Q2248" t="s">
        <v>32</v>
      </c>
    </row>
    <row r="2249" spans="1:17" x14ac:dyDescent="0.25">
      <c r="A2249" t="s">
        <v>2366</v>
      </c>
      <c r="B2249" s="1">
        <v>45987</v>
      </c>
      <c r="C2249" t="s">
        <v>79</v>
      </c>
      <c r="D2249" t="s">
        <v>80</v>
      </c>
      <c r="E2249" t="s">
        <v>35</v>
      </c>
      <c r="F2249" t="s">
        <v>71</v>
      </c>
      <c r="G2249" t="s">
        <v>81</v>
      </c>
      <c r="H2249" t="s">
        <v>23</v>
      </c>
      <c r="I2249" t="s">
        <v>30</v>
      </c>
      <c r="J2249">
        <v>41</v>
      </c>
      <c r="K2249">
        <v>20736.66</v>
      </c>
      <c r="L2249">
        <v>850203.06</v>
      </c>
      <c r="M2249">
        <v>0</v>
      </c>
      <c r="N2249">
        <v>0</v>
      </c>
      <c r="O2249">
        <v>850203.06</v>
      </c>
      <c r="P2249" t="s">
        <v>73</v>
      </c>
      <c r="Q2249" t="s">
        <v>26</v>
      </c>
    </row>
    <row r="2250" spans="1:17" x14ac:dyDescent="0.25">
      <c r="A2250" t="s">
        <v>2367</v>
      </c>
      <c r="B2250" s="1">
        <v>46024</v>
      </c>
      <c r="C2250" t="s">
        <v>54</v>
      </c>
      <c r="D2250" t="s">
        <v>133</v>
      </c>
      <c r="E2250" t="s">
        <v>41</v>
      </c>
      <c r="F2250" t="s">
        <v>21</v>
      </c>
      <c r="G2250" t="s">
        <v>140</v>
      </c>
      <c r="H2250" t="s">
        <v>67</v>
      </c>
      <c r="I2250" t="s">
        <v>103</v>
      </c>
      <c r="J2250">
        <v>42</v>
      </c>
      <c r="K2250">
        <v>7539.48</v>
      </c>
      <c r="L2250">
        <v>316658.15999999997</v>
      </c>
      <c r="M2250">
        <v>0</v>
      </c>
      <c r="N2250">
        <v>0</v>
      </c>
      <c r="O2250">
        <v>316658.15999999997</v>
      </c>
      <c r="P2250" t="s">
        <v>32</v>
      </c>
      <c r="Q2250" t="s">
        <v>32</v>
      </c>
    </row>
    <row r="2251" spans="1:17" x14ac:dyDescent="0.25">
      <c r="A2251" t="s">
        <v>2368</v>
      </c>
      <c r="B2251" s="1">
        <v>45955</v>
      </c>
      <c r="C2251" t="s">
        <v>60</v>
      </c>
      <c r="D2251" t="s">
        <v>151</v>
      </c>
      <c r="E2251" t="s">
        <v>20</v>
      </c>
      <c r="F2251" t="s">
        <v>62</v>
      </c>
      <c r="G2251" t="s">
        <v>66</v>
      </c>
      <c r="H2251" t="s">
        <v>44</v>
      </c>
      <c r="I2251" t="s">
        <v>135</v>
      </c>
      <c r="J2251">
        <v>39</v>
      </c>
      <c r="K2251">
        <v>42418.29</v>
      </c>
      <c r="L2251">
        <v>1654313.31</v>
      </c>
      <c r="M2251">
        <v>113529.5</v>
      </c>
      <c r="N2251">
        <v>0</v>
      </c>
      <c r="O2251">
        <v>1540783.81</v>
      </c>
      <c r="P2251" t="s">
        <v>73</v>
      </c>
      <c r="Q2251" t="s">
        <v>32</v>
      </c>
    </row>
    <row r="2252" spans="1:17" x14ac:dyDescent="0.25">
      <c r="A2252" t="s">
        <v>2369</v>
      </c>
      <c r="B2252" s="1">
        <v>46043</v>
      </c>
      <c r="C2252" t="s">
        <v>79</v>
      </c>
      <c r="D2252" t="s">
        <v>80</v>
      </c>
      <c r="E2252" t="s">
        <v>49</v>
      </c>
      <c r="F2252" t="s">
        <v>36</v>
      </c>
      <c r="G2252" t="s">
        <v>37</v>
      </c>
      <c r="H2252" t="s">
        <v>67</v>
      </c>
      <c r="I2252" t="s">
        <v>154</v>
      </c>
      <c r="J2252">
        <v>49</v>
      </c>
      <c r="K2252">
        <v>4872.43</v>
      </c>
      <c r="L2252">
        <v>238749.07</v>
      </c>
      <c r="M2252">
        <v>37971.72</v>
      </c>
      <c r="N2252">
        <v>0</v>
      </c>
      <c r="O2252">
        <v>200777.35</v>
      </c>
      <c r="P2252" t="s">
        <v>73</v>
      </c>
      <c r="Q2252" t="s">
        <v>26</v>
      </c>
    </row>
    <row r="2253" spans="1:17" x14ac:dyDescent="0.25">
      <c r="A2253" t="s">
        <v>2370</v>
      </c>
      <c r="B2253" s="1">
        <v>46027</v>
      </c>
      <c r="C2253" t="s">
        <v>18</v>
      </c>
      <c r="D2253" t="s">
        <v>28</v>
      </c>
      <c r="E2253" t="s">
        <v>41</v>
      </c>
      <c r="F2253" t="s">
        <v>112</v>
      </c>
      <c r="G2253" t="s">
        <v>138</v>
      </c>
      <c r="H2253" t="s">
        <v>94</v>
      </c>
      <c r="I2253" t="s">
        <v>163</v>
      </c>
      <c r="J2253">
        <v>11</v>
      </c>
      <c r="K2253">
        <v>20010.46</v>
      </c>
      <c r="L2253">
        <v>220115.06</v>
      </c>
      <c r="M2253">
        <v>41200.269999999997</v>
      </c>
      <c r="N2253">
        <v>0</v>
      </c>
      <c r="O2253">
        <v>178914.79</v>
      </c>
      <c r="P2253" t="s">
        <v>73</v>
      </c>
      <c r="Q2253" t="s">
        <v>32</v>
      </c>
    </row>
    <row r="2254" spans="1:17" x14ac:dyDescent="0.25">
      <c r="A2254" t="s">
        <v>2371</v>
      </c>
      <c r="B2254" s="1">
        <v>45962</v>
      </c>
      <c r="C2254" t="s">
        <v>18</v>
      </c>
      <c r="D2254" t="s">
        <v>19</v>
      </c>
      <c r="E2254" t="s">
        <v>20</v>
      </c>
      <c r="F2254" t="s">
        <v>62</v>
      </c>
      <c r="G2254" t="s">
        <v>37</v>
      </c>
      <c r="H2254" t="s">
        <v>94</v>
      </c>
      <c r="I2254" t="s">
        <v>144</v>
      </c>
      <c r="J2254">
        <v>32</v>
      </c>
      <c r="K2254">
        <v>39534.720000000001</v>
      </c>
      <c r="L2254">
        <v>1265111.04</v>
      </c>
      <c r="M2254">
        <v>44156.08</v>
      </c>
      <c r="N2254">
        <v>0</v>
      </c>
      <c r="O2254">
        <v>1220954.96</v>
      </c>
      <c r="P2254" t="s">
        <v>73</v>
      </c>
      <c r="Q2254" t="s">
        <v>32</v>
      </c>
    </row>
    <row r="2255" spans="1:17" x14ac:dyDescent="0.25">
      <c r="A2255" t="s">
        <v>2372</v>
      </c>
      <c r="B2255" s="1">
        <v>46007</v>
      </c>
      <c r="C2255" t="s">
        <v>18</v>
      </c>
      <c r="D2255" t="s">
        <v>34</v>
      </c>
      <c r="E2255" t="s">
        <v>20</v>
      </c>
      <c r="F2255" t="s">
        <v>112</v>
      </c>
      <c r="G2255" t="s">
        <v>63</v>
      </c>
      <c r="H2255" t="s">
        <v>67</v>
      </c>
      <c r="I2255" t="s">
        <v>68</v>
      </c>
      <c r="J2255">
        <v>31</v>
      </c>
      <c r="K2255">
        <v>46557.65</v>
      </c>
      <c r="L2255">
        <v>1443287.15</v>
      </c>
      <c r="M2255">
        <v>159967.87</v>
      </c>
      <c r="N2255">
        <v>0</v>
      </c>
      <c r="O2255">
        <v>1283319.28</v>
      </c>
      <c r="P2255" t="s">
        <v>31</v>
      </c>
      <c r="Q2255" t="s">
        <v>32</v>
      </c>
    </row>
    <row r="2256" spans="1:17" x14ac:dyDescent="0.25">
      <c r="A2256" t="s">
        <v>2373</v>
      </c>
      <c r="B2256" s="1">
        <v>45967</v>
      </c>
      <c r="C2256" t="s">
        <v>47</v>
      </c>
      <c r="D2256" t="s">
        <v>114</v>
      </c>
      <c r="E2256" t="s">
        <v>20</v>
      </c>
      <c r="F2256" t="s">
        <v>42</v>
      </c>
      <c r="G2256" t="s">
        <v>140</v>
      </c>
      <c r="H2256" t="s">
        <v>44</v>
      </c>
      <c r="I2256" t="s">
        <v>141</v>
      </c>
      <c r="J2256">
        <v>30</v>
      </c>
      <c r="K2256">
        <v>1983.34</v>
      </c>
      <c r="L2256">
        <v>59500.2</v>
      </c>
      <c r="M2256">
        <v>0</v>
      </c>
      <c r="N2256">
        <v>0</v>
      </c>
      <c r="O2256">
        <v>59500.2</v>
      </c>
      <c r="P2256" t="s">
        <v>32</v>
      </c>
      <c r="Q2256" t="s">
        <v>32</v>
      </c>
    </row>
    <row r="2257" spans="1:17" x14ac:dyDescent="0.25">
      <c r="A2257" t="s">
        <v>2374</v>
      </c>
      <c r="B2257" s="1">
        <v>45978</v>
      </c>
      <c r="C2257" t="s">
        <v>54</v>
      </c>
      <c r="D2257" t="s">
        <v>97</v>
      </c>
      <c r="E2257" t="s">
        <v>35</v>
      </c>
      <c r="F2257" t="s">
        <v>42</v>
      </c>
      <c r="G2257" t="s">
        <v>98</v>
      </c>
      <c r="H2257" t="s">
        <v>94</v>
      </c>
      <c r="I2257" t="s">
        <v>177</v>
      </c>
      <c r="J2257">
        <v>41</v>
      </c>
      <c r="K2257">
        <v>5874.42</v>
      </c>
      <c r="L2257">
        <v>240851.22</v>
      </c>
      <c r="M2257">
        <v>548.26</v>
      </c>
      <c r="N2257">
        <v>0</v>
      </c>
      <c r="O2257">
        <v>240302.96</v>
      </c>
      <c r="P2257" t="s">
        <v>73</v>
      </c>
      <c r="Q2257" t="s">
        <v>32</v>
      </c>
    </row>
    <row r="2258" spans="1:17" x14ac:dyDescent="0.25">
      <c r="A2258" t="s">
        <v>2375</v>
      </c>
      <c r="B2258" s="1">
        <v>46037</v>
      </c>
      <c r="C2258" t="s">
        <v>79</v>
      </c>
      <c r="D2258" t="s">
        <v>107</v>
      </c>
      <c r="E2258" t="s">
        <v>41</v>
      </c>
      <c r="F2258" t="s">
        <v>105</v>
      </c>
      <c r="G2258" t="s">
        <v>140</v>
      </c>
      <c r="H2258" t="s">
        <v>44</v>
      </c>
      <c r="I2258" t="s">
        <v>281</v>
      </c>
      <c r="J2258">
        <v>37</v>
      </c>
      <c r="K2258">
        <v>4571</v>
      </c>
      <c r="L2258">
        <v>169127</v>
      </c>
      <c r="M2258">
        <v>0</v>
      </c>
      <c r="N2258">
        <v>0</v>
      </c>
      <c r="O2258">
        <v>169127</v>
      </c>
      <c r="P2258" t="s">
        <v>73</v>
      </c>
      <c r="Q2258" t="s">
        <v>32</v>
      </c>
    </row>
    <row r="2259" spans="1:17" x14ac:dyDescent="0.25">
      <c r="A2259" t="s">
        <v>2376</v>
      </c>
      <c r="B2259" s="1">
        <v>46037</v>
      </c>
      <c r="C2259" t="s">
        <v>60</v>
      </c>
      <c r="D2259" t="s">
        <v>61</v>
      </c>
      <c r="E2259" t="s">
        <v>41</v>
      </c>
      <c r="F2259" t="s">
        <v>42</v>
      </c>
      <c r="G2259" t="s">
        <v>138</v>
      </c>
      <c r="H2259" t="s">
        <v>38</v>
      </c>
      <c r="I2259" t="s">
        <v>86</v>
      </c>
      <c r="J2259">
        <v>39</v>
      </c>
      <c r="K2259">
        <v>41478.99</v>
      </c>
      <c r="L2259">
        <v>1617680.61</v>
      </c>
      <c r="M2259">
        <v>0</v>
      </c>
      <c r="N2259">
        <v>0</v>
      </c>
      <c r="O2259">
        <v>1617680.61</v>
      </c>
      <c r="P2259" t="s">
        <v>73</v>
      </c>
      <c r="Q2259" t="s">
        <v>32</v>
      </c>
    </row>
    <row r="2260" spans="1:17" x14ac:dyDescent="0.25">
      <c r="A2260" t="s">
        <v>2377</v>
      </c>
      <c r="B2260" s="1">
        <v>46040</v>
      </c>
      <c r="C2260" t="s">
        <v>54</v>
      </c>
      <c r="D2260" t="s">
        <v>70</v>
      </c>
      <c r="E2260" t="s">
        <v>41</v>
      </c>
      <c r="F2260" t="s">
        <v>71</v>
      </c>
      <c r="G2260" t="s">
        <v>37</v>
      </c>
      <c r="H2260" t="s">
        <v>94</v>
      </c>
      <c r="I2260" t="s">
        <v>193</v>
      </c>
      <c r="J2260">
        <v>21</v>
      </c>
      <c r="K2260">
        <v>35937.06</v>
      </c>
      <c r="L2260">
        <v>754678.26</v>
      </c>
      <c r="M2260">
        <v>0</v>
      </c>
      <c r="N2260">
        <v>177177.29</v>
      </c>
      <c r="O2260">
        <v>577500.97</v>
      </c>
      <c r="P2260" t="s">
        <v>31</v>
      </c>
      <c r="Q2260" t="s">
        <v>32</v>
      </c>
    </row>
    <row r="2261" spans="1:17" x14ac:dyDescent="0.25">
      <c r="A2261" t="s">
        <v>2378</v>
      </c>
      <c r="B2261" s="1">
        <v>45965</v>
      </c>
      <c r="C2261" t="s">
        <v>79</v>
      </c>
      <c r="D2261" t="s">
        <v>101</v>
      </c>
      <c r="E2261" t="s">
        <v>35</v>
      </c>
      <c r="F2261" t="s">
        <v>36</v>
      </c>
      <c r="G2261" t="s">
        <v>140</v>
      </c>
      <c r="H2261" t="s">
        <v>38</v>
      </c>
      <c r="I2261" t="s">
        <v>39</v>
      </c>
      <c r="J2261">
        <v>40</v>
      </c>
      <c r="K2261">
        <v>24675.51</v>
      </c>
      <c r="L2261">
        <v>987020.4</v>
      </c>
      <c r="M2261">
        <v>0</v>
      </c>
      <c r="N2261">
        <v>0</v>
      </c>
      <c r="O2261">
        <v>987020.4</v>
      </c>
      <c r="P2261" t="s">
        <v>31</v>
      </c>
      <c r="Q2261" t="s">
        <v>32</v>
      </c>
    </row>
    <row r="2262" spans="1:17" x14ac:dyDescent="0.25">
      <c r="A2262" t="s">
        <v>2379</v>
      </c>
      <c r="B2262" s="1">
        <v>46040</v>
      </c>
      <c r="C2262" t="s">
        <v>18</v>
      </c>
      <c r="D2262" t="s">
        <v>19</v>
      </c>
      <c r="E2262" t="s">
        <v>41</v>
      </c>
      <c r="F2262" t="s">
        <v>137</v>
      </c>
      <c r="G2262" t="s">
        <v>29</v>
      </c>
      <c r="H2262" t="s">
        <v>57</v>
      </c>
      <c r="I2262" t="s">
        <v>148</v>
      </c>
      <c r="J2262">
        <v>33</v>
      </c>
      <c r="K2262">
        <v>27499.9</v>
      </c>
      <c r="L2262">
        <v>907496.7</v>
      </c>
      <c r="M2262">
        <v>180150.23</v>
      </c>
      <c r="N2262">
        <v>0</v>
      </c>
      <c r="O2262">
        <v>727346.47</v>
      </c>
      <c r="P2262" t="s">
        <v>31</v>
      </c>
      <c r="Q2262" t="s">
        <v>32</v>
      </c>
    </row>
    <row r="2263" spans="1:17" x14ac:dyDescent="0.25">
      <c r="A2263" t="s">
        <v>2380</v>
      </c>
      <c r="B2263" s="1">
        <v>46020</v>
      </c>
      <c r="C2263" t="s">
        <v>79</v>
      </c>
      <c r="D2263" t="s">
        <v>91</v>
      </c>
      <c r="E2263" t="s">
        <v>41</v>
      </c>
      <c r="F2263" t="s">
        <v>42</v>
      </c>
      <c r="G2263" t="s">
        <v>29</v>
      </c>
      <c r="H2263" t="s">
        <v>38</v>
      </c>
      <c r="I2263" t="s">
        <v>82</v>
      </c>
      <c r="J2263">
        <v>47</v>
      </c>
      <c r="K2263">
        <v>37891.050000000003</v>
      </c>
      <c r="L2263">
        <v>1780879.35</v>
      </c>
      <c r="M2263">
        <v>0</v>
      </c>
      <c r="N2263">
        <v>489270.2</v>
      </c>
      <c r="O2263">
        <v>1291609.1499999999</v>
      </c>
      <c r="P2263" t="s">
        <v>31</v>
      </c>
      <c r="Q2263" t="s">
        <v>32</v>
      </c>
    </row>
    <row r="2264" spans="1:17" x14ac:dyDescent="0.25">
      <c r="A2264" t="s">
        <v>2381</v>
      </c>
      <c r="B2264" s="1">
        <v>46010</v>
      </c>
      <c r="C2264" t="s">
        <v>18</v>
      </c>
      <c r="D2264" t="s">
        <v>19</v>
      </c>
      <c r="E2264" t="s">
        <v>41</v>
      </c>
      <c r="F2264" t="s">
        <v>21</v>
      </c>
      <c r="G2264" t="s">
        <v>29</v>
      </c>
      <c r="H2264" t="s">
        <v>38</v>
      </c>
      <c r="I2264" t="s">
        <v>120</v>
      </c>
      <c r="J2264">
        <v>26</v>
      </c>
      <c r="K2264">
        <v>41781.74</v>
      </c>
      <c r="L2264">
        <v>1086325.24</v>
      </c>
      <c r="M2264">
        <v>0</v>
      </c>
      <c r="N2264">
        <v>0</v>
      </c>
      <c r="O2264">
        <v>1086325.24</v>
      </c>
      <c r="P2264" t="s">
        <v>73</v>
      </c>
      <c r="Q2264" t="s">
        <v>32</v>
      </c>
    </row>
    <row r="2265" spans="1:17" x14ac:dyDescent="0.25">
      <c r="A2265" t="s">
        <v>2382</v>
      </c>
      <c r="B2265" s="1">
        <v>46037</v>
      </c>
      <c r="C2265" t="s">
        <v>47</v>
      </c>
      <c r="D2265" t="s">
        <v>114</v>
      </c>
      <c r="E2265" t="s">
        <v>41</v>
      </c>
      <c r="F2265" t="s">
        <v>21</v>
      </c>
      <c r="G2265" t="s">
        <v>98</v>
      </c>
      <c r="H2265" t="s">
        <v>44</v>
      </c>
      <c r="I2265" t="s">
        <v>45</v>
      </c>
      <c r="J2265">
        <v>6</v>
      </c>
      <c r="K2265">
        <v>9364.3700000000008</v>
      </c>
      <c r="L2265">
        <v>56186.22</v>
      </c>
      <c r="M2265">
        <v>0</v>
      </c>
      <c r="N2265">
        <v>0</v>
      </c>
      <c r="O2265">
        <v>56186.22</v>
      </c>
      <c r="P2265" t="s">
        <v>31</v>
      </c>
      <c r="Q2265" t="s">
        <v>32</v>
      </c>
    </row>
    <row r="2266" spans="1:17" x14ac:dyDescent="0.25">
      <c r="A2266" t="s">
        <v>2383</v>
      </c>
      <c r="B2266" s="1">
        <v>45971</v>
      </c>
      <c r="C2266" t="s">
        <v>47</v>
      </c>
      <c r="D2266" t="s">
        <v>88</v>
      </c>
      <c r="E2266" t="s">
        <v>49</v>
      </c>
      <c r="F2266" t="s">
        <v>112</v>
      </c>
      <c r="G2266" t="s">
        <v>66</v>
      </c>
      <c r="H2266" t="s">
        <v>44</v>
      </c>
      <c r="I2266" t="s">
        <v>124</v>
      </c>
      <c r="J2266">
        <v>5</v>
      </c>
      <c r="K2266">
        <v>49569.06</v>
      </c>
      <c r="L2266">
        <v>247845.3</v>
      </c>
      <c r="M2266">
        <v>29492.78</v>
      </c>
      <c r="N2266">
        <v>0</v>
      </c>
      <c r="O2266">
        <v>218352.52</v>
      </c>
      <c r="P2266" t="s">
        <v>25</v>
      </c>
      <c r="Q2266" t="s">
        <v>26</v>
      </c>
    </row>
    <row r="2267" spans="1:17" x14ac:dyDescent="0.25">
      <c r="A2267" t="s">
        <v>2384</v>
      </c>
      <c r="B2267" s="1">
        <v>46016</v>
      </c>
      <c r="C2267" t="s">
        <v>47</v>
      </c>
      <c r="D2267" t="s">
        <v>48</v>
      </c>
      <c r="E2267" t="s">
        <v>20</v>
      </c>
      <c r="F2267" t="s">
        <v>21</v>
      </c>
      <c r="G2267" t="s">
        <v>29</v>
      </c>
      <c r="H2267" t="s">
        <v>94</v>
      </c>
      <c r="I2267" t="s">
        <v>115</v>
      </c>
      <c r="J2267">
        <v>7</v>
      </c>
      <c r="K2267">
        <v>2334.5300000000002</v>
      </c>
      <c r="L2267">
        <v>16341.71</v>
      </c>
      <c r="M2267">
        <v>44.73</v>
      </c>
      <c r="N2267">
        <v>3638.57</v>
      </c>
      <c r="O2267">
        <v>12658.41</v>
      </c>
      <c r="P2267" t="s">
        <v>25</v>
      </c>
      <c r="Q2267" t="s">
        <v>26</v>
      </c>
    </row>
    <row r="2268" spans="1:17" x14ac:dyDescent="0.25">
      <c r="A2268" t="s">
        <v>2385</v>
      </c>
      <c r="B2268" s="1">
        <v>46040</v>
      </c>
      <c r="C2268" t="s">
        <v>79</v>
      </c>
      <c r="D2268" t="s">
        <v>107</v>
      </c>
      <c r="E2268" t="s">
        <v>20</v>
      </c>
      <c r="F2268" t="s">
        <v>105</v>
      </c>
      <c r="G2268" t="s">
        <v>102</v>
      </c>
      <c r="H2268" t="s">
        <v>67</v>
      </c>
      <c r="I2268" t="s">
        <v>154</v>
      </c>
      <c r="J2268">
        <v>29</v>
      </c>
      <c r="K2268">
        <v>39622.83</v>
      </c>
      <c r="L2268">
        <v>1149062.07</v>
      </c>
      <c r="M2268">
        <v>46523.75</v>
      </c>
      <c r="N2268">
        <v>0</v>
      </c>
      <c r="O2268">
        <v>1102538.32</v>
      </c>
      <c r="P2268" t="s">
        <v>73</v>
      </c>
      <c r="Q2268" t="s">
        <v>26</v>
      </c>
    </row>
    <row r="2269" spans="1:17" x14ac:dyDescent="0.25">
      <c r="A2269" t="s">
        <v>2386</v>
      </c>
      <c r="B2269" s="1">
        <v>45979</v>
      </c>
      <c r="C2269" t="s">
        <v>54</v>
      </c>
      <c r="D2269" t="s">
        <v>55</v>
      </c>
      <c r="E2269" t="s">
        <v>41</v>
      </c>
      <c r="F2269" t="s">
        <v>62</v>
      </c>
      <c r="G2269" t="s">
        <v>66</v>
      </c>
      <c r="H2269" t="s">
        <v>94</v>
      </c>
      <c r="I2269" t="s">
        <v>144</v>
      </c>
      <c r="J2269">
        <v>19</v>
      </c>
      <c r="K2269">
        <v>9200.4599999999991</v>
      </c>
      <c r="L2269">
        <v>174808.74</v>
      </c>
      <c r="M2269">
        <v>0</v>
      </c>
      <c r="N2269">
        <v>0</v>
      </c>
      <c r="O2269">
        <v>174808.74</v>
      </c>
      <c r="P2269" t="s">
        <v>31</v>
      </c>
      <c r="Q2269" t="s">
        <v>32</v>
      </c>
    </row>
    <row r="2270" spans="1:17" x14ac:dyDescent="0.25">
      <c r="A2270" t="s">
        <v>2387</v>
      </c>
      <c r="B2270" s="1">
        <v>45993</v>
      </c>
      <c r="C2270" t="s">
        <v>18</v>
      </c>
      <c r="D2270" t="s">
        <v>19</v>
      </c>
      <c r="E2270" t="s">
        <v>20</v>
      </c>
      <c r="F2270" t="s">
        <v>21</v>
      </c>
      <c r="G2270" t="s">
        <v>138</v>
      </c>
      <c r="H2270" t="s">
        <v>57</v>
      </c>
      <c r="I2270" t="s">
        <v>92</v>
      </c>
      <c r="J2270">
        <v>21</v>
      </c>
      <c r="K2270">
        <v>24733.599999999999</v>
      </c>
      <c r="L2270">
        <v>519405.6</v>
      </c>
      <c r="M2270">
        <v>5148.55</v>
      </c>
      <c r="N2270">
        <v>0</v>
      </c>
      <c r="O2270">
        <v>514257.05</v>
      </c>
      <c r="P2270" t="s">
        <v>31</v>
      </c>
      <c r="Q2270" t="s">
        <v>32</v>
      </c>
    </row>
    <row r="2271" spans="1:17" x14ac:dyDescent="0.25">
      <c r="A2271" t="s">
        <v>2388</v>
      </c>
      <c r="B2271" s="1">
        <v>45961</v>
      </c>
      <c r="C2271" t="s">
        <v>79</v>
      </c>
      <c r="D2271" t="s">
        <v>107</v>
      </c>
      <c r="E2271" t="s">
        <v>20</v>
      </c>
      <c r="F2271" t="s">
        <v>21</v>
      </c>
      <c r="G2271" t="s">
        <v>22</v>
      </c>
      <c r="H2271" t="s">
        <v>23</v>
      </c>
      <c r="I2271" t="s">
        <v>131</v>
      </c>
      <c r="J2271">
        <v>2</v>
      </c>
      <c r="K2271">
        <v>21740.92</v>
      </c>
      <c r="L2271">
        <v>43481.84</v>
      </c>
      <c r="M2271">
        <v>0</v>
      </c>
      <c r="N2271">
        <v>0</v>
      </c>
      <c r="O2271">
        <v>43481.84</v>
      </c>
      <c r="P2271" t="s">
        <v>32</v>
      </c>
      <c r="Q2271" t="s">
        <v>32</v>
      </c>
    </row>
    <row r="2272" spans="1:17" x14ac:dyDescent="0.25">
      <c r="A2272" t="s">
        <v>2389</v>
      </c>
      <c r="B2272" s="1">
        <v>45963</v>
      </c>
      <c r="C2272" t="s">
        <v>79</v>
      </c>
      <c r="D2272" t="s">
        <v>101</v>
      </c>
      <c r="E2272" t="s">
        <v>35</v>
      </c>
      <c r="F2272" t="s">
        <v>112</v>
      </c>
      <c r="G2272" t="s">
        <v>51</v>
      </c>
      <c r="H2272" t="s">
        <v>38</v>
      </c>
      <c r="I2272" t="s">
        <v>86</v>
      </c>
      <c r="J2272">
        <v>14</v>
      </c>
      <c r="K2272">
        <v>2334.2600000000002</v>
      </c>
      <c r="L2272">
        <v>32679.64</v>
      </c>
      <c r="M2272">
        <v>0</v>
      </c>
      <c r="N2272">
        <v>0</v>
      </c>
      <c r="O2272">
        <v>32679.64</v>
      </c>
      <c r="P2272" t="s">
        <v>31</v>
      </c>
      <c r="Q2272" t="s">
        <v>32</v>
      </c>
    </row>
    <row r="2273" spans="1:17" x14ac:dyDescent="0.25">
      <c r="A2273" t="s">
        <v>2390</v>
      </c>
      <c r="B2273" s="1">
        <v>45992</v>
      </c>
      <c r="C2273" t="s">
        <v>79</v>
      </c>
      <c r="D2273" t="s">
        <v>91</v>
      </c>
      <c r="E2273" t="s">
        <v>41</v>
      </c>
      <c r="F2273" t="s">
        <v>36</v>
      </c>
      <c r="G2273" t="s">
        <v>63</v>
      </c>
      <c r="H2273" t="s">
        <v>23</v>
      </c>
      <c r="I2273" t="s">
        <v>99</v>
      </c>
      <c r="J2273">
        <v>30</v>
      </c>
      <c r="K2273">
        <v>15059.24</v>
      </c>
      <c r="L2273">
        <v>451777.2</v>
      </c>
      <c r="M2273">
        <v>38282.1</v>
      </c>
      <c r="N2273">
        <v>0</v>
      </c>
      <c r="O2273">
        <v>413495.1</v>
      </c>
      <c r="P2273" t="s">
        <v>31</v>
      </c>
      <c r="Q2273" t="s">
        <v>32</v>
      </c>
    </row>
    <row r="2274" spans="1:17" x14ac:dyDescent="0.25">
      <c r="A2274" t="s">
        <v>2391</v>
      </c>
      <c r="B2274" s="1">
        <v>46026</v>
      </c>
      <c r="C2274" t="s">
        <v>60</v>
      </c>
      <c r="D2274" t="s">
        <v>65</v>
      </c>
      <c r="E2274" t="s">
        <v>35</v>
      </c>
      <c r="F2274" t="s">
        <v>21</v>
      </c>
      <c r="G2274" t="s">
        <v>22</v>
      </c>
      <c r="H2274" t="s">
        <v>38</v>
      </c>
      <c r="I2274" t="s">
        <v>39</v>
      </c>
      <c r="J2274">
        <v>18</v>
      </c>
      <c r="K2274">
        <v>1022.97</v>
      </c>
      <c r="L2274">
        <v>18413.46</v>
      </c>
      <c r="M2274">
        <v>0</v>
      </c>
      <c r="N2274">
        <v>0</v>
      </c>
      <c r="O2274">
        <v>18413.46</v>
      </c>
      <c r="P2274" t="s">
        <v>25</v>
      </c>
      <c r="Q2274" t="s">
        <v>32</v>
      </c>
    </row>
    <row r="2275" spans="1:17" x14ac:dyDescent="0.25">
      <c r="A2275" t="s">
        <v>2392</v>
      </c>
      <c r="B2275" s="1">
        <v>46015</v>
      </c>
      <c r="C2275" t="s">
        <v>54</v>
      </c>
      <c r="D2275" t="s">
        <v>97</v>
      </c>
      <c r="E2275" t="s">
        <v>20</v>
      </c>
      <c r="F2275" t="s">
        <v>42</v>
      </c>
      <c r="G2275" t="s">
        <v>85</v>
      </c>
      <c r="H2275" t="s">
        <v>94</v>
      </c>
      <c r="I2275" t="s">
        <v>95</v>
      </c>
      <c r="J2275">
        <v>12</v>
      </c>
      <c r="K2275">
        <v>43297.49</v>
      </c>
      <c r="L2275">
        <v>519569.88</v>
      </c>
      <c r="M2275">
        <v>61716.58</v>
      </c>
      <c r="N2275">
        <v>0</v>
      </c>
      <c r="O2275">
        <v>457853.3</v>
      </c>
      <c r="P2275" t="s">
        <v>31</v>
      </c>
      <c r="Q2275" t="s">
        <v>32</v>
      </c>
    </row>
    <row r="2276" spans="1:17" x14ac:dyDescent="0.25">
      <c r="A2276" t="s">
        <v>2393</v>
      </c>
      <c r="B2276" s="1">
        <v>46033</v>
      </c>
      <c r="C2276" t="s">
        <v>54</v>
      </c>
      <c r="D2276" t="s">
        <v>97</v>
      </c>
      <c r="E2276" t="s">
        <v>35</v>
      </c>
      <c r="F2276" t="s">
        <v>21</v>
      </c>
      <c r="G2276" t="s">
        <v>43</v>
      </c>
      <c r="H2276" t="s">
        <v>57</v>
      </c>
      <c r="I2276" t="s">
        <v>92</v>
      </c>
      <c r="J2276">
        <v>41</v>
      </c>
      <c r="K2276">
        <v>1820.69</v>
      </c>
      <c r="L2276">
        <v>74648.289999999994</v>
      </c>
      <c r="M2276">
        <v>7459.8</v>
      </c>
      <c r="N2276">
        <v>0</v>
      </c>
      <c r="O2276">
        <v>67188.490000000005</v>
      </c>
      <c r="P2276" t="s">
        <v>31</v>
      </c>
      <c r="Q2276" t="s">
        <v>32</v>
      </c>
    </row>
    <row r="2277" spans="1:17" x14ac:dyDescent="0.25">
      <c r="A2277" t="s">
        <v>2394</v>
      </c>
      <c r="B2277" s="1">
        <v>46038</v>
      </c>
      <c r="C2277" t="s">
        <v>79</v>
      </c>
      <c r="D2277" t="s">
        <v>101</v>
      </c>
      <c r="E2277" t="s">
        <v>41</v>
      </c>
      <c r="F2277" t="s">
        <v>112</v>
      </c>
      <c r="G2277" t="s">
        <v>85</v>
      </c>
      <c r="H2277" t="s">
        <v>67</v>
      </c>
      <c r="I2277" t="s">
        <v>103</v>
      </c>
      <c r="J2277">
        <v>39</v>
      </c>
      <c r="K2277">
        <v>19928.41</v>
      </c>
      <c r="L2277">
        <v>777207.99</v>
      </c>
      <c r="M2277">
        <v>102060.87</v>
      </c>
      <c r="N2277">
        <v>0</v>
      </c>
      <c r="O2277">
        <v>675147.12</v>
      </c>
      <c r="P2277" t="s">
        <v>32</v>
      </c>
      <c r="Q2277" t="s">
        <v>26</v>
      </c>
    </row>
    <row r="2278" spans="1:17" x14ac:dyDescent="0.25">
      <c r="A2278" t="s">
        <v>2395</v>
      </c>
      <c r="B2278" s="1">
        <v>45966</v>
      </c>
      <c r="C2278" t="s">
        <v>47</v>
      </c>
      <c r="D2278" t="s">
        <v>127</v>
      </c>
      <c r="E2278" t="s">
        <v>49</v>
      </c>
      <c r="F2278" t="s">
        <v>84</v>
      </c>
      <c r="G2278" t="s">
        <v>81</v>
      </c>
      <c r="H2278" t="s">
        <v>67</v>
      </c>
      <c r="I2278" t="s">
        <v>154</v>
      </c>
      <c r="J2278">
        <v>17</v>
      </c>
      <c r="K2278">
        <v>44216.03</v>
      </c>
      <c r="L2278">
        <v>751672.51</v>
      </c>
      <c r="M2278">
        <v>0</v>
      </c>
      <c r="N2278">
        <v>0</v>
      </c>
      <c r="O2278">
        <v>751672.51</v>
      </c>
      <c r="P2278" t="s">
        <v>32</v>
      </c>
      <c r="Q2278" t="s">
        <v>32</v>
      </c>
    </row>
    <row r="2279" spans="1:17" x14ac:dyDescent="0.25">
      <c r="A2279" t="s">
        <v>2396</v>
      </c>
      <c r="B2279" s="1">
        <v>45983</v>
      </c>
      <c r="C2279" t="s">
        <v>54</v>
      </c>
      <c r="D2279" t="s">
        <v>70</v>
      </c>
      <c r="E2279" t="s">
        <v>41</v>
      </c>
      <c r="F2279" t="s">
        <v>36</v>
      </c>
      <c r="G2279" t="s">
        <v>140</v>
      </c>
      <c r="H2279" t="s">
        <v>23</v>
      </c>
      <c r="I2279" t="s">
        <v>24</v>
      </c>
      <c r="J2279">
        <v>20</v>
      </c>
      <c r="K2279">
        <v>18772.169999999998</v>
      </c>
      <c r="L2279">
        <v>375443.4</v>
      </c>
      <c r="M2279">
        <v>10724.28</v>
      </c>
      <c r="N2279">
        <v>93255.039999999994</v>
      </c>
      <c r="O2279">
        <v>271464.08</v>
      </c>
      <c r="P2279" t="s">
        <v>73</v>
      </c>
      <c r="Q2279" t="s">
        <v>32</v>
      </c>
    </row>
    <row r="2280" spans="1:17" x14ac:dyDescent="0.25">
      <c r="A2280" t="s">
        <v>2397</v>
      </c>
      <c r="B2280" s="1">
        <v>45960</v>
      </c>
      <c r="C2280" t="s">
        <v>60</v>
      </c>
      <c r="D2280" t="s">
        <v>61</v>
      </c>
      <c r="E2280" t="s">
        <v>41</v>
      </c>
      <c r="F2280" t="s">
        <v>105</v>
      </c>
      <c r="G2280" t="s">
        <v>56</v>
      </c>
      <c r="H2280" t="s">
        <v>23</v>
      </c>
      <c r="I2280" t="s">
        <v>131</v>
      </c>
      <c r="J2280">
        <v>21</v>
      </c>
      <c r="K2280">
        <v>44337.59</v>
      </c>
      <c r="L2280">
        <v>931089.39</v>
      </c>
      <c r="M2280">
        <v>96690.73</v>
      </c>
      <c r="N2280">
        <v>0</v>
      </c>
      <c r="O2280">
        <v>834398.66</v>
      </c>
      <c r="P2280" t="s">
        <v>73</v>
      </c>
      <c r="Q2280" t="s">
        <v>32</v>
      </c>
    </row>
    <row r="2281" spans="1:17" x14ac:dyDescent="0.25">
      <c r="A2281" t="s">
        <v>2398</v>
      </c>
      <c r="B2281" s="1">
        <v>46034</v>
      </c>
      <c r="C2281" t="s">
        <v>18</v>
      </c>
      <c r="D2281" t="s">
        <v>34</v>
      </c>
      <c r="E2281" t="s">
        <v>20</v>
      </c>
      <c r="F2281" t="s">
        <v>21</v>
      </c>
      <c r="G2281" t="s">
        <v>51</v>
      </c>
      <c r="H2281" t="s">
        <v>57</v>
      </c>
      <c r="I2281" t="s">
        <v>148</v>
      </c>
      <c r="J2281">
        <v>3</v>
      </c>
      <c r="K2281">
        <v>43099.839999999997</v>
      </c>
      <c r="L2281">
        <v>129299.52</v>
      </c>
      <c r="M2281">
        <v>5739.2</v>
      </c>
      <c r="N2281">
        <v>33617.339999999997</v>
      </c>
      <c r="O2281">
        <v>89942.98</v>
      </c>
      <c r="P2281" t="s">
        <v>32</v>
      </c>
      <c r="Q2281" t="s">
        <v>32</v>
      </c>
    </row>
    <row r="2282" spans="1:17" x14ac:dyDescent="0.25">
      <c r="A2282" t="s">
        <v>2399</v>
      </c>
      <c r="B2282" s="1">
        <v>46018</v>
      </c>
      <c r="C2282" t="s">
        <v>47</v>
      </c>
      <c r="D2282" t="s">
        <v>48</v>
      </c>
      <c r="E2282" t="s">
        <v>41</v>
      </c>
      <c r="F2282" t="s">
        <v>71</v>
      </c>
      <c r="G2282" t="s">
        <v>89</v>
      </c>
      <c r="H2282" t="s">
        <v>44</v>
      </c>
      <c r="I2282" t="s">
        <v>281</v>
      </c>
      <c r="J2282">
        <v>16</v>
      </c>
      <c r="K2282">
        <v>20213.91</v>
      </c>
      <c r="L2282">
        <v>323422.56</v>
      </c>
      <c r="M2282">
        <v>0</v>
      </c>
      <c r="N2282">
        <v>0</v>
      </c>
      <c r="O2282">
        <v>323422.56</v>
      </c>
      <c r="P2282" t="s">
        <v>32</v>
      </c>
      <c r="Q2282" t="s">
        <v>32</v>
      </c>
    </row>
    <row r="2283" spans="1:17" x14ac:dyDescent="0.25">
      <c r="A2283" t="s">
        <v>2400</v>
      </c>
      <c r="B2283" s="1">
        <v>45985</v>
      </c>
      <c r="C2283" t="s">
        <v>47</v>
      </c>
      <c r="D2283" t="s">
        <v>127</v>
      </c>
      <c r="E2283" t="s">
        <v>35</v>
      </c>
      <c r="F2283" t="s">
        <v>50</v>
      </c>
      <c r="G2283" t="s">
        <v>56</v>
      </c>
      <c r="H2283" t="s">
        <v>38</v>
      </c>
      <c r="I2283" t="s">
        <v>108</v>
      </c>
      <c r="J2283">
        <v>15</v>
      </c>
      <c r="K2283">
        <v>27003.65</v>
      </c>
      <c r="L2283">
        <v>405054.75</v>
      </c>
      <c r="M2283">
        <v>0</v>
      </c>
      <c r="N2283">
        <v>0</v>
      </c>
      <c r="O2283">
        <v>405054.75</v>
      </c>
      <c r="P2283" t="s">
        <v>25</v>
      </c>
      <c r="Q2283" t="s">
        <v>26</v>
      </c>
    </row>
    <row r="2284" spans="1:17" x14ac:dyDescent="0.25">
      <c r="A2284" t="s">
        <v>2401</v>
      </c>
      <c r="B2284" s="1">
        <v>46001</v>
      </c>
      <c r="C2284" t="s">
        <v>18</v>
      </c>
      <c r="D2284" t="s">
        <v>28</v>
      </c>
      <c r="E2284" t="s">
        <v>49</v>
      </c>
      <c r="F2284" t="s">
        <v>112</v>
      </c>
      <c r="G2284" t="s">
        <v>22</v>
      </c>
      <c r="H2284" t="s">
        <v>57</v>
      </c>
      <c r="I2284" t="s">
        <v>92</v>
      </c>
      <c r="J2284">
        <v>39</v>
      </c>
      <c r="K2284">
        <v>35741.599999999999</v>
      </c>
      <c r="L2284">
        <v>1393922.4</v>
      </c>
      <c r="M2284">
        <v>267656.69</v>
      </c>
      <c r="N2284">
        <v>0</v>
      </c>
      <c r="O2284">
        <v>1126265.71</v>
      </c>
      <c r="P2284" t="s">
        <v>32</v>
      </c>
      <c r="Q2284" t="s">
        <v>32</v>
      </c>
    </row>
    <row r="2285" spans="1:17" x14ac:dyDescent="0.25">
      <c r="A2285" t="s">
        <v>2402</v>
      </c>
      <c r="B2285" s="1">
        <v>46005</v>
      </c>
      <c r="C2285" t="s">
        <v>79</v>
      </c>
      <c r="D2285" t="s">
        <v>91</v>
      </c>
      <c r="E2285" t="s">
        <v>41</v>
      </c>
      <c r="F2285" t="s">
        <v>21</v>
      </c>
      <c r="G2285" t="s">
        <v>85</v>
      </c>
      <c r="H2285" t="s">
        <v>94</v>
      </c>
      <c r="I2285" t="s">
        <v>193</v>
      </c>
      <c r="J2285">
        <v>46</v>
      </c>
      <c r="K2285">
        <v>16867.919999999998</v>
      </c>
      <c r="L2285">
        <v>775924.32</v>
      </c>
      <c r="M2285">
        <v>0</v>
      </c>
      <c r="N2285">
        <v>0</v>
      </c>
      <c r="O2285">
        <v>775924.32</v>
      </c>
      <c r="P2285" t="s">
        <v>31</v>
      </c>
      <c r="Q2285" t="s">
        <v>32</v>
      </c>
    </row>
    <row r="2286" spans="1:17" x14ac:dyDescent="0.25">
      <c r="A2286" t="s">
        <v>2403</v>
      </c>
      <c r="B2286" s="1">
        <v>46020</v>
      </c>
      <c r="C2286" t="s">
        <v>60</v>
      </c>
      <c r="D2286" t="s">
        <v>65</v>
      </c>
      <c r="E2286" t="s">
        <v>20</v>
      </c>
      <c r="F2286" t="s">
        <v>42</v>
      </c>
      <c r="G2286" t="s">
        <v>29</v>
      </c>
      <c r="H2286" t="s">
        <v>67</v>
      </c>
      <c r="I2286" t="s">
        <v>170</v>
      </c>
      <c r="J2286">
        <v>33</v>
      </c>
      <c r="K2286">
        <v>22451.9</v>
      </c>
      <c r="L2286">
        <v>740912.7</v>
      </c>
      <c r="M2286">
        <v>0</v>
      </c>
      <c r="N2286">
        <v>51686.68</v>
      </c>
      <c r="O2286">
        <v>689226.02</v>
      </c>
      <c r="P2286" t="s">
        <v>25</v>
      </c>
      <c r="Q2286" t="s">
        <v>128</v>
      </c>
    </row>
    <row r="2287" spans="1:17" x14ac:dyDescent="0.25">
      <c r="A2287" t="s">
        <v>2404</v>
      </c>
      <c r="B2287" s="1">
        <v>46018</v>
      </c>
      <c r="C2287" t="s">
        <v>54</v>
      </c>
      <c r="D2287" t="s">
        <v>97</v>
      </c>
      <c r="E2287" t="s">
        <v>35</v>
      </c>
      <c r="F2287" t="s">
        <v>137</v>
      </c>
      <c r="G2287" t="s">
        <v>140</v>
      </c>
      <c r="H2287" t="s">
        <v>57</v>
      </c>
      <c r="I2287" t="s">
        <v>58</v>
      </c>
      <c r="J2287">
        <v>15</v>
      </c>
      <c r="K2287">
        <v>14510.95</v>
      </c>
      <c r="L2287">
        <v>217664.25</v>
      </c>
      <c r="M2287">
        <v>40169.53</v>
      </c>
      <c r="N2287">
        <v>27459.88</v>
      </c>
      <c r="O2287">
        <v>150034.84</v>
      </c>
      <c r="P2287" t="s">
        <v>25</v>
      </c>
      <c r="Q2287" t="s">
        <v>128</v>
      </c>
    </row>
    <row r="2288" spans="1:17" x14ac:dyDescent="0.25">
      <c r="A2288" t="s">
        <v>2405</v>
      </c>
      <c r="B2288" s="1">
        <v>46010</v>
      </c>
      <c r="C2288" t="s">
        <v>18</v>
      </c>
      <c r="D2288" t="s">
        <v>34</v>
      </c>
      <c r="E2288" t="s">
        <v>35</v>
      </c>
      <c r="F2288" t="s">
        <v>62</v>
      </c>
      <c r="G2288" t="s">
        <v>56</v>
      </c>
      <c r="H2288" t="s">
        <v>38</v>
      </c>
      <c r="I2288" t="s">
        <v>39</v>
      </c>
      <c r="J2288">
        <v>33</v>
      </c>
      <c r="K2288">
        <v>12737.3</v>
      </c>
      <c r="L2288">
        <v>420330.9</v>
      </c>
      <c r="M2288">
        <v>73371.47</v>
      </c>
      <c r="N2288">
        <v>0</v>
      </c>
      <c r="O2288">
        <v>346959.43</v>
      </c>
      <c r="P2288" t="s">
        <v>31</v>
      </c>
      <c r="Q2288" t="s">
        <v>32</v>
      </c>
    </row>
    <row r="2289" spans="1:17" x14ac:dyDescent="0.25">
      <c r="A2289" t="s">
        <v>2406</v>
      </c>
      <c r="B2289" s="1">
        <v>45966</v>
      </c>
      <c r="C2289" t="s">
        <v>79</v>
      </c>
      <c r="D2289" t="s">
        <v>80</v>
      </c>
      <c r="E2289" t="s">
        <v>49</v>
      </c>
      <c r="F2289" t="s">
        <v>36</v>
      </c>
      <c r="G2289" t="s">
        <v>81</v>
      </c>
      <c r="H2289" t="s">
        <v>67</v>
      </c>
      <c r="I2289" t="s">
        <v>201</v>
      </c>
      <c r="J2289">
        <v>17</v>
      </c>
      <c r="K2289">
        <v>25499.67</v>
      </c>
      <c r="L2289">
        <v>433494.39</v>
      </c>
      <c r="M2289">
        <v>0</v>
      </c>
      <c r="N2289">
        <v>0</v>
      </c>
      <c r="O2289">
        <v>433494.39</v>
      </c>
      <c r="P2289" t="s">
        <v>32</v>
      </c>
      <c r="Q2289" t="s">
        <v>32</v>
      </c>
    </row>
    <row r="2290" spans="1:17" x14ac:dyDescent="0.25">
      <c r="A2290" t="s">
        <v>2407</v>
      </c>
      <c r="B2290" s="1">
        <v>45990</v>
      </c>
      <c r="C2290" t="s">
        <v>60</v>
      </c>
      <c r="D2290" t="s">
        <v>123</v>
      </c>
      <c r="E2290" t="s">
        <v>35</v>
      </c>
      <c r="F2290" t="s">
        <v>42</v>
      </c>
      <c r="G2290" t="s">
        <v>43</v>
      </c>
      <c r="H2290" t="s">
        <v>44</v>
      </c>
      <c r="I2290" t="s">
        <v>281</v>
      </c>
      <c r="J2290">
        <v>5</v>
      </c>
      <c r="K2290">
        <v>20586.36</v>
      </c>
      <c r="L2290">
        <v>102931.8</v>
      </c>
      <c r="M2290">
        <v>12267.66</v>
      </c>
      <c r="N2290">
        <v>0</v>
      </c>
      <c r="O2290">
        <v>90664.14</v>
      </c>
      <c r="P2290" t="s">
        <v>31</v>
      </c>
      <c r="Q2290" t="s">
        <v>32</v>
      </c>
    </row>
    <row r="2291" spans="1:17" x14ac:dyDescent="0.25">
      <c r="A2291" t="s">
        <v>2408</v>
      </c>
      <c r="B2291" s="1">
        <v>45966</v>
      </c>
      <c r="C2291" t="s">
        <v>47</v>
      </c>
      <c r="D2291" t="s">
        <v>127</v>
      </c>
      <c r="E2291" t="s">
        <v>49</v>
      </c>
      <c r="F2291" t="s">
        <v>42</v>
      </c>
      <c r="G2291" t="s">
        <v>29</v>
      </c>
      <c r="H2291" t="s">
        <v>57</v>
      </c>
      <c r="I2291" t="s">
        <v>118</v>
      </c>
      <c r="J2291">
        <v>29</v>
      </c>
      <c r="K2291">
        <v>1937.07</v>
      </c>
      <c r="L2291">
        <v>56175.03</v>
      </c>
      <c r="M2291">
        <v>3973.5</v>
      </c>
      <c r="N2291">
        <v>0</v>
      </c>
      <c r="O2291">
        <v>52201.53</v>
      </c>
      <c r="P2291" t="s">
        <v>32</v>
      </c>
      <c r="Q2291" t="s">
        <v>26</v>
      </c>
    </row>
    <row r="2292" spans="1:17" x14ac:dyDescent="0.25">
      <c r="A2292" t="s">
        <v>2409</v>
      </c>
      <c r="B2292" s="1">
        <v>46039</v>
      </c>
      <c r="C2292" t="s">
        <v>47</v>
      </c>
      <c r="D2292" t="s">
        <v>88</v>
      </c>
      <c r="E2292" t="s">
        <v>41</v>
      </c>
      <c r="F2292" t="s">
        <v>21</v>
      </c>
      <c r="G2292" t="s">
        <v>22</v>
      </c>
      <c r="H2292" t="s">
        <v>94</v>
      </c>
      <c r="I2292" t="s">
        <v>193</v>
      </c>
      <c r="J2292">
        <v>19</v>
      </c>
      <c r="K2292">
        <v>1055.6400000000001</v>
      </c>
      <c r="L2292">
        <v>20057.16</v>
      </c>
      <c r="M2292">
        <v>0</v>
      </c>
      <c r="N2292">
        <v>0</v>
      </c>
      <c r="O2292">
        <v>20057.16</v>
      </c>
      <c r="P2292" t="s">
        <v>31</v>
      </c>
      <c r="Q2292" t="s">
        <v>32</v>
      </c>
    </row>
    <row r="2293" spans="1:17" x14ac:dyDescent="0.25">
      <c r="A2293" t="s">
        <v>2410</v>
      </c>
      <c r="B2293" s="1">
        <v>46029</v>
      </c>
      <c r="C2293" t="s">
        <v>79</v>
      </c>
      <c r="D2293" t="s">
        <v>91</v>
      </c>
      <c r="E2293" t="s">
        <v>49</v>
      </c>
      <c r="F2293" t="s">
        <v>105</v>
      </c>
      <c r="G2293" t="s">
        <v>140</v>
      </c>
      <c r="H2293" t="s">
        <v>38</v>
      </c>
      <c r="I2293" t="s">
        <v>120</v>
      </c>
      <c r="J2293">
        <v>1</v>
      </c>
      <c r="K2293">
        <v>20124.2</v>
      </c>
      <c r="L2293">
        <v>20124.2</v>
      </c>
      <c r="M2293">
        <v>0</v>
      </c>
      <c r="N2293">
        <v>0</v>
      </c>
      <c r="O2293">
        <v>20124.2</v>
      </c>
      <c r="P2293" t="s">
        <v>31</v>
      </c>
      <c r="Q2293" t="s">
        <v>32</v>
      </c>
    </row>
    <row r="2294" spans="1:17" x14ac:dyDescent="0.25">
      <c r="A2294" t="s">
        <v>2411</v>
      </c>
      <c r="B2294" s="1">
        <v>45977</v>
      </c>
      <c r="C2294" t="s">
        <v>47</v>
      </c>
      <c r="D2294" t="s">
        <v>127</v>
      </c>
      <c r="E2294" t="s">
        <v>20</v>
      </c>
      <c r="F2294" t="s">
        <v>112</v>
      </c>
      <c r="G2294" t="s">
        <v>51</v>
      </c>
      <c r="H2294" t="s">
        <v>67</v>
      </c>
      <c r="I2294" t="s">
        <v>154</v>
      </c>
      <c r="J2294">
        <v>12</v>
      </c>
      <c r="K2294">
        <v>2510.9899999999998</v>
      </c>
      <c r="L2294">
        <v>30131.88</v>
      </c>
      <c r="M2294">
        <v>0</v>
      </c>
      <c r="N2294">
        <v>0</v>
      </c>
      <c r="O2294">
        <v>30131.88</v>
      </c>
      <c r="P2294" t="s">
        <v>31</v>
      </c>
      <c r="Q2294" t="s">
        <v>32</v>
      </c>
    </row>
    <row r="2295" spans="1:17" x14ac:dyDescent="0.25">
      <c r="A2295" t="s">
        <v>2412</v>
      </c>
      <c r="B2295" s="1">
        <v>46004</v>
      </c>
      <c r="C2295" t="s">
        <v>18</v>
      </c>
      <c r="D2295" t="s">
        <v>75</v>
      </c>
      <c r="E2295" t="s">
        <v>41</v>
      </c>
      <c r="F2295" t="s">
        <v>42</v>
      </c>
      <c r="G2295" t="s">
        <v>138</v>
      </c>
      <c r="H2295" t="s">
        <v>38</v>
      </c>
      <c r="I2295" t="s">
        <v>175</v>
      </c>
      <c r="J2295">
        <v>11</v>
      </c>
      <c r="K2295">
        <v>14906.69</v>
      </c>
      <c r="L2295">
        <v>163973.59</v>
      </c>
      <c r="M2295">
        <v>19680.150000000001</v>
      </c>
      <c r="N2295">
        <v>0</v>
      </c>
      <c r="O2295">
        <v>144293.44</v>
      </c>
      <c r="P2295" t="s">
        <v>32</v>
      </c>
      <c r="Q2295" t="s">
        <v>32</v>
      </c>
    </row>
    <row r="2296" spans="1:17" x14ac:dyDescent="0.25">
      <c r="A2296" t="s">
        <v>2413</v>
      </c>
      <c r="B2296" s="1">
        <v>46042</v>
      </c>
      <c r="C2296" t="s">
        <v>54</v>
      </c>
      <c r="D2296" t="s">
        <v>70</v>
      </c>
      <c r="E2296" t="s">
        <v>49</v>
      </c>
      <c r="F2296" t="s">
        <v>84</v>
      </c>
      <c r="G2296" t="s">
        <v>43</v>
      </c>
      <c r="H2296" t="s">
        <v>94</v>
      </c>
      <c r="I2296" t="s">
        <v>177</v>
      </c>
      <c r="J2296">
        <v>19</v>
      </c>
      <c r="K2296">
        <v>25444.89</v>
      </c>
      <c r="L2296">
        <v>483452.91</v>
      </c>
      <c r="M2296">
        <v>23489.51</v>
      </c>
      <c r="N2296">
        <v>0</v>
      </c>
      <c r="O2296">
        <v>459963.4</v>
      </c>
      <c r="P2296" t="s">
        <v>32</v>
      </c>
      <c r="Q2296" t="s">
        <v>32</v>
      </c>
    </row>
    <row r="2297" spans="1:17" x14ac:dyDescent="0.25">
      <c r="A2297" t="s">
        <v>2414</v>
      </c>
      <c r="B2297" s="1">
        <v>46023</v>
      </c>
      <c r="C2297" t="s">
        <v>60</v>
      </c>
      <c r="D2297" t="s">
        <v>61</v>
      </c>
      <c r="E2297" t="s">
        <v>20</v>
      </c>
      <c r="F2297" t="s">
        <v>105</v>
      </c>
      <c r="G2297" t="s">
        <v>138</v>
      </c>
      <c r="H2297" t="s">
        <v>44</v>
      </c>
      <c r="I2297" t="s">
        <v>141</v>
      </c>
      <c r="J2297">
        <v>25</v>
      </c>
      <c r="K2297">
        <v>18819.27</v>
      </c>
      <c r="L2297">
        <v>470481.75</v>
      </c>
      <c r="M2297">
        <v>34599.42</v>
      </c>
      <c r="N2297">
        <v>0</v>
      </c>
      <c r="O2297">
        <v>435882.33</v>
      </c>
      <c r="P2297" t="s">
        <v>32</v>
      </c>
      <c r="Q2297" t="s">
        <v>32</v>
      </c>
    </row>
    <row r="2298" spans="1:17" x14ac:dyDescent="0.25">
      <c r="A2298" t="s">
        <v>2415</v>
      </c>
      <c r="B2298" s="1">
        <v>45966</v>
      </c>
      <c r="C2298" t="s">
        <v>79</v>
      </c>
      <c r="D2298" t="s">
        <v>91</v>
      </c>
      <c r="E2298" t="s">
        <v>20</v>
      </c>
      <c r="F2298" t="s">
        <v>62</v>
      </c>
      <c r="G2298" t="s">
        <v>138</v>
      </c>
      <c r="H2298" t="s">
        <v>38</v>
      </c>
      <c r="I2298" t="s">
        <v>82</v>
      </c>
      <c r="J2298">
        <v>24</v>
      </c>
      <c r="K2298">
        <v>49630.53</v>
      </c>
      <c r="L2298">
        <v>1191132.72</v>
      </c>
      <c r="M2298">
        <v>151876.49</v>
      </c>
      <c r="N2298">
        <v>0</v>
      </c>
      <c r="O2298">
        <v>1039256.23</v>
      </c>
      <c r="P2298" t="s">
        <v>25</v>
      </c>
      <c r="Q2298" t="s">
        <v>26</v>
      </c>
    </row>
    <row r="2299" spans="1:17" x14ac:dyDescent="0.25">
      <c r="A2299" t="s">
        <v>2416</v>
      </c>
      <c r="B2299" s="1">
        <v>45966</v>
      </c>
      <c r="C2299" t="s">
        <v>54</v>
      </c>
      <c r="D2299" t="s">
        <v>70</v>
      </c>
      <c r="E2299" t="s">
        <v>20</v>
      </c>
      <c r="F2299" t="s">
        <v>36</v>
      </c>
      <c r="G2299" t="s">
        <v>85</v>
      </c>
      <c r="H2299" t="s">
        <v>44</v>
      </c>
      <c r="I2299" t="s">
        <v>135</v>
      </c>
      <c r="J2299">
        <v>47</v>
      </c>
      <c r="K2299">
        <v>23087.21</v>
      </c>
      <c r="L2299">
        <v>1085098.8700000001</v>
      </c>
      <c r="M2299">
        <v>6917.85</v>
      </c>
      <c r="N2299">
        <v>0</v>
      </c>
      <c r="O2299">
        <v>1078181.02</v>
      </c>
      <c r="P2299" t="s">
        <v>32</v>
      </c>
      <c r="Q2299" t="s">
        <v>26</v>
      </c>
    </row>
    <row r="2300" spans="1:17" x14ac:dyDescent="0.25">
      <c r="A2300" t="s">
        <v>2417</v>
      </c>
      <c r="B2300" s="1">
        <v>45954</v>
      </c>
      <c r="C2300" t="s">
        <v>47</v>
      </c>
      <c r="D2300" t="s">
        <v>114</v>
      </c>
      <c r="E2300" t="s">
        <v>35</v>
      </c>
      <c r="F2300" t="s">
        <v>42</v>
      </c>
      <c r="G2300" t="s">
        <v>63</v>
      </c>
      <c r="H2300" t="s">
        <v>94</v>
      </c>
      <c r="I2300" t="s">
        <v>115</v>
      </c>
      <c r="J2300">
        <v>32</v>
      </c>
      <c r="K2300">
        <v>46844.84</v>
      </c>
      <c r="L2300">
        <v>1499034.88</v>
      </c>
      <c r="M2300">
        <v>0</v>
      </c>
      <c r="N2300">
        <v>271089.32</v>
      </c>
      <c r="O2300">
        <v>1227945.56</v>
      </c>
      <c r="P2300" t="s">
        <v>73</v>
      </c>
      <c r="Q2300" t="s">
        <v>32</v>
      </c>
    </row>
    <row r="2301" spans="1:17" x14ac:dyDescent="0.25">
      <c r="A2301" t="s">
        <v>2418</v>
      </c>
      <c r="B2301" s="1">
        <v>45965</v>
      </c>
      <c r="C2301" t="s">
        <v>18</v>
      </c>
      <c r="D2301" t="s">
        <v>75</v>
      </c>
      <c r="E2301" t="s">
        <v>49</v>
      </c>
      <c r="F2301" t="s">
        <v>50</v>
      </c>
      <c r="G2301" t="s">
        <v>63</v>
      </c>
      <c r="H2301" t="s">
        <v>67</v>
      </c>
      <c r="I2301" t="s">
        <v>103</v>
      </c>
      <c r="J2301">
        <v>41</v>
      </c>
      <c r="K2301">
        <v>29411.54</v>
      </c>
      <c r="L2301">
        <v>1205873.1399999999</v>
      </c>
      <c r="M2301">
        <v>0</v>
      </c>
      <c r="N2301">
        <v>274742.77</v>
      </c>
      <c r="O2301">
        <v>931130.37</v>
      </c>
      <c r="P2301" t="s">
        <v>31</v>
      </c>
      <c r="Q2301" t="s">
        <v>32</v>
      </c>
    </row>
    <row r="2302" spans="1:17" x14ac:dyDescent="0.25">
      <c r="A2302" t="s">
        <v>2419</v>
      </c>
      <c r="B2302" s="1">
        <v>45984</v>
      </c>
      <c r="C2302" t="s">
        <v>54</v>
      </c>
      <c r="D2302" t="s">
        <v>55</v>
      </c>
      <c r="E2302" t="s">
        <v>41</v>
      </c>
      <c r="F2302" t="s">
        <v>62</v>
      </c>
      <c r="G2302" t="s">
        <v>85</v>
      </c>
      <c r="H2302" t="s">
        <v>23</v>
      </c>
      <c r="I2302" t="s">
        <v>110</v>
      </c>
      <c r="J2302">
        <v>7</v>
      </c>
      <c r="K2302">
        <v>42951.82</v>
      </c>
      <c r="L2302">
        <v>300662.74</v>
      </c>
      <c r="M2302">
        <v>0</v>
      </c>
      <c r="N2302">
        <v>0</v>
      </c>
      <c r="O2302">
        <v>300662.74</v>
      </c>
      <c r="P2302" t="s">
        <v>25</v>
      </c>
      <c r="Q2302" t="s">
        <v>26</v>
      </c>
    </row>
    <row r="2303" spans="1:17" x14ac:dyDescent="0.25">
      <c r="A2303" t="s">
        <v>2420</v>
      </c>
      <c r="B2303" s="1">
        <v>46030</v>
      </c>
      <c r="C2303" t="s">
        <v>79</v>
      </c>
      <c r="D2303" t="s">
        <v>101</v>
      </c>
      <c r="E2303" t="s">
        <v>49</v>
      </c>
      <c r="F2303" t="s">
        <v>105</v>
      </c>
      <c r="G2303" t="s">
        <v>98</v>
      </c>
      <c r="H2303" t="s">
        <v>38</v>
      </c>
      <c r="I2303" t="s">
        <v>108</v>
      </c>
      <c r="J2303">
        <v>8</v>
      </c>
      <c r="K2303">
        <v>20246.98</v>
      </c>
      <c r="L2303">
        <v>161975.84</v>
      </c>
      <c r="M2303">
        <v>4224.78</v>
      </c>
      <c r="N2303">
        <v>19582.72</v>
      </c>
      <c r="O2303">
        <v>138168.34</v>
      </c>
      <c r="P2303" t="s">
        <v>25</v>
      </c>
      <c r="Q2303" t="s">
        <v>26</v>
      </c>
    </row>
    <row r="2304" spans="1:17" x14ac:dyDescent="0.25">
      <c r="A2304" t="s">
        <v>2421</v>
      </c>
      <c r="B2304" s="1">
        <v>46032</v>
      </c>
      <c r="C2304" t="s">
        <v>79</v>
      </c>
      <c r="D2304" t="s">
        <v>107</v>
      </c>
      <c r="E2304" t="s">
        <v>35</v>
      </c>
      <c r="F2304" t="s">
        <v>137</v>
      </c>
      <c r="G2304" t="s">
        <v>43</v>
      </c>
      <c r="H2304" t="s">
        <v>94</v>
      </c>
      <c r="I2304" t="s">
        <v>95</v>
      </c>
      <c r="J2304">
        <v>34</v>
      </c>
      <c r="K2304">
        <v>34746.35</v>
      </c>
      <c r="L2304">
        <v>1181375.8999999999</v>
      </c>
      <c r="M2304">
        <v>0</v>
      </c>
      <c r="N2304">
        <v>0</v>
      </c>
      <c r="O2304">
        <v>1181375.8999999999</v>
      </c>
      <c r="P2304" t="s">
        <v>31</v>
      </c>
      <c r="Q2304" t="s">
        <v>32</v>
      </c>
    </row>
    <row r="2305" spans="1:17" x14ac:dyDescent="0.25">
      <c r="A2305" t="s">
        <v>2422</v>
      </c>
      <c r="B2305" s="1">
        <v>46011</v>
      </c>
      <c r="C2305" t="s">
        <v>54</v>
      </c>
      <c r="D2305" t="s">
        <v>97</v>
      </c>
      <c r="E2305" t="s">
        <v>49</v>
      </c>
      <c r="F2305" t="s">
        <v>84</v>
      </c>
      <c r="G2305" t="s">
        <v>66</v>
      </c>
      <c r="H2305" t="s">
        <v>57</v>
      </c>
      <c r="I2305" t="s">
        <v>72</v>
      </c>
      <c r="J2305">
        <v>4</v>
      </c>
      <c r="K2305">
        <v>34648.269999999997</v>
      </c>
      <c r="L2305">
        <v>138593.07999999999</v>
      </c>
      <c r="M2305">
        <v>8429.93</v>
      </c>
      <c r="N2305">
        <v>0</v>
      </c>
      <c r="O2305">
        <v>130163.15</v>
      </c>
      <c r="P2305" t="s">
        <v>73</v>
      </c>
      <c r="Q2305" t="s">
        <v>32</v>
      </c>
    </row>
    <row r="2306" spans="1:17" x14ac:dyDescent="0.25">
      <c r="A2306" t="s">
        <v>2423</v>
      </c>
      <c r="B2306" s="1">
        <v>45975</v>
      </c>
      <c r="C2306" t="s">
        <v>54</v>
      </c>
      <c r="D2306" t="s">
        <v>70</v>
      </c>
      <c r="E2306" t="s">
        <v>41</v>
      </c>
      <c r="F2306" t="s">
        <v>42</v>
      </c>
      <c r="G2306" t="s">
        <v>85</v>
      </c>
      <c r="H2306" t="s">
        <v>23</v>
      </c>
      <c r="I2306" t="s">
        <v>52</v>
      </c>
      <c r="J2306">
        <v>42</v>
      </c>
      <c r="K2306">
        <v>32126.14</v>
      </c>
      <c r="L2306">
        <v>1349297.88</v>
      </c>
      <c r="M2306">
        <v>156970.72</v>
      </c>
      <c r="N2306">
        <v>0</v>
      </c>
      <c r="O2306">
        <v>1192327.1599999999</v>
      </c>
      <c r="P2306" t="s">
        <v>73</v>
      </c>
      <c r="Q2306" t="s">
        <v>32</v>
      </c>
    </row>
    <row r="2307" spans="1:17" x14ac:dyDescent="0.25">
      <c r="A2307" t="s">
        <v>2424</v>
      </c>
      <c r="B2307" s="1">
        <v>46017</v>
      </c>
      <c r="C2307" t="s">
        <v>60</v>
      </c>
      <c r="D2307" t="s">
        <v>61</v>
      </c>
      <c r="E2307" t="s">
        <v>41</v>
      </c>
      <c r="F2307" t="s">
        <v>137</v>
      </c>
      <c r="G2307" t="s">
        <v>81</v>
      </c>
      <c r="H2307" t="s">
        <v>44</v>
      </c>
      <c r="I2307" t="s">
        <v>141</v>
      </c>
      <c r="J2307">
        <v>43</v>
      </c>
      <c r="K2307">
        <v>36793.81</v>
      </c>
      <c r="L2307">
        <v>1582133.83</v>
      </c>
      <c r="M2307">
        <v>90965</v>
      </c>
      <c r="N2307">
        <v>0</v>
      </c>
      <c r="O2307">
        <v>1491168.83</v>
      </c>
      <c r="P2307" t="s">
        <v>25</v>
      </c>
      <c r="Q2307" t="s">
        <v>26</v>
      </c>
    </row>
    <row r="2308" spans="1:17" x14ac:dyDescent="0.25">
      <c r="A2308" t="s">
        <v>2425</v>
      </c>
      <c r="B2308" s="1">
        <v>45984</v>
      </c>
      <c r="C2308" t="s">
        <v>79</v>
      </c>
      <c r="D2308" t="s">
        <v>107</v>
      </c>
      <c r="E2308" t="s">
        <v>35</v>
      </c>
      <c r="F2308" t="s">
        <v>36</v>
      </c>
      <c r="G2308" t="s">
        <v>140</v>
      </c>
      <c r="H2308" t="s">
        <v>94</v>
      </c>
      <c r="I2308" t="s">
        <v>177</v>
      </c>
      <c r="J2308">
        <v>41</v>
      </c>
      <c r="K2308">
        <v>50059.77</v>
      </c>
      <c r="L2308">
        <v>2052450.57</v>
      </c>
      <c r="M2308">
        <v>48914.39</v>
      </c>
      <c r="N2308">
        <v>0</v>
      </c>
      <c r="O2308">
        <v>2003536.18</v>
      </c>
      <c r="P2308" t="s">
        <v>73</v>
      </c>
      <c r="Q2308" t="s">
        <v>26</v>
      </c>
    </row>
    <row r="2309" spans="1:17" x14ac:dyDescent="0.25">
      <c r="A2309" t="s">
        <v>2426</v>
      </c>
      <c r="B2309" s="1">
        <v>45957</v>
      </c>
      <c r="C2309" t="s">
        <v>60</v>
      </c>
      <c r="D2309" t="s">
        <v>123</v>
      </c>
      <c r="E2309" t="s">
        <v>35</v>
      </c>
      <c r="F2309" t="s">
        <v>21</v>
      </c>
      <c r="G2309" t="s">
        <v>98</v>
      </c>
      <c r="H2309" t="s">
        <v>23</v>
      </c>
      <c r="I2309" t="s">
        <v>52</v>
      </c>
      <c r="J2309">
        <v>22</v>
      </c>
      <c r="K2309">
        <v>43525.120000000003</v>
      </c>
      <c r="L2309">
        <v>957552.64000000001</v>
      </c>
      <c r="M2309">
        <v>102707.17</v>
      </c>
      <c r="N2309">
        <v>90120.21</v>
      </c>
      <c r="O2309">
        <v>764725.26</v>
      </c>
      <c r="P2309" t="s">
        <v>31</v>
      </c>
      <c r="Q2309" t="s">
        <v>32</v>
      </c>
    </row>
    <row r="2310" spans="1:17" x14ac:dyDescent="0.25">
      <c r="A2310" t="s">
        <v>2427</v>
      </c>
      <c r="B2310" s="1">
        <v>45966</v>
      </c>
      <c r="C2310" t="s">
        <v>18</v>
      </c>
      <c r="D2310" t="s">
        <v>75</v>
      </c>
      <c r="E2310" t="s">
        <v>41</v>
      </c>
      <c r="F2310" t="s">
        <v>36</v>
      </c>
      <c r="G2310" t="s">
        <v>66</v>
      </c>
      <c r="H2310" t="s">
        <v>23</v>
      </c>
      <c r="I2310" t="s">
        <v>52</v>
      </c>
      <c r="J2310">
        <v>9</v>
      </c>
      <c r="K2310">
        <v>9307.76</v>
      </c>
      <c r="L2310">
        <v>83769.84</v>
      </c>
      <c r="M2310">
        <v>0</v>
      </c>
      <c r="N2310">
        <v>0</v>
      </c>
      <c r="O2310">
        <v>83769.84</v>
      </c>
      <c r="P2310" t="s">
        <v>32</v>
      </c>
      <c r="Q2310" t="s">
        <v>32</v>
      </c>
    </row>
    <row r="2311" spans="1:17" x14ac:dyDescent="0.25">
      <c r="A2311" t="s">
        <v>2428</v>
      </c>
      <c r="B2311" s="1">
        <v>46006</v>
      </c>
      <c r="C2311" t="s">
        <v>54</v>
      </c>
      <c r="D2311" t="s">
        <v>97</v>
      </c>
      <c r="E2311" t="s">
        <v>20</v>
      </c>
      <c r="F2311" t="s">
        <v>42</v>
      </c>
      <c r="G2311" t="s">
        <v>56</v>
      </c>
      <c r="H2311" t="s">
        <v>23</v>
      </c>
      <c r="I2311" t="s">
        <v>110</v>
      </c>
      <c r="J2311">
        <v>40</v>
      </c>
      <c r="K2311">
        <v>47034.8</v>
      </c>
      <c r="L2311">
        <v>1881392</v>
      </c>
      <c r="M2311">
        <v>0</v>
      </c>
      <c r="N2311">
        <v>0</v>
      </c>
      <c r="O2311">
        <v>1881392</v>
      </c>
      <c r="P2311" t="s">
        <v>32</v>
      </c>
      <c r="Q2311" t="s">
        <v>26</v>
      </c>
    </row>
    <row r="2312" spans="1:17" x14ac:dyDescent="0.25">
      <c r="A2312" t="s">
        <v>2429</v>
      </c>
      <c r="B2312" s="1">
        <v>45962</v>
      </c>
      <c r="C2312" t="s">
        <v>54</v>
      </c>
      <c r="D2312" t="s">
        <v>133</v>
      </c>
      <c r="E2312" t="s">
        <v>41</v>
      </c>
      <c r="F2312" t="s">
        <v>62</v>
      </c>
      <c r="G2312" t="s">
        <v>81</v>
      </c>
      <c r="H2312" t="s">
        <v>67</v>
      </c>
      <c r="I2312" t="s">
        <v>154</v>
      </c>
      <c r="J2312">
        <v>46</v>
      </c>
      <c r="K2312">
        <v>10851.63</v>
      </c>
      <c r="L2312">
        <v>499174.98</v>
      </c>
      <c r="M2312">
        <v>57806.59</v>
      </c>
      <c r="N2312">
        <v>0</v>
      </c>
      <c r="O2312">
        <v>441368.39</v>
      </c>
      <c r="P2312" t="s">
        <v>25</v>
      </c>
      <c r="Q2312" t="s">
        <v>26</v>
      </c>
    </row>
    <row r="2313" spans="1:17" x14ac:dyDescent="0.25">
      <c r="A2313" t="s">
        <v>2430</v>
      </c>
      <c r="B2313" s="1">
        <v>45965</v>
      </c>
      <c r="C2313" t="s">
        <v>18</v>
      </c>
      <c r="D2313" t="s">
        <v>34</v>
      </c>
      <c r="E2313" t="s">
        <v>35</v>
      </c>
      <c r="F2313" t="s">
        <v>62</v>
      </c>
      <c r="G2313" t="s">
        <v>51</v>
      </c>
      <c r="H2313" t="s">
        <v>23</v>
      </c>
      <c r="I2313" t="s">
        <v>24</v>
      </c>
      <c r="J2313">
        <v>16</v>
      </c>
      <c r="K2313">
        <v>31665.29</v>
      </c>
      <c r="L2313">
        <v>506644.64</v>
      </c>
      <c r="M2313">
        <v>0</v>
      </c>
      <c r="N2313">
        <v>0</v>
      </c>
      <c r="O2313">
        <v>506644.64</v>
      </c>
      <c r="P2313" t="s">
        <v>73</v>
      </c>
      <c r="Q2313" t="s">
        <v>32</v>
      </c>
    </row>
    <row r="2314" spans="1:17" x14ac:dyDescent="0.25">
      <c r="A2314" t="s">
        <v>2431</v>
      </c>
      <c r="B2314" s="1">
        <v>45966</v>
      </c>
      <c r="C2314" t="s">
        <v>79</v>
      </c>
      <c r="D2314" t="s">
        <v>91</v>
      </c>
      <c r="E2314" t="s">
        <v>49</v>
      </c>
      <c r="F2314" t="s">
        <v>62</v>
      </c>
      <c r="G2314" t="s">
        <v>29</v>
      </c>
      <c r="H2314" t="s">
        <v>44</v>
      </c>
      <c r="I2314" t="s">
        <v>141</v>
      </c>
      <c r="J2314">
        <v>50</v>
      </c>
      <c r="K2314">
        <v>38299.99</v>
      </c>
      <c r="L2314">
        <v>1914999.5</v>
      </c>
      <c r="M2314">
        <v>200600.43</v>
      </c>
      <c r="N2314">
        <v>0</v>
      </c>
      <c r="O2314">
        <v>1714399.07</v>
      </c>
      <c r="P2314" t="s">
        <v>31</v>
      </c>
      <c r="Q2314" t="s">
        <v>32</v>
      </c>
    </row>
    <row r="2315" spans="1:17" x14ac:dyDescent="0.25">
      <c r="A2315" t="s">
        <v>2432</v>
      </c>
      <c r="B2315" s="1">
        <v>46033</v>
      </c>
      <c r="C2315" t="s">
        <v>54</v>
      </c>
      <c r="D2315" t="s">
        <v>97</v>
      </c>
      <c r="E2315" t="s">
        <v>20</v>
      </c>
      <c r="F2315" t="s">
        <v>36</v>
      </c>
      <c r="G2315" t="s">
        <v>37</v>
      </c>
      <c r="H2315" t="s">
        <v>44</v>
      </c>
      <c r="I2315" t="s">
        <v>281</v>
      </c>
      <c r="J2315">
        <v>21</v>
      </c>
      <c r="K2315">
        <v>44461.46</v>
      </c>
      <c r="L2315">
        <v>933690.66</v>
      </c>
      <c r="M2315">
        <v>99266.19</v>
      </c>
      <c r="N2315">
        <v>0</v>
      </c>
      <c r="O2315">
        <v>834424.47</v>
      </c>
      <c r="P2315" t="s">
        <v>25</v>
      </c>
      <c r="Q2315" t="s">
        <v>128</v>
      </c>
    </row>
    <row r="2316" spans="1:17" x14ac:dyDescent="0.25">
      <c r="A2316" t="s">
        <v>2433</v>
      </c>
      <c r="B2316" s="1">
        <v>45980</v>
      </c>
      <c r="C2316" t="s">
        <v>79</v>
      </c>
      <c r="D2316" t="s">
        <v>80</v>
      </c>
      <c r="E2316" t="s">
        <v>35</v>
      </c>
      <c r="F2316" t="s">
        <v>112</v>
      </c>
      <c r="G2316" t="s">
        <v>37</v>
      </c>
      <c r="H2316" t="s">
        <v>94</v>
      </c>
      <c r="I2316" t="s">
        <v>115</v>
      </c>
      <c r="J2316">
        <v>18</v>
      </c>
      <c r="K2316">
        <v>32778.089999999997</v>
      </c>
      <c r="L2316">
        <v>590005.62</v>
      </c>
      <c r="M2316">
        <v>103793.85</v>
      </c>
      <c r="N2316">
        <v>0</v>
      </c>
      <c r="O2316">
        <v>486211.77</v>
      </c>
      <c r="P2316" t="s">
        <v>25</v>
      </c>
      <c r="Q2316" t="s">
        <v>26</v>
      </c>
    </row>
    <row r="2317" spans="1:17" x14ac:dyDescent="0.25">
      <c r="A2317" t="s">
        <v>2434</v>
      </c>
      <c r="B2317" s="1">
        <v>45967</v>
      </c>
      <c r="C2317" t="s">
        <v>79</v>
      </c>
      <c r="D2317" t="s">
        <v>91</v>
      </c>
      <c r="E2317" t="s">
        <v>35</v>
      </c>
      <c r="F2317" t="s">
        <v>42</v>
      </c>
      <c r="G2317" t="s">
        <v>98</v>
      </c>
      <c r="H2317" t="s">
        <v>23</v>
      </c>
      <c r="I2317" t="s">
        <v>110</v>
      </c>
      <c r="J2317">
        <v>50</v>
      </c>
      <c r="K2317">
        <v>26776.16</v>
      </c>
      <c r="L2317">
        <v>1338808</v>
      </c>
      <c r="M2317">
        <v>0</v>
      </c>
      <c r="N2317">
        <v>0</v>
      </c>
      <c r="O2317">
        <v>1338808</v>
      </c>
      <c r="P2317" t="s">
        <v>25</v>
      </c>
      <c r="Q2317" t="s">
        <v>26</v>
      </c>
    </row>
    <row r="2318" spans="1:17" x14ac:dyDescent="0.25">
      <c r="A2318" t="s">
        <v>2435</v>
      </c>
      <c r="B2318" s="1">
        <v>46006</v>
      </c>
      <c r="C2318" t="s">
        <v>79</v>
      </c>
      <c r="D2318" t="s">
        <v>91</v>
      </c>
      <c r="E2318" t="s">
        <v>35</v>
      </c>
      <c r="F2318" t="s">
        <v>105</v>
      </c>
      <c r="G2318" t="s">
        <v>81</v>
      </c>
      <c r="H2318" t="s">
        <v>67</v>
      </c>
      <c r="I2318" t="s">
        <v>68</v>
      </c>
      <c r="J2318">
        <v>24</v>
      </c>
      <c r="K2318">
        <v>31464.66</v>
      </c>
      <c r="L2318">
        <v>755151.84</v>
      </c>
      <c r="M2318">
        <v>44540.56</v>
      </c>
      <c r="N2318">
        <v>0</v>
      </c>
      <c r="O2318">
        <v>710611.28</v>
      </c>
      <c r="P2318" t="s">
        <v>32</v>
      </c>
      <c r="Q2318" t="s">
        <v>26</v>
      </c>
    </row>
    <row r="2319" spans="1:17" x14ac:dyDescent="0.25">
      <c r="A2319" t="s">
        <v>2436</v>
      </c>
      <c r="B2319" s="1">
        <v>46000</v>
      </c>
      <c r="C2319" t="s">
        <v>60</v>
      </c>
      <c r="D2319" t="s">
        <v>65</v>
      </c>
      <c r="E2319" t="s">
        <v>49</v>
      </c>
      <c r="F2319" t="s">
        <v>62</v>
      </c>
      <c r="G2319" t="s">
        <v>81</v>
      </c>
      <c r="H2319" t="s">
        <v>44</v>
      </c>
      <c r="I2319" t="s">
        <v>281</v>
      </c>
      <c r="J2319">
        <v>25</v>
      </c>
      <c r="K2319">
        <v>18574.740000000002</v>
      </c>
      <c r="L2319">
        <v>464368.5</v>
      </c>
      <c r="M2319">
        <v>0</v>
      </c>
      <c r="N2319">
        <v>79439.34</v>
      </c>
      <c r="O2319">
        <v>384929.16</v>
      </c>
      <c r="P2319" t="s">
        <v>32</v>
      </c>
      <c r="Q2319" t="s">
        <v>32</v>
      </c>
    </row>
    <row r="2320" spans="1:17" x14ac:dyDescent="0.25">
      <c r="A2320" t="s">
        <v>2437</v>
      </c>
      <c r="B2320" s="1">
        <v>46030</v>
      </c>
      <c r="C2320" t="s">
        <v>54</v>
      </c>
      <c r="D2320" t="s">
        <v>55</v>
      </c>
      <c r="E2320" t="s">
        <v>20</v>
      </c>
      <c r="F2320" t="s">
        <v>105</v>
      </c>
      <c r="G2320" t="s">
        <v>85</v>
      </c>
      <c r="H2320" t="s">
        <v>23</v>
      </c>
      <c r="I2320" t="s">
        <v>24</v>
      </c>
      <c r="J2320">
        <v>47</v>
      </c>
      <c r="K2320">
        <v>10760.67</v>
      </c>
      <c r="L2320">
        <v>505751.49</v>
      </c>
      <c r="M2320">
        <v>86115.65</v>
      </c>
      <c r="N2320">
        <v>0</v>
      </c>
      <c r="O2320">
        <v>419635.84</v>
      </c>
      <c r="P2320" t="s">
        <v>31</v>
      </c>
      <c r="Q2320" t="s">
        <v>32</v>
      </c>
    </row>
    <row r="2321" spans="1:17" x14ac:dyDescent="0.25">
      <c r="A2321" t="s">
        <v>2438</v>
      </c>
      <c r="B2321" s="1">
        <v>46045</v>
      </c>
      <c r="C2321" t="s">
        <v>47</v>
      </c>
      <c r="D2321" t="s">
        <v>88</v>
      </c>
      <c r="E2321" t="s">
        <v>35</v>
      </c>
      <c r="F2321" t="s">
        <v>137</v>
      </c>
      <c r="G2321" t="s">
        <v>102</v>
      </c>
      <c r="H2321" t="s">
        <v>57</v>
      </c>
      <c r="I2321" t="s">
        <v>160</v>
      </c>
      <c r="J2321">
        <v>23</v>
      </c>
      <c r="K2321">
        <v>22177.34</v>
      </c>
      <c r="L2321">
        <v>510078.82</v>
      </c>
      <c r="M2321">
        <v>0</v>
      </c>
      <c r="N2321">
        <v>0</v>
      </c>
      <c r="O2321">
        <v>510078.82</v>
      </c>
      <c r="P2321" t="s">
        <v>32</v>
      </c>
      <c r="Q2321" t="s">
        <v>26</v>
      </c>
    </row>
    <row r="2322" spans="1:17" x14ac:dyDescent="0.25">
      <c r="A2322" t="s">
        <v>2439</v>
      </c>
      <c r="B2322" s="1">
        <v>46035</v>
      </c>
      <c r="C2322" t="s">
        <v>54</v>
      </c>
      <c r="D2322" t="s">
        <v>70</v>
      </c>
      <c r="E2322" t="s">
        <v>41</v>
      </c>
      <c r="F2322" t="s">
        <v>137</v>
      </c>
      <c r="G2322" t="s">
        <v>85</v>
      </c>
      <c r="H2322" t="s">
        <v>23</v>
      </c>
      <c r="I2322" t="s">
        <v>99</v>
      </c>
      <c r="J2322">
        <v>31</v>
      </c>
      <c r="K2322">
        <v>1696.86</v>
      </c>
      <c r="L2322">
        <v>52602.66</v>
      </c>
      <c r="M2322">
        <v>2616.46</v>
      </c>
      <c r="N2322">
        <v>0</v>
      </c>
      <c r="O2322">
        <v>49986.2</v>
      </c>
      <c r="P2322" t="s">
        <v>73</v>
      </c>
      <c r="Q2322" t="s">
        <v>32</v>
      </c>
    </row>
    <row r="2323" spans="1:17" x14ac:dyDescent="0.25">
      <c r="A2323" t="s">
        <v>2440</v>
      </c>
      <c r="B2323" s="1">
        <v>45963</v>
      </c>
      <c r="C2323" t="s">
        <v>60</v>
      </c>
      <c r="D2323" t="s">
        <v>151</v>
      </c>
      <c r="E2323" t="s">
        <v>49</v>
      </c>
      <c r="F2323" t="s">
        <v>62</v>
      </c>
      <c r="G2323" t="s">
        <v>51</v>
      </c>
      <c r="H2323" t="s">
        <v>23</v>
      </c>
      <c r="I2323" t="s">
        <v>52</v>
      </c>
      <c r="J2323">
        <v>31</v>
      </c>
      <c r="K2323">
        <v>12058.25</v>
      </c>
      <c r="L2323">
        <v>373805.75</v>
      </c>
      <c r="M2323">
        <v>0</v>
      </c>
      <c r="N2323">
        <v>11178.24</v>
      </c>
      <c r="O2323">
        <v>362627.51</v>
      </c>
      <c r="P2323" t="s">
        <v>73</v>
      </c>
      <c r="Q2323" t="s">
        <v>26</v>
      </c>
    </row>
    <row r="2324" spans="1:17" x14ac:dyDescent="0.25">
      <c r="A2324" t="s">
        <v>2441</v>
      </c>
      <c r="B2324" s="1">
        <v>45990</v>
      </c>
      <c r="C2324" t="s">
        <v>18</v>
      </c>
      <c r="D2324" t="s">
        <v>19</v>
      </c>
      <c r="E2324" t="s">
        <v>35</v>
      </c>
      <c r="F2324" t="s">
        <v>84</v>
      </c>
      <c r="G2324" t="s">
        <v>140</v>
      </c>
      <c r="H2324" t="s">
        <v>44</v>
      </c>
      <c r="I2324" t="s">
        <v>135</v>
      </c>
      <c r="J2324">
        <v>42</v>
      </c>
      <c r="K2324">
        <v>8124.75</v>
      </c>
      <c r="L2324">
        <v>341239.5</v>
      </c>
      <c r="M2324">
        <v>24071.82</v>
      </c>
      <c r="N2324">
        <v>0</v>
      </c>
      <c r="O2324">
        <v>317167.68</v>
      </c>
      <c r="P2324" t="s">
        <v>32</v>
      </c>
      <c r="Q2324" t="s">
        <v>32</v>
      </c>
    </row>
    <row r="2325" spans="1:17" x14ac:dyDescent="0.25">
      <c r="A2325" t="s">
        <v>2442</v>
      </c>
      <c r="B2325" s="1">
        <v>45972</v>
      </c>
      <c r="C2325" t="s">
        <v>54</v>
      </c>
      <c r="D2325" t="s">
        <v>133</v>
      </c>
      <c r="E2325" t="s">
        <v>35</v>
      </c>
      <c r="F2325" t="s">
        <v>112</v>
      </c>
      <c r="G2325" t="s">
        <v>85</v>
      </c>
      <c r="H2325" t="s">
        <v>67</v>
      </c>
      <c r="I2325" t="s">
        <v>68</v>
      </c>
      <c r="J2325">
        <v>30</v>
      </c>
      <c r="K2325">
        <v>26408.87</v>
      </c>
      <c r="L2325">
        <v>792266.1</v>
      </c>
      <c r="M2325">
        <v>36906.400000000001</v>
      </c>
      <c r="N2325">
        <v>0</v>
      </c>
      <c r="O2325">
        <v>755359.7</v>
      </c>
      <c r="P2325" t="s">
        <v>31</v>
      </c>
      <c r="Q2325" t="s">
        <v>32</v>
      </c>
    </row>
    <row r="2326" spans="1:17" x14ac:dyDescent="0.25">
      <c r="A2326" t="s">
        <v>2443</v>
      </c>
      <c r="B2326" s="1">
        <v>46019</v>
      </c>
      <c r="C2326" t="s">
        <v>54</v>
      </c>
      <c r="D2326" t="s">
        <v>70</v>
      </c>
      <c r="E2326" t="s">
        <v>49</v>
      </c>
      <c r="F2326" t="s">
        <v>21</v>
      </c>
      <c r="G2326" t="s">
        <v>56</v>
      </c>
      <c r="H2326" t="s">
        <v>38</v>
      </c>
      <c r="I2326" t="s">
        <v>82</v>
      </c>
      <c r="J2326">
        <v>20</v>
      </c>
      <c r="K2326">
        <v>35282.550000000003</v>
      </c>
      <c r="L2326">
        <v>705651</v>
      </c>
      <c r="M2326">
        <v>104543.47</v>
      </c>
      <c r="N2326">
        <v>0</v>
      </c>
      <c r="O2326">
        <v>601107.53</v>
      </c>
      <c r="P2326" t="s">
        <v>32</v>
      </c>
      <c r="Q2326" t="s">
        <v>32</v>
      </c>
    </row>
    <row r="2327" spans="1:17" x14ac:dyDescent="0.25">
      <c r="A2327" t="s">
        <v>2444</v>
      </c>
      <c r="B2327" s="1">
        <v>46002</v>
      </c>
      <c r="C2327" t="s">
        <v>54</v>
      </c>
      <c r="D2327" t="s">
        <v>55</v>
      </c>
      <c r="E2327" t="s">
        <v>49</v>
      </c>
      <c r="F2327" t="s">
        <v>36</v>
      </c>
      <c r="G2327" t="s">
        <v>51</v>
      </c>
      <c r="H2327" t="s">
        <v>38</v>
      </c>
      <c r="I2327" t="s">
        <v>120</v>
      </c>
      <c r="J2327">
        <v>34</v>
      </c>
      <c r="K2327">
        <v>2745.26</v>
      </c>
      <c r="L2327">
        <v>93338.84</v>
      </c>
      <c r="M2327">
        <v>14635.48</v>
      </c>
      <c r="N2327">
        <v>0</v>
      </c>
      <c r="O2327">
        <v>78703.360000000001</v>
      </c>
      <c r="P2327" t="s">
        <v>73</v>
      </c>
      <c r="Q2327" t="s">
        <v>32</v>
      </c>
    </row>
    <row r="2328" spans="1:17" x14ac:dyDescent="0.25">
      <c r="A2328" t="s">
        <v>2445</v>
      </c>
      <c r="B2328" s="1">
        <v>45988</v>
      </c>
      <c r="C2328" t="s">
        <v>79</v>
      </c>
      <c r="D2328" t="s">
        <v>91</v>
      </c>
      <c r="E2328" t="s">
        <v>41</v>
      </c>
      <c r="F2328" t="s">
        <v>50</v>
      </c>
      <c r="G2328" t="s">
        <v>138</v>
      </c>
      <c r="H2328" t="s">
        <v>67</v>
      </c>
      <c r="I2328" t="s">
        <v>201</v>
      </c>
      <c r="J2328">
        <v>27</v>
      </c>
      <c r="K2328">
        <v>34851.39</v>
      </c>
      <c r="L2328">
        <v>940987.53</v>
      </c>
      <c r="M2328">
        <v>99884.98</v>
      </c>
      <c r="N2328">
        <v>0</v>
      </c>
      <c r="O2328">
        <v>841102.55</v>
      </c>
      <c r="P2328" t="s">
        <v>32</v>
      </c>
      <c r="Q2328" t="s">
        <v>32</v>
      </c>
    </row>
    <row r="2329" spans="1:17" x14ac:dyDescent="0.25">
      <c r="A2329" t="s">
        <v>2446</v>
      </c>
      <c r="B2329" s="1">
        <v>46025</v>
      </c>
      <c r="C2329" t="s">
        <v>60</v>
      </c>
      <c r="D2329" t="s">
        <v>65</v>
      </c>
      <c r="E2329" t="s">
        <v>20</v>
      </c>
      <c r="F2329" t="s">
        <v>84</v>
      </c>
      <c r="G2329" t="s">
        <v>66</v>
      </c>
      <c r="H2329" t="s">
        <v>44</v>
      </c>
      <c r="I2329" t="s">
        <v>45</v>
      </c>
      <c r="J2329">
        <v>45</v>
      </c>
      <c r="K2329">
        <v>48054.49</v>
      </c>
      <c r="L2329">
        <v>2162452.0499999998</v>
      </c>
      <c r="M2329">
        <v>0</v>
      </c>
      <c r="N2329">
        <v>250796.32</v>
      </c>
      <c r="O2329">
        <v>1911655.73</v>
      </c>
      <c r="P2329" t="s">
        <v>32</v>
      </c>
      <c r="Q2329" t="s">
        <v>32</v>
      </c>
    </row>
    <row r="2330" spans="1:17" x14ac:dyDescent="0.25">
      <c r="A2330" t="s">
        <v>2447</v>
      </c>
      <c r="B2330" s="1">
        <v>45967</v>
      </c>
      <c r="C2330" t="s">
        <v>54</v>
      </c>
      <c r="D2330" t="s">
        <v>97</v>
      </c>
      <c r="E2330" t="s">
        <v>49</v>
      </c>
      <c r="F2330" t="s">
        <v>36</v>
      </c>
      <c r="G2330" t="s">
        <v>89</v>
      </c>
      <c r="H2330" t="s">
        <v>57</v>
      </c>
      <c r="I2330" t="s">
        <v>92</v>
      </c>
      <c r="J2330">
        <v>21</v>
      </c>
      <c r="K2330">
        <v>43145.25</v>
      </c>
      <c r="L2330">
        <v>906050.25</v>
      </c>
      <c r="M2330">
        <v>0</v>
      </c>
      <c r="N2330">
        <v>0</v>
      </c>
      <c r="O2330">
        <v>906050.25</v>
      </c>
      <c r="P2330" t="s">
        <v>32</v>
      </c>
      <c r="Q2330" t="s">
        <v>32</v>
      </c>
    </row>
    <row r="2331" spans="1:17" x14ac:dyDescent="0.25">
      <c r="A2331" t="s">
        <v>2448</v>
      </c>
      <c r="B2331" s="1">
        <v>45963</v>
      </c>
      <c r="C2331" t="s">
        <v>54</v>
      </c>
      <c r="D2331" t="s">
        <v>97</v>
      </c>
      <c r="E2331" t="s">
        <v>41</v>
      </c>
      <c r="F2331" t="s">
        <v>42</v>
      </c>
      <c r="G2331" t="s">
        <v>43</v>
      </c>
      <c r="H2331" t="s">
        <v>57</v>
      </c>
      <c r="I2331" t="s">
        <v>148</v>
      </c>
      <c r="J2331">
        <v>22</v>
      </c>
      <c r="K2331">
        <v>17290.32</v>
      </c>
      <c r="L2331">
        <v>380387.04</v>
      </c>
      <c r="M2331">
        <v>14953.62</v>
      </c>
      <c r="N2331">
        <v>0</v>
      </c>
      <c r="O2331">
        <v>365433.42</v>
      </c>
      <c r="P2331" t="s">
        <v>31</v>
      </c>
      <c r="Q2331" t="s">
        <v>32</v>
      </c>
    </row>
    <row r="2332" spans="1:17" x14ac:dyDescent="0.25">
      <c r="A2332" t="s">
        <v>2449</v>
      </c>
      <c r="B2332" s="1">
        <v>45971</v>
      </c>
      <c r="C2332" t="s">
        <v>47</v>
      </c>
      <c r="D2332" t="s">
        <v>114</v>
      </c>
      <c r="E2332" t="s">
        <v>41</v>
      </c>
      <c r="F2332" t="s">
        <v>71</v>
      </c>
      <c r="G2332" t="s">
        <v>85</v>
      </c>
      <c r="H2332" t="s">
        <v>57</v>
      </c>
      <c r="I2332" t="s">
        <v>72</v>
      </c>
      <c r="J2332">
        <v>40</v>
      </c>
      <c r="K2332">
        <v>43429.93</v>
      </c>
      <c r="L2332">
        <v>1737197.2</v>
      </c>
      <c r="M2332">
        <v>101239.01</v>
      </c>
      <c r="N2332">
        <v>0</v>
      </c>
      <c r="O2332">
        <v>1635958.19</v>
      </c>
      <c r="P2332" t="s">
        <v>31</v>
      </c>
      <c r="Q2332" t="s">
        <v>32</v>
      </c>
    </row>
    <row r="2333" spans="1:17" x14ac:dyDescent="0.25">
      <c r="A2333" t="s">
        <v>2450</v>
      </c>
      <c r="B2333" s="1">
        <v>46043</v>
      </c>
      <c r="C2333" t="s">
        <v>54</v>
      </c>
      <c r="D2333" t="s">
        <v>97</v>
      </c>
      <c r="E2333" t="s">
        <v>41</v>
      </c>
      <c r="F2333" t="s">
        <v>50</v>
      </c>
      <c r="G2333" t="s">
        <v>81</v>
      </c>
      <c r="H2333" t="s">
        <v>23</v>
      </c>
      <c r="I2333" t="s">
        <v>52</v>
      </c>
      <c r="J2333">
        <v>17</v>
      </c>
      <c r="K2333">
        <v>31182.35</v>
      </c>
      <c r="L2333">
        <v>530099.94999999995</v>
      </c>
      <c r="M2333">
        <v>22826.32</v>
      </c>
      <c r="N2333">
        <v>0</v>
      </c>
      <c r="O2333">
        <v>507273.63</v>
      </c>
      <c r="P2333" t="s">
        <v>25</v>
      </c>
      <c r="Q2333" t="s">
        <v>26</v>
      </c>
    </row>
    <row r="2334" spans="1:17" x14ac:dyDescent="0.25">
      <c r="A2334" t="s">
        <v>2451</v>
      </c>
      <c r="B2334" s="1">
        <v>45999</v>
      </c>
      <c r="C2334" t="s">
        <v>54</v>
      </c>
      <c r="D2334" t="s">
        <v>97</v>
      </c>
      <c r="E2334" t="s">
        <v>35</v>
      </c>
      <c r="F2334" t="s">
        <v>50</v>
      </c>
      <c r="G2334" t="s">
        <v>102</v>
      </c>
      <c r="H2334" t="s">
        <v>57</v>
      </c>
      <c r="I2334" t="s">
        <v>72</v>
      </c>
      <c r="J2334">
        <v>29</v>
      </c>
      <c r="K2334">
        <v>9719.32</v>
      </c>
      <c r="L2334">
        <v>281860.28000000003</v>
      </c>
      <c r="M2334">
        <v>10231.700000000001</v>
      </c>
      <c r="N2334">
        <v>0</v>
      </c>
      <c r="O2334">
        <v>271628.58</v>
      </c>
      <c r="P2334" t="s">
        <v>31</v>
      </c>
      <c r="Q2334" t="s">
        <v>32</v>
      </c>
    </row>
    <row r="2335" spans="1:17" x14ac:dyDescent="0.25">
      <c r="A2335" t="s">
        <v>2452</v>
      </c>
      <c r="B2335" s="1">
        <v>45985</v>
      </c>
      <c r="C2335" t="s">
        <v>54</v>
      </c>
      <c r="D2335" t="s">
        <v>70</v>
      </c>
      <c r="E2335" t="s">
        <v>20</v>
      </c>
      <c r="F2335" t="s">
        <v>50</v>
      </c>
      <c r="G2335" t="s">
        <v>81</v>
      </c>
      <c r="H2335" t="s">
        <v>94</v>
      </c>
      <c r="I2335" t="s">
        <v>144</v>
      </c>
      <c r="J2335">
        <v>22</v>
      </c>
      <c r="K2335">
        <v>43463.47</v>
      </c>
      <c r="L2335">
        <v>956196.34</v>
      </c>
      <c r="M2335">
        <v>0</v>
      </c>
      <c r="N2335">
        <v>0</v>
      </c>
      <c r="O2335">
        <v>956196.34</v>
      </c>
      <c r="P2335" t="s">
        <v>25</v>
      </c>
      <c r="Q2335" t="s">
        <v>26</v>
      </c>
    </row>
    <row r="2336" spans="1:17" x14ac:dyDescent="0.25">
      <c r="A2336" t="s">
        <v>2453</v>
      </c>
      <c r="B2336" s="1">
        <v>46011</v>
      </c>
      <c r="C2336" t="s">
        <v>60</v>
      </c>
      <c r="D2336" t="s">
        <v>65</v>
      </c>
      <c r="E2336" t="s">
        <v>35</v>
      </c>
      <c r="F2336" t="s">
        <v>42</v>
      </c>
      <c r="G2336" t="s">
        <v>98</v>
      </c>
      <c r="H2336" t="s">
        <v>38</v>
      </c>
      <c r="I2336" t="s">
        <v>86</v>
      </c>
      <c r="J2336">
        <v>14</v>
      </c>
      <c r="K2336">
        <v>34191.78</v>
      </c>
      <c r="L2336">
        <v>478684.92</v>
      </c>
      <c r="M2336">
        <v>22512.67</v>
      </c>
      <c r="N2336">
        <v>0</v>
      </c>
      <c r="O2336">
        <v>456172.25</v>
      </c>
      <c r="P2336" t="s">
        <v>73</v>
      </c>
      <c r="Q2336" t="s">
        <v>26</v>
      </c>
    </row>
    <row r="2337" spans="1:17" x14ac:dyDescent="0.25">
      <c r="A2337" t="s">
        <v>2454</v>
      </c>
      <c r="B2337" s="1">
        <v>45988</v>
      </c>
      <c r="C2337" t="s">
        <v>79</v>
      </c>
      <c r="D2337" t="s">
        <v>91</v>
      </c>
      <c r="E2337" t="s">
        <v>20</v>
      </c>
      <c r="F2337" t="s">
        <v>36</v>
      </c>
      <c r="G2337" t="s">
        <v>37</v>
      </c>
      <c r="H2337" t="s">
        <v>67</v>
      </c>
      <c r="I2337" t="s">
        <v>154</v>
      </c>
      <c r="J2337">
        <v>43</v>
      </c>
      <c r="K2337">
        <v>1479.27</v>
      </c>
      <c r="L2337">
        <v>63608.61</v>
      </c>
      <c r="M2337">
        <v>11486.2</v>
      </c>
      <c r="N2337">
        <v>0</v>
      </c>
      <c r="O2337">
        <v>52122.41</v>
      </c>
      <c r="P2337" t="s">
        <v>73</v>
      </c>
      <c r="Q2337" t="s">
        <v>26</v>
      </c>
    </row>
    <row r="2338" spans="1:17" x14ac:dyDescent="0.25">
      <c r="A2338" t="s">
        <v>2455</v>
      </c>
      <c r="B2338" s="1">
        <v>46030</v>
      </c>
      <c r="C2338" t="s">
        <v>54</v>
      </c>
      <c r="D2338" t="s">
        <v>133</v>
      </c>
      <c r="E2338" t="s">
        <v>35</v>
      </c>
      <c r="F2338" t="s">
        <v>62</v>
      </c>
      <c r="G2338" t="s">
        <v>22</v>
      </c>
      <c r="H2338" t="s">
        <v>57</v>
      </c>
      <c r="I2338" t="s">
        <v>72</v>
      </c>
      <c r="J2338">
        <v>21</v>
      </c>
      <c r="K2338">
        <v>2292.17</v>
      </c>
      <c r="L2338">
        <v>48135.57</v>
      </c>
      <c r="M2338">
        <v>0</v>
      </c>
      <c r="N2338">
        <v>0</v>
      </c>
      <c r="O2338">
        <v>48135.57</v>
      </c>
      <c r="P2338" t="s">
        <v>25</v>
      </c>
      <c r="Q2338" t="s">
        <v>26</v>
      </c>
    </row>
    <row r="2339" spans="1:17" x14ac:dyDescent="0.25">
      <c r="A2339" t="s">
        <v>2456</v>
      </c>
      <c r="B2339" s="1">
        <v>46029</v>
      </c>
      <c r="C2339" t="s">
        <v>60</v>
      </c>
      <c r="D2339" t="s">
        <v>65</v>
      </c>
      <c r="E2339" t="s">
        <v>41</v>
      </c>
      <c r="F2339" t="s">
        <v>84</v>
      </c>
      <c r="G2339" t="s">
        <v>98</v>
      </c>
      <c r="H2339" t="s">
        <v>44</v>
      </c>
      <c r="I2339" t="s">
        <v>45</v>
      </c>
      <c r="J2339">
        <v>21</v>
      </c>
      <c r="K2339">
        <v>26269.17</v>
      </c>
      <c r="L2339">
        <v>551652.56999999995</v>
      </c>
      <c r="M2339">
        <v>0</v>
      </c>
      <c r="N2339">
        <v>0</v>
      </c>
      <c r="O2339">
        <v>551652.56999999995</v>
      </c>
      <c r="P2339" t="s">
        <v>25</v>
      </c>
      <c r="Q2339" t="s">
        <v>26</v>
      </c>
    </row>
    <row r="2340" spans="1:17" x14ac:dyDescent="0.25">
      <c r="A2340" t="s">
        <v>2457</v>
      </c>
      <c r="B2340" s="1">
        <v>45984</v>
      </c>
      <c r="C2340" t="s">
        <v>18</v>
      </c>
      <c r="D2340" t="s">
        <v>34</v>
      </c>
      <c r="E2340" t="s">
        <v>49</v>
      </c>
      <c r="F2340" t="s">
        <v>71</v>
      </c>
      <c r="G2340" t="s">
        <v>51</v>
      </c>
      <c r="H2340" t="s">
        <v>44</v>
      </c>
      <c r="I2340" t="s">
        <v>135</v>
      </c>
      <c r="J2340">
        <v>8</v>
      </c>
      <c r="K2340">
        <v>36041.21</v>
      </c>
      <c r="L2340">
        <v>288329.68</v>
      </c>
      <c r="M2340">
        <v>20934.29</v>
      </c>
      <c r="N2340">
        <v>0</v>
      </c>
      <c r="O2340">
        <v>267395.39</v>
      </c>
      <c r="P2340" t="s">
        <v>73</v>
      </c>
      <c r="Q2340" t="s">
        <v>32</v>
      </c>
    </row>
    <row r="2341" spans="1:17" x14ac:dyDescent="0.25">
      <c r="A2341" t="s">
        <v>2458</v>
      </c>
      <c r="B2341" s="1">
        <v>45984</v>
      </c>
      <c r="C2341" t="s">
        <v>60</v>
      </c>
      <c r="D2341" t="s">
        <v>123</v>
      </c>
      <c r="E2341" t="s">
        <v>20</v>
      </c>
      <c r="F2341" t="s">
        <v>112</v>
      </c>
      <c r="G2341" t="s">
        <v>102</v>
      </c>
      <c r="H2341" t="s">
        <v>67</v>
      </c>
      <c r="I2341" t="s">
        <v>77</v>
      </c>
      <c r="J2341">
        <v>47</v>
      </c>
      <c r="K2341">
        <v>16242.49</v>
      </c>
      <c r="L2341">
        <v>763397.03</v>
      </c>
      <c r="M2341">
        <v>25476.080000000002</v>
      </c>
      <c r="N2341">
        <v>0</v>
      </c>
      <c r="O2341">
        <v>737920.95</v>
      </c>
      <c r="P2341" t="s">
        <v>25</v>
      </c>
      <c r="Q2341" t="s">
        <v>128</v>
      </c>
    </row>
    <row r="2342" spans="1:17" x14ac:dyDescent="0.25">
      <c r="A2342" t="s">
        <v>2459</v>
      </c>
      <c r="B2342" s="1">
        <v>46008</v>
      </c>
      <c r="C2342" t="s">
        <v>54</v>
      </c>
      <c r="D2342" t="s">
        <v>70</v>
      </c>
      <c r="E2342" t="s">
        <v>41</v>
      </c>
      <c r="F2342" t="s">
        <v>84</v>
      </c>
      <c r="G2342" t="s">
        <v>37</v>
      </c>
      <c r="H2342" t="s">
        <v>23</v>
      </c>
      <c r="I2342" t="s">
        <v>24</v>
      </c>
      <c r="J2342">
        <v>6</v>
      </c>
      <c r="K2342">
        <v>10589.66</v>
      </c>
      <c r="L2342">
        <v>63537.96</v>
      </c>
      <c r="M2342">
        <v>0</v>
      </c>
      <c r="N2342">
        <v>0</v>
      </c>
      <c r="O2342">
        <v>63537.96</v>
      </c>
      <c r="P2342" t="s">
        <v>31</v>
      </c>
      <c r="Q2342" t="s">
        <v>32</v>
      </c>
    </row>
    <row r="2343" spans="1:17" x14ac:dyDescent="0.25">
      <c r="A2343" t="s">
        <v>2460</v>
      </c>
      <c r="B2343" s="1">
        <v>46023</v>
      </c>
      <c r="C2343" t="s">
        <v>54</v>
      </c>
      <c r="D2343" t="s">
        <v>97</v>
      </c>
      <c r="E2343" t="s">
        <v>20</v>
      </c>
      <c r="F2343" t="s">
        <v>42</v>
      </c>
      <c r="G2343" t="s">
        <v>138</v>
      </c>
      <c r="H2343" t="s">
        <v>94</v>
      </c>
      <c r="I2343" t="s">
        <v>115</v>
      </c>
      <c r="J2343">
        <v>28</v>
      </c>
      <c r="K2343">
        <v>3601.6</v>
      </c>
      <c r="L2343">
        <v>100844.8</v>
      </c>
      <c r="M2343">
        <v>3831.25</v>
      </c>
      <c r="N2343">
        <v>0</v>
      </c>
      <c r="O2343">
        <v>97013.55</v>
      </c>
      <c r="P2343" t="s">
        <v>32</v>
      </c>
      <c r="Q2343" t="s">
        <v>26</v>
      </c>
    </row>
    <row r="2344" spans="1:17" x14ac:dyDescent="0.25">
      <c r="A2344" t="s">
        <v>2461</v>
      </c>
      <c r="B2344" s="1">
        <v>46026</v>
      </c>
      <c r="C2344" t="s">
        <v>60</v>
      </c>
      <c r="D2344" t="s">
        <v>151</v>
      </c>
      <c r="E2344" t="s">
        <v>49</v>
      </c>
      <c r="F2344" t="s">
        <v>62</v>
      </c>
      <c r="G2344" t="s">
        <v>89</v>
      </c>
      <c r="H2344" t="s">
        <v>94</v>
      </c>
      <c r="I2344" t="s">
        <v>95</v>
      </c>
      <c r="J2344">
        <v>40</v>
      </c>
      <c r="K2344">
        <v>38630.29</v>
      </c>
      <c r="L2344">
        <v>1545211.6</v>
      </c>
      <c r="M2344">
        <v>122415.29</v>
      </c>
      <c r="N2344">
        <v>0</v>
      </c>
      <c r="O2344">
        <v>1422796.31</v>
      </c>
      <c r="P2344" t="s">
        <v>31</v>
      </c>
      <c r="Q2344" t="s">
        <v>32</v>
      </c>
    </row>
    <row r="2345" spans="1:17" x14ac:dyDescent="0.25">
      <c r="A2345" t="s">
        <v>2462</v>
      </c>
      <c r="B2345" s="1">
        <v>45998</v>
      </c>
      <c r="C2345" t="s">
        <v>79</v>
      </c>
      <c r="D2345" t="s">
        <v>80</v>
      </c>
      <c r="E2345" t="s">
        <v>20</v>
      </c>
      <c r="F2345" t="s">
        <v>112</v>
      </c>
      <c r="G2345" t="s">
        <v>43</v>
      </c>
      <c r="H2345" t="s">
        <v>38</v>
      </c>
      <c r="I2345" t="s">
        <v>108</v>
      </c>
      <c r="J2345">
        <v>9</v>
      </c>
      <c r="K2345">
        <v>37846.81</v>
      </c>
      <c r="L2345">
        <v>340621.29</v>
      </c>
      <c r="M2345">
        <v>25529.06</v>
      </c>
      <c r="N2345">
        <v>6077.81</v>
      </c>
      <c r="O2345">
        <v>309014.42</v>
      </c>
      <c r="P2345" t="s">
        <v>25</v>
      </c>
      <c r="Q2345" t="s">
        <v>26</v>
      </c>
    </row>
    <row r="2346" spans="1:17" x14ac:dyDescent="0.25">
      <c r="A2346" t="s">
        <v>2463</v>
      </c>
      <c r="B2346" s="1">
        <v>46022</v>
      </c>
      <c r="C2346" t="s">
        <v>54</v>
      </c>
      <c r="D2346" t="s">
        <v>97</v>
      </c>
      <c r="E2346" t="s">
        <v>20</v>
      </c>
      <c r="F2346" t="s">
        <v>112</v>
      </c>
      <c r="G2346" t="s">
        <v>89</v>
      </c>
      <c r="H2346" t="s">
        <v>57</v>
      </c>
      <c r="I2346" t="s">
        <v>160</v>
      </c>
      <c r="J2346">
        <v>1</v>
      </c>
      <c r="K2346">
        <v>37001.089999999997</v>
      </c>
      <c r="L2346">
        <v>37001.089999999997</v>
      </c>
      <c r="M2346">
        <v>1378.89</v>
      </c>
      <c r="N2346">
        <v>0</v>
      </c>
      <c r="O2346">
        <v>35622.199999999997</v>
      </c>
      <c r="P2346" t="s">
        <v>73</v>
      </c>
      <c r="Q2346" t="s">
        <v>32</v>
      </c>
    </row>
    <row r="2347" spans="1:17" x14ac:dyDescent="0.25">
      <c r="A2347" t="s">
        <v>2464</v>
      </c>
      <c r="B2347" s="1">
        <v>45963</v>
      </c>
      <c r="C2347" t="s">
        <v>18</v>
      </c>
      <c r="D2347" t="s">
        <v>28</v>
      </c>
      <c r="E2347" t="s">
        <v>35</v>
      </c>
      <c r="F2347" t="s">
        <v>62</v>
      </c>
      <c r="G2347" t="s">
        <v>66</v>
      </c>
      <c r="H2347" t="s">
        <v>23</v>
      </c>
      <c r="I2347" t="s">
        <v>24</v>
      </c>
      <c r="J2347">
        <v>41</v>
      </c>
      <c r="K2347">
        <v>42426.64</v>
      </c>
      <c r="L2347">
        <v>1739492.24</v>
      </c>
      <c r="M2347">
        <v>221529.16</v>
      </c>
      <c r="N2347">
        <v>0</v>
      </c>
      <c r="O2347">
        <v>1517963.08</v>
      </c>
      <c r="P2347" t="s">
        <v>25</v>
      </c>
      <c r="Q2347" t="s">
        <v>26</v>
      </c>
    </row>
    <row r="2348" spans="1:17" x14ac:dyDescent="0.25">
      <c r="A2348" t="s">
        <v>2465</v>
      </c>
      <c r="B2348" s="1">
        <v>45956</v>
      </c>
      <c r="C2348" t="s">
        <v>47</v>
      </c>
      <c r="D2348" t="s">
        <v>48</v>
      </c>
      <c r="E2348" t="s">
        <v>41</v>
      </c>
      <c r="F2348" t="s">
        <v>42</v>
      </c>
      <c r="G2348" t="s">
        <v>51</v>
      </c>
      <c r="H2348" t="s">
        <v>94</v>
      </c>
      <c r="I2348" t="s">
        <v>163</v>
      </c>
      <c r="J2348">
        <v>16</v>
      </c>
      <c r="K2348">
        <v>8947.6200000000008</v>
      </c>
      <c r="L2348">
        <v>143161.92000000001</v>
      </c>
      <c r="M2348">
        <v>27258.11</v>
      </c>
      <c r="N2348">
        <v>0</v>
      </c>
      <c r="O2348">
        <v>115903.81</v>
      </c>
      <c r="P2348" t="s">
        <v>73</v>
      </c>
      <c r="Q2348" t="s">
        <v>32</v>
      </c>
    </row>
    <row r="2349" spans="1:17" x14ac:dyDescent="0.25">
      <c r="A2349" t="s">
        <v>2466</v>
      </c>
      <c r="B2349" s="1">
        <v>45956</v>
      </c>
      <c r="C2349" t="s">
        <v>18</v>
      </c>
      <c r="D2349" t="s">
        <v>19</v>
      </c>
      <c r="E2349" t="s">
        <v>35</v>
      </c>
      <c r="F2349" t="s">
        <v>21</v>
      </c>
      <c r="G2349" t="s">
        <v>66</v>
      </c>
      <c r="H2349" t="s">
        <v>57</v>
      </c>
      <c r="I2349" t="s">
        <v>160</v>
      </c>
      <c r="J2349">
        <v>50</v>
      </c>
      <c r="K2349">
        <v>21243.74</v>
      </c>
      <c r="L2349">
        <v>1062187</v>
      </c>
      <c r="M2349">
        <v>178538.6</v>
      </c>
      <c r="N2349">
        <v>220571.33</v>
      </c>
      <c r="O2349">
        <v>663077.06999999995</v>
      </c>
      <c r="P2349" t="s">
        <v>31</v>
      </c>
      <c r="Q2349" t="s">
        <v>32</v>
      </c>
    </row>
    <row r="2350" spans="1:17" x14ac:dyDescent="0.25">
      <c r="A2350" t="s">
        <v>2467</v>
      </c>
      <c r="B2350" s="1">
        <v>45996</v>
      </c>
      <c r="C2350" t="s">
        <v>79</v>
      </c>
      <c r="D2350" t="s">
        <v>80</v>
      </c>
      <c r="E2350" t="s">
        <v>49</v>
      </c>
      <c r="F2350" t="s">
        <v>84</v>
      </c>
      <c r="G2350" t="s">
        <v>37</v>
      </c>
      <c r="H2350" t="s">
        <v>57</v>
      </c>
      <c r="I2350" t="s">
        <v>148</v>
      </c>
      <c r="J2350">
        <v>24</v>
      </c>
      <c r="K2350">
        <v>37309.050000000003</v>
      </c>
      <c r="L2350">
        <v>895417.2</v>
      </c>
      <c r="M2350">
        <v>170703.84</v>
      </c>
      <c r="N2350">
        <v>0</v>
      </c>
      <c r="O2350">
        <v>724713.36</v>
      </c>
      <c r="P2350" t="s">
        <v>31</v>
      </c>
      <c r="Q2350" t="s">
        <v>32</v>
      </c>
    </row>
    <row r="2351" spans="1:17" x14ac:dyDescent="0.25">
      <c r="A2351" t="s">
        <v>2468</v>
      </c>
      <c r="B2351" s="1">
        <v>45968</v>
      </c>
      <c r="C2351" t="s">
        <v>54</v>
      </c>
      <c r="D2351" t="s">
        <v>97</v>
      </c>
      <c r="E2351" t="s">
        <v>41</v>
      </c>
      <c r="F2351" t="s">
        <v>112</v>
      </c>
      <c r="G2351" t="s">
        <v>102</v>
      </c>
      <c r="H2351" t="s">
        <v>23</v>
      </c>
      <c r="I2351" t="s">
        <v>99</v>
      </c>
      <c r="J2351">
        <v>3</v>
      </c>
      <c r="K2351">
        <v>9332.2000000000007</v>
      </c>
      <c r="L2351">
        <v>27996.6</v>
      </c>
      <c r="M2351">
        <v>0</v>
      </c>
      <c r="N2351">
        <v>0</v>
      </c>
      <c r="O2351">
        <v>27996.6</v>
      </c>
      <c r="P2351" t="s">
        <v>25</v>
      </c>
      <c r="Q2351" t="s">
        <v>26</v>
      </c>
    </row>
    <row r="2352" spans="1:17" x14ac:dyDescent="0.25">
      <c r="A2352" t="s">
        <v>2469</v>
      </c>
      <c r="B2352" s="1">
        <v>45959</v>
      </c>
      <c r="C2352" t="s">
        <v>79</v>
      </c>
      <c r="D2352" t="s">
        <v>107</v>
      </c>
      <c r="E2352" t="s">
        <v>41</v>
      </c>
      <c r="F2352" t="s">
        <v>105</v>
      </c>
      <c r="G2352" t="s">
        <v>66</v>
      </c>
      <c r="H2352" t="s">
        <v>44</v>
      </c>
      <c r="I2352" t="s">
        <v>135</v>
      </c>
      <c r="J2352">
        <v>40</v>
      </c>
      <c r="K2352">
        <v>6749.53</v>
      </c>
      <c r="L2352">
        <v>269981.2</v>
      </c>
      <c r="M2352">
        <v>2883.71</v>
      </c>
      <c r="N2352">
        <v>61476.49</v>
      </c>
      <c r="O2352">
        <v>205621</v>
      </c>
      <c r="P2352" t="s">
        <v>73</v>
      </c>
      <c r="Q2352" t="s">
        <v>32</v>
      </c>
    </row>
    <row r="2353" spans="1:17" x14ac:dyDescent="0.25">
      <c r="A2353" t="s">
        <v>2470</v>
      </c>
      <c r="B2353" s="1">
        <v>46013</v>
      </c>
      <c r="C2353" t="s">
        <v>18</v>
      </c>
      <c r="D2353" t="s">
        <v>28</v>
      </c>
      <c r="E2353" t="s">
        <v>41</v>
      </c>
      <c r="F2353" t="s">
        <v>21</v>
      </c>
      <c r="G2353" t="s">
        <v>102</v>
      </c>
      <c r="H2353" t="s">
        <v>44</v>
      </c>
      <c r="I2353" t="s">
        <v>135</v>
      </c>
      <c r="J2353">
        <v>45</v>
      </c>
      <c r="K2353">
        <v>48276.79</v>
      </c>
      <c r="L2353">
        <v>2172455.5499999998</v>
      </c>
      <c r="M2353">
        <v>182322.27</v>
      </c>
      <c r="N2353">
        <v>0</v>
      </c>
      <c r="O2353">
        <v>1990133.28</v>
      </c>
      <c r="P2353" t="s">
        <v>73</v>
      </c>
      <c r="Q2353" t="s">
        <v>26</v>
      </c>
    </row>
    <row r="2354" spans="1:17" x14ac:dyDescent="0.25">
      <c r="A2354" t="s">
        <v>2471</v>
      </c>
      <c r="B2354" s="1">
        <v>46025</v>
      </c>
      <c r="C2354" t="s">
        <v>54</v>
      </c>
      <c r="D2354" t="s">
        <v>55</v>
      </c>
      <c r="E2354" t="s">
        <v>49</v>
      </c>
      <c r="F2354" t="s">
        <v>71</v>
      </c>
      <c r="G2354" t="s">
        <v>43</v>
      </c>
      <c r="H2354" t="s">
        <v>67</v>
      </c>
      <c r="I2354" t="s">
        <v>68</v>
      </c>
      <c r="J2354">
        <v>26</v>
      </c>
      <c r="K2354">
        <v>44993.01</v>
      </c>
      <c r="L2354">
        <v>1169818.26</v>
      </c>
      <c r="M2354">
        <v>0</v>
      </c>
      <c r="N2354">
        <v>0</v>
      </c>
      <c r="O2354">
        <v>1169818.26</v>
      </c>
      <c r="P2354" t="s">
        <v>73</v>
      </c>
      <c r="Q2354" t="s">
        <v>32</v>
      </c>
    </row>
    <row r="2355" spans="1:17" x14ac:dyDescent="0.25">
      <c r="A2355" t="s">
        <v>2472</v>
      </c>
      <c r="B2355" s="1">
        <v>46014</v>
      </c>
      <c r="C2355" t="s">
        <v>47</v>
      </c>
      <c r="D2355" t="s">
        <v>48</v>
      </c>
      <c r="E2355" t="s">
        <v>35</v>
      </c>
      <c r="F2355" t="s">
        <v>71</v>
      </c>
      <c r="G2355" t="s">
        <v>43</v>
      </c>
      <c r="H2355" t="s">
        <v>94</v>
      </c>
      <c r="I2355" t="s">
        <v>163</v>
      </c>
      <c r="J2355">
        <v>28</v>
      </c>
      <c r="K2355">
        <v>4850.3599999999997</v>
      </c>
      <c r="L2355">
        <v>135810.07999999999</v>
      </c>
      <c r="M2355">
        <v>22784.29</v>
      </c>
      <c r="N2355">
        <v>0</v>
      </c>
      <c r="O2355">
        <v>113025.79</v>
      </c>
      <c r="P2355" t="s">
        <v>25</v>
      </c>
      <c r="Q2355" t="s">
        <v>26</v>
      </c>
    </row>
    <row r="2356" spans="1:17" x14ac:dyDescent="0.25">
      <c r="A2356" t="s">
        <v>2473</v>
      </c>
      <c r="B2356" s="1">
        <v>46017</v>
      </c>
      <c r="C2356" t="s">
        <v>54</v>
      </c>
      <c r="D2356" t="s">
        <v>70</v>
      </c>
      <c r="E2356" t="s">
        <v>49</v>
      </c>
      <c r="F2356" t="s">
        <v>105</v>
      </c>
      <c r="G2356" t="s">
        <v>43</v>
      </c>
      <c r="H2356" t="s">
        <v>57</v>
      </c>
      <c r="I2356" t="s">
        <v>92</v>
      </c>
      <c r="J2356">
        <v>9</v>
      </c>
      <c r="K2356">
        <v>36298.76</v>
      </c>
      <c r="L2356">
        <v>326688.84000000003</v>
      </c>
      <c r="M2356">
        <v>0</v>
      </c>
      <c r="N2356">
        <v>0</v>
      </c>
      <c r="O2356">
        <v>326688.84000000003</v>
      </c>
      <c r="P2356" t="s">
        <v>25</v>
      </c>
      <c r="Q2356" t="s">
        <v>32</v>
      </c>
    </row>
    <row r="2357" spans="1:17" x14ac:dyDescent="0.25">
      <c r="A2357" t="s">
        <v>2474</v>
      </c>
      <c r="B2357" s="1">
        <v>45994</v>
      </c>
      <c r="C2357" t="s">
        <v>47</v>
      </c>
      <c r="D2357" t="s">
        <v>48</v>
      </c>
      <c r="E2357" t="s">
        <v>20</v>
      </c>
      <c r="F2357" t="s">
        <v>42</v>
      </c>
      <c r="G2357" t="s">
        <v>138</v>
      </c>
      <c r="H2357" t="s">
        <v>67</v>
      </c>
      <c r="I2357" t="s">
        <v>103</v>
      </c>
      <c r="J2357">
        <v>26</v>
      </c>
      <c r="K2357">
        <v>38965.75</v>
      </c>
      <c r="L2357">
        <v>1013109.5</v>
      </c>
      <c r="M2357">
        <v>0</v>
      </c>
      <c r="N2357">
        <v>186430.79</v>
      </c>
      <c r="O2357">
        <v>826678.71</v>
      </c>
      <c r="P2357" t="s">
        <v>25</v>
      </c>
      <c r="Q2357" t="s">
        <v>26</v>
      </c>
    </row>
    <row r="2358" spans="1:17" x14ac:dyDescent="0.25">
      <c r="A2358" t="s">
        <v>2475</v>
      </c>
      <c r="B2358" s="1">
        <v>45989</v>
      </c>
      <c r="C2358" t="s">
        <v>60</v>
      </c>
      <c r="D2358" t="s">
        <v>123</v>
      </c>
      <c r="E2358" t="s">
        <v>49</v>
      </c>
      <c r="F2358" t="s">
        <v>21</v>
      </c>
      <c r="G2358" t="s">
        <v>102</v>
      </c>
      <c r="H2358" t="s">
        <v>94</v>
      </c>
      <c r="I2358" t="s">
        <v>144</v>
      </c>
      <c r="J2358">
        <v>23</v>
      </c>
      <c r="K2358">
        <v>28184.67</v>
      </c>
      <c r="L2358">
        <v>648247.41</v>
      </c>
      <c r="M2358">
        <v>11555.46</v>
      </c>
      <c r="N2358">
        <v>0</v>
      </c>
      <c r="O2358">
        <v>636691.94999999995</v>
      </c>
      <c r="P2358" t="s">
        <v>25</v>
      </c>
      <c r="Q2358" t="s">
        <v>26</v>
      </c>
    </row>
    <row r="2359" spans="1:17" x14ac:dyDescent="0.25">
      <c r="A2359" t="s">
        <v>2476</v>
      </c>
      <c r="B2359" s="1">
        <v>46029</v>
      </c>
      <c r="C2359" t="s">
        <v>54</v>
      </c>
      <c r="D2359" t="s">
        <v>97</v>
      </c>
      <c r="E2359" t="s">
        <v>35</v>
      </c>
      <c r="F2359" t="s">
        <v>62</v>
      </c>
      <c r="G2359" t="s">
        <v>43</v>
      </c>
      <c r="H2359" t="s">
        <v>94</v>
      </c>
      <c r="I2359" t="s">
        <v>115</v>
      </c>
      <c r="J2359">
        <v>46</v>
      </c>
      <c r="K2359">
        <v>28115.040000000001</v>
      </c>
      <c r="L2359">
        <v>1293291.8400000001</v>
      </c>
      <c r="M2359">
        <v>206587.6</v>
      </c>
      <c r="N2359">
        <v>0</v>
      </c>
      <c r="O2359">
        <v>1086704.24</v>
      </c>
      <c r="P2359" t="s">
        <v>73</v>
      </c>
      <c r="Q2359" t="s">
        <v>32</v>
      </c>
    </row>
    <row r="2360" spans="1:17" x14ac:dyDescent="0.25">
      <c r="A2360" t="s">
        <v>2477</v>
      </c>
      <c r="B2360" s="1">
        <v>45983</v>
      </c>
      <c r="C2360" t="s">
        <v>79</v>
      </c>
      <c r="D2360" t="s">
        <v>80</v>
      </c>
      <c r="E2360" t="s">
        <v>49</v>
      </c>
      <c r="F2360" t="s">
        <v>84</v>
      </c>
      <c r="G2360" t="s">
        <v>66</v>
      </c>
      <c r="H2360" t="s">
        <v>57</v>
      </c>
      <c r="I2360" t="s">
        <v>92</v>
      </c>
      <c r="J2360">
        <v>28</v>
      </c>
      <c r="K2360">
        <v>24701.19</v>
      </c>
      <c r="L2360">
        <v>691633.32</v>
      </c>
      <c r="M2360">
        <v>0</v>
      </c>
      <c r="N2360">
        <v>0</v>
      </c>
      <c r="O2360">
        <v>691633.32</v>
      </c>
      <c r="P2360" t="s">
        <v>32</v>
      </c>
      <c r="Q2360" t="s">
        <v>26</v>
      </c>
    </row>
    <row r="2361" spans="1:17" x14ac:dyDescent="0.25">
      <c r="A2361" t="s">
        <v>2478</v>
      </c>
      <c r="B2361" s="1">
        <v>45974</v>
      </c>
      <c r="C2361" t="s">
        <v>54</v>
      </c>
      <c r="D2361" t="s">
        <v>97</v>
      </c>
      <c r="E2361" t="s">
        <v>49</v>
      </c>
      <c r="F2361" t="s">
        <v>71</v>
      </c>
      <c r="G2361" t="s">
        <v>37</v>
      </c>
      <c r="H2361" t="s">
        <v>57</v>
      </c>
      <c r="I2361" t="s">
        <v>92</v>
      </c>
      <c r="J2361">
        <v>32</v>
      </c>
      <c r="K2361">
        <v>5490.46</v>
      </c>
      <c r="L2361">
        <v>175694.72</v>
      </c>
      <c r="M2361">
        <v>0</v>
      </c>
      <c r="N2361">
        <v>24178.9</v>
      </c>
      <c r="O2361">
        <v>151515.82</v>
      </c>
      <c r="P2361" t="s">
        <v>31</v>
      </c>
      <c r="Q2361" t="s">
        <v>32</v>
      </c>
    </row>
    <row r="2362" spans="1:17" x14ac:dyDescent="0.25">
      <c r="A2362" t="s">
        <v>2479</v>
      </c>
      <c r="B2362" s="1">
        <v>46030</v>
      </c>
      <c r="C2362" t="s">
        <v>60</v>
      </c>
      <c r="D2362" t="s">
        <v>61</v>
      </c>
      <c r="E2362" t="s">
        <v>49</v>
      </c>
      <c r="F2362" t="s">
        <v>84</v>
      </c>
      <c r="G2362" t="s">
        <v>138</v>
      </c>
      <c r="H2362" t="s">
        <v>94</v>
      </c>
      <c r="I2362" t="s">
        <v>193</v>
      </c>
      <c r="J2362">
        <v>26</v>
      </c>
      <c r="K2362">
        <v>21336.1</v>
      </c>
      <c r="L2362">
        <v>554738.6</v>
      </c>
      <c r="M2362">
        <v>56762.22</v>
      </c>
      <c r="N2362">
        <v>120859.49</v>
      </c>
      <c r="O2362">
        <v>377116.89</v>
      </c>
      <c r="P2362" t="s">
        <v>25</v>
      </c>
      <c r="Q2362" t="s">
        <v>26</v>
      </c>
    </row>
    <row r="2363" spans="1:17" x14ac:dyDescent="0.25">
      <c r="A2363" t="s">
        <v>2480</v>
      </c>
      <c r="B2363" s="1">
        <v>46037</v>
      </c>
      <c r="C2363" t="s">
        <v>60</v>
      </c>
      <c r="D2363" t="s">
        <v>61</v>
      </c>
      <c r="E2363" t="s">
        <v>20</v>
      </c>
      <c r="F2363" t="s">
        <v>71</v>
      </c>
      <c r="G2363" t="s">
        <v>81</v>
      </c>
      <c r="H2363" t="s">
        <v>94</v>
      </c>
      <c r="I2363" t="s">
        <v>115</v>
      </c>
      <c r="J2363">
        <v>24</v>
      </c>
      <c r="K2363">
        <v>25608.71</v>
      </c>
      <c r="L2363">
        <v>614609.04</v>
      </c>
      <c r="M2363">
        <v>6298.8</v>
      </c>
      <c r="N2363">
        <v>0</v>
      </c>
      <c r="O2363">
        <v>608310.24</v>
      </c>
      <c r="P2363" t="s">
        <v>32</v>
      </c>
      <c r="Q2363" t="s">
        <v>26</v>
      </c>
    </row>
    <row r="2364" spans="1:17" x14ac:dyDescent="0.25">
      <c r="A2364" t="s">
        <v>2481</v>
      </c>
      <c r="B2364" s="1">
        <v>46040</v>
      </c>
      <c r="C2364" t="s">
        <v>47</v>
      </c>
      <c r="D2364" t="s">
        <v>48</v>
      </c>
      <c r="E2364" t="s">
        <v>20</v>
      </c>
      <c r="F2364" t="s">
        <v>50</v>
      </c>
      <c r="G2364" t="s">
        <v>56</v>
      </c>
      <c r="H2364" t="s">
        <v>38</v>
      </c>
      <c r="I2364" t="s">
        <v>82</v>
      </c>
      <c r="J2364">
        <v>25</v>
      </c>
      <c r="K2364">
        <v>21867.66</v>
      </c>
      <c r="L2364">
        <v>546691.5</v>
      </c>
      <c r="M2364">
        <v>33218.39</v>
      </c>
      <c r="N2364">
        <v>140029.12</v>
      </c>
      <c r="O2364">
        <v>373443.99</v>
      </c>
      <c r="P2364" t="s">
        <v>25</v>
      </c>
      <c r="Q2364" t="s">
        <v>26</v>
      </c>
    </row>
    <row r="2365" spans="1:17" x14ac:dyDescent="0.25">
      <c r="A2365" t="s">
        <v>2482</v>
      </c>
      <c r="B2365" s="1">
        <v>46027</v>
      </c>
      <c r="C2365" t="s">
        <v>60</v>
      </c>
      <c r="D2365" t="s">
        <v>123</v>
      </c>
      <c r="E2365" t="s">
        <v>49</v>
      </c>
      <c r="F2365" t="s">
        <v>42</v>
      </c>
      <c r="G2365" t="s">
        <v>140</v>
      </c>
      <c r="H2365" t="s">
        <v>57</v>
      </c>
      <c r="I2365" t="s">
        <v>58</v>
      </c>
      <c r="J2365">
        <v>3</v>
      </c>
      <c r="K2365">
        <v>46510.04</v>
      </c>
      <c r="L2365">
        <v>139530.12</v>
      </c>
      <c r="M2365">
        <v>26380.35</v>
      </c>
      <c r="N2365">
        <v>0</v>
      </c>
      <c r="O2365">
        <v>113149.77</v>
      </c>
      <c r="P2365" t="s">
        <v>31</v>
      </c>
      <c r="Q2365" t="s">
        <v>32</v>
      </c>
    </row>
    <row r="2366" spans="1:17" x14ac:dyDescent="0.25">
      <c r="A2366" t="s">
        <v>2483</v>
      </c>
      <c r="B2366" s="1">
        <v>45968</v>
      </c>
      <c r="C2366" t="s">
        <v>18</v>
      </c>
      <c r="D2366" t="s">
        <v>19</v>
      </c>
      <c r="E2366" t="s">
        <v>41</v>
      </c>
      <c r="F2366" t="s">
        <v>62</v>
      </c>
      <c r="G2366" t="s">
        <v>37</v>
      </c>
      <c r="H2366" t="s">
        <v>23</v>
      </c>
      <c r="I2366" t="s">
        <v>99</v>
      </c>
      <c r="J2366">
        <v>35</v>
      </c>
      <c r="K2366">
        <v>49720.67</v>
      </c>
      <c r="L2366">
        <v>1740223.45</v>
      </c>
      <c r="M2366">
        <v>130207.08</v>
      </c>
      <c r="N2366">
        <v>0</v>
      </c>
      <c r="O2366">
        <v>1610016.37</v>
      </c>
      <c r="P2366" t="s">
        <v>31</v>
      </c>
      <c r="Q2366" t="s">
        <v>32</v>
      </c>
    </row>
    <row r="2367" spans="1:17" x14ac:dyDescent="0.25">
      <c r="A2367" t="s">
        <v>2484</v>
      </c>
      <c r="B2367" s="1">
        <v>45969</v>
      </c>
      <c r="C2367" t="s">
        <v>60</v>
      </c>
      <c r="D2367" t="s">
        <v>61</v>
      </c>
      <c r="E2367" t="s">
        <v>41</v>
      </c>
      <c r="F2367" t="s">
        <v>50</v>
      </c>
      <c r="G2367" t="s">
        <v>56</v>
      </c>
      <c r="H2367" t="s">
        <v>67</v>
      </c>
      <c r="I2367" t="s">
        <v>170</v>
      </c>
      <c r="J2367">
        <v>24</v>
      </c>
      <c r="K2367">
        <v>25864.06</v>
      </c>
      <c r="L2367">
        <v>620737.43999999994</v>
      </c>
      <c r="M2367">
        <v>66133</v>
      </c>
      <c r="N2367">
        <v>0</v>
      </c>
      <c r="O2367">
        <v>554604.43999999994</v>
      </c>
      <c r="P2367" t="s">
        <v>31</v>
      </c>
      <c r="Q2367" t="s">
        <v>32</v>
      </c>
    </row>
    <row r="2368" spans="1:17" x14ac:dyDescent="0.25">
      <c r="A2368" t="s">
        <v>2485</v>
      </c>
      <c r="B2368" s="1">
        <v>46023</v>
      </c>
      <c r="C2368" t="s">
        <v>79</v>
      </c>
      <c r="D2368" t="s">
        <v>80</v>
      </c>
      <c r="E2368" t="s">
        <v>35</v>
      </c>
      <c r="F2368" t="s">
        <v>112</v>
      </c>
      <c r="G2368" t="s">
        <v>102</v>
      </c>
      <c r="H2368" t="s">
        <v>23</v>
      </c>
      <c r="I2368" t="s">
        <v>52</v>
      </c>
      <c r="J2368">
        <v>49</v>
      </c>
      <c r="K2368">
        <v>7647.31</v>
      </c>
      <c r="L2368">
        <v>374718.19</v>
      </c>
      <c r="M2368">
        <v>45442.92</v>
      </c>
      <c r="N2368">
        <v>41456.21</v>
      </c>
      <c r="O2368">
        <v>287819.06</v>
      </c>
      <c r="P2368" t="s">
        <v>25</v>
      </c>
      <c r="Q2368" t="s">
        <v>26</v>
      </c>
    </row>
    <row r="2369" spans="1:17" x14ac:dyDescent="0.25">
      <c r="A2369" t="s">
        <v>2486</v>
      </c>
      <c r="B2369" s="1">
        <v>46041</v>
      </c>
      <c r="C2369" t="s">
        <v>47</v>
      </c>
      <c r="D2369" t="s">
        <v>127</v>
      </c>
      <c r="E2369" t="s">
        <v>35</v>
      </c>
      <c r="F2369" t="s">
        <v>42</v>
      </c>
      <c r="G2369" t="s">
        <v>138</v>
      </c>
      <c r="H2369" t="s">
        <v>94</v>
      </c>
      <c r="I2369" t="s">
        <v>115</v>
      </c>
      <c r="J2369">
        <v>17</v>
      </c>
      <c r="K2369">
        <v>33276.65</v>
      </c>
      <c r="L2369">
        <v>565703.05000000005</v>
      </c>
      <c r="M2369">
        <v>0</v>
      </c>
      <c r="N2369">
        <v>0</v>
      </c>
      <c r="O2369">
        <v>565703.05000000005</v>
      </c>
      <c r="P2369" t="s">
        <v>73</v>
      </c>
      <c r="Q2369" t="s">
        <v>32</v>
      </c>
    </row>
    <row r="2370" spans="1:17" x14ac:dyDescent="0.25">
      <c r="A2370" t="s">
        <v>2487</v>
      </c>
      <c r="B2370" s="1">
        <v>45997</v>
      </c>
      <c r="C2370" t="s">
        <v>79</v>
      </c>
      <c r="D2370" t="s">
        <v>107</v>
      </c>
      <c r="E2370" t="s">
        <v>49</v>
      </c>
      <c r="F2370" t="s">
        <v>137</v>
      </c>
      <c r="G2370" t="s">
        <v>98</v>
      </c>
      <c r="H2370" t="s">
        <v>38</v>
      </c>
      <c r="I2370" t="s">
        <v>175</v>
      </c>
      <c r="J2370">
        <v>2</v>
      </c>
      <c r="K2370">
        <v>7446.11</v>
      </c>
      <c r="L2370">
        <v>14892.22</v>
      </c>
      <c r="M2370">
        <v>0</v>
      </c>
      <c r="N2370">
        <v>0</v>
      </c>
      <c r="O2370">
        <v>14892.22</v>
      </c>
      <c r="P2370" t="s">
        <v>31</v>
      </c>
      <c r="Q2370" t="s">
        <v>32</v>
      </c>
    </row>
    <row r="2371" spans="1:17" x14ac:dyDescent="0.25">
      <c r="A2371" t="s">
        <v>2488</v>
      </c>
      <c r="B2371" s="1">
        <v>45967</v>
      </c>
      <c r="C2371" t="s">
        <v>79</v>
      </c>
      <c r="D2371" t="s">
        <v>101</v>
      </c>
      <c r="E2371" t="s">
        <v>41</v>
      </c>
      <c r="F2371" t="s">
        <v>42</v>
      </c>
      <c r="G2371" t="s">
        <v>138</v>
      </c>
      <c r="H2371" t="s">
        <v>44</v>
      </c>
      <c r="I2371" t="s">
        <v>152</v>
      </c>
      <c r="J2371">
        <v>32</v>
      </c>
      <c r="K2371">
        <v>28355.56</v>
      </c>
      <c r="L2371">
        <v>907377.92</v>
      </c>
      <c r="M2371">
        <v>142245.93</v>
      </c>
      <c r="N2371">
        <v>0</v>
      </c>
      <c r="O2371">
        <v>765131.99</v>
      </c>
      <c r="P2371" t="s">
        <v>73</v>
      </c>
      <c r="Q2371" t="s">
        <v>32</v>
      </c>
    </row>
    <row r="2372" spans="1:17" x14ac:dyDescent="0.25">
      <c r="A2372" t="s">
        <v>2489</v>
      </c>
      <c r="B2372" s="1">
        <v>46026</v>
      </c>
      <c r="C2372" t="s">
        <v>79</v>
      </c>
      <c r="D2372" t="s">
        <v>101</v>
      </c>
      <c r="E2372" t="s">
        <v>20</v>
      </c>
      <c r="F2372" t="s">
        <v>105</v>
      </c>
      <c r="G2372" t="s">
        <v>66</v>
      </c>
      <c r="H2372" t="s">
        <v>23</v>
      </c>
      <c r="I2372" t="s">
        <v>99</v>
      </c>
      <c r="J2372">
        <v>26</v>
      </c>
      <c r="K2372">
        <v>42939.71</v>
      </c>
      <c r="L2372">
        <v>1116432.46</v>
      </c>
      <c r="M2372">
        <v>0</v>
      </c>
      <c r="N2372">
        <v>0</v>
      </c>
      <c r="O2372">
        <v>1116432.46</v>
      </c>
      <c r="P2372" t="s">
        <v>73</v>
      </c>
      <c r="Q2372" t="s">
        <v>26</v>
      </c>
    </row>
    <row r="2373" spans="1:17" x14ac:dyDescent="0.25">
      <c r="A2373" t="s">
        <v>2490</v>
      </c>
      <c r="B2373" s="1">
        <v>45983</v>
      </c>
      <c r="C2373" t="s">
        <v>18</v>
      </c>
      <c r="D2373" t="s">
        <v>19</v>
      </c>
      <c r="E2373" t="s">
        <v>49</v>
      </c>
      <c r="F2373" t="s">
        <v>21</v>
      </c>
      <c r="G2373" t="s">
        <v>56</v>
      </c>
      <c r="H2373" t="s">
        <v>38</v>
      </c>
      <c r="I2373" t="s">
        <v>175</v>
      </c>
      <c r="J2373">
        <v>22</v>
      </c>
      <c r="K2373">
        <v>40835.78</v>
      </c>
      <c r="L2373">
        <v>898387.16</v>
      </c>
      <c r="M2373">
        <v>84591.08</v>
      </c>
      <c r="N2373">
        <v>0</v>
      </c>
      <c r="O2373">
        <v>813796.08</v>
      </c>
      <c r="P2373" t="s">
        <v>31</v>
      </c>
      <c r="Q2373" t="s">
        <v>32</v>
      </c>
    </row>
    <row r="2374" spans="1:17" x14ac:dyDescent="0.25">
      <c r="A2374" t="s">
        <v>2491</v>
      </c>
      <c r="B2374" s="1">
        <v>45981</v>
      </c>
      <c r="C2374" t="s">
        <v>60</v>
      </c>
      <c r="D2374" t="s">
        <v>65</v>
      </c>
      <c r="E2374" t="s">
        <v>35</v>
      </c>
      <c r="F2374" t="s">
        <v>42</v>
      </c>
      <c r="G2374" t="s">
        <v>51</v>
      </c>
      <c r="H2374" t="s">
        <v>67</v>
      </c>
      <c r="I2374" t="s">
        <v>154</v>
      </c>
      <c r="J2374">
        <v>32</v>
      </c>
      <c r="K2374">
        <v>29730.26</v>
      </c>
      <c r="L2374">
        <v>951368.32</v>
      </c>
      <c r="M2374">
        <v>48892.54</v>
      </c>
      <c r="N2374">
        <v>0</v>
      </c>
      <c r="O2374">
        <v>902475.78</v>
      </c>
      <c r="P2374" t="s">
        <v>73</v>
      </c>
      <c r="Q2374" t="s">
        <v>26</v>
      </c>
    </row>
    <row r="2375" spans="1:17" x14ac:dyDescent="0.25">
      <c r="A2375" t="s">
        <v>2492</v>
      </c>
      <c r="B2375" s="1">
        <v>46041</v>
      </c>
      <c r="C2375" t="s">
        <v>54</v>
      </c>
      <c r="D2375" t="s">
        <v>133</v>
      </c>
      <c r="E2375" t="s">
        <v>49</v>
      </c>
      <c r="F2375" t="s">
        <v>50</v>
      </c>
      <c r="G2375" t="s">
        <v>37</v>
      </c>
      <c r="H2375" t="s">
        <v>23</v>
      </c>
      <c r="I2375" t="s">
        <v>131</v>
      </c>
      <c r="J2375">
        <v>30</v>
      </c>
      <c r="K2375">
        <v>43054.7</v>
      </c>
      <c r="L2375">
        <v>1291641</v>
      </c>
      <c r="M2375">
        <v>0</v>
      </c>
      <c r="N2375">
        <v>0</v>
      </c>
      <c r="O2375">
        <v>1291641</v>
      </c>
      <c r="P2375" t="s">
        <v>73</v>
      </c>
      <c r="Q2375" t="s">
        <v>26</v>
      </c>
    </row>
    <row r="2376" spans="1:17" x14ac:dyDescent="0.25">
      <c r="A2376" t="s">
        <v>2493</v>
      </c>
      <c r="B2376" s="1">
        <v>45962</v>
      </c>
      <c r="C2376" t="s">
        <v>60</v>
      </c>
      <c r="D2376" t="s">
        <v>123</v>
      </c>
      <c r="E2376" t="s">
        <v>49</v>
      </c>
      <c r="F2376" t="s">
        <v>42</v>
      </c>
      <c r="G2376" t="s">
        <v>56</v>
      </c>
      <c r="H2376" t="s">
        <v>23</v>
      </c>
      <c r="I2376" t="s">
        <v>52</v>
      </c>
      <c r="J2376">
        <v>47</v>
      </c>
      <c r="K2376">
        <v>39682.400000000001</v>
      </c>
      <c r="L2376">
        <v>1865072.8</v>
      </c>
      <c r="M2376">
        <v>0</v>
      </c>
      <c r="N2376">
        <v>0</v>
      </c>
      <c r="O2376">
        <v>1865072.8</v>
      </c>
      <c r="P2376" t="s">
        <v>73</v>
      </c>
      <c r="Q2376" t="s">
        <v>32</v>
      </c>
    </row>
    <row r="2377" spans="1:17" x14ac:dyDescent="0.25">
      <c r="A2377" t="s">
        <v>2494</v>
      </c>
      <c r="B2377" s="1">
        <v>46003</v>
      </c>
      <c r="C2377" t="s">
        <v>18</v>
      </c>
      <c r="D2377" t="s">
        <v>19</v>
      </c>
      <c r="E2377" t="s">
        <v>49</v>
      </c>
      <c r="F2377" t="s">
        <v>112</v>
      </c>
      <c r="G2377" t="s">
        <v>140</v>
      </c>
      <c r="H2377" t="s">
        <v>23</v>
      </c>
      <c r="I2377" t="s">
        <v>52</v>
      </c>
      <c r="J2377">
        <v>47</v>
      </c>
      <c r="K2377">
        <v>40910.79</v>
      </c>
      <c r="L2377">
        <v>1922807.13</v>
      </c>
      <c r="M2377">
        <v>0</v>
      </c>
      <c r="N2377">
        <v>0</v>
      </c>
      <c r="O2377">
        <v>1922807.13</v>
      </c>
      <c r="P2377" t="s">
        <v>32</v>
      </c>
      <c r="Q2377" t="s">
        <v>32</v>
      </c>
    </row>
    <row r="2378" spans="1:17" x14ac:dyDescent="0.25">
      <c r="A2378" t="s">
        <v>2495</v>
      </c>
      <c r="B2378" s="1">
        <v>45984</v>
      </c>
      <c r="C2378" t="s">
        <v>47</v>
      </c>
      <c r="D2378" t="s">
        <v>88</v>
      </c>
      <c r="E2378" t="s">
        <v>20</v>
      </c>
      <c r="F2378" t="s">
        <v>36</v>
      </c>
      <c r="G2378" t="s">
        <v>85</v>
      </c>
      <c r="H2378" t="s">
        <v>44</v>
      </c>
      <c r="I2378" t="s">
        <v>141</v>
      </c>
      <c r="J2378">
        <v>50</v>
      </c>
      <c r="K2378">
        <v>23829.11</v>
      </c>
      <c r="L2378">
        <v>1191455.5</v>
      </c>
      <c r="M2378">
        <v>0</v>
      </c>
      <c r="N2378">
        <v>0</v>
      </c>
      <c r="O2378">
        <v>1191455.5</v>
      </c>
      <c r="P2378" t="s">
        <v>31</v>
      </c>
      <c r="Q2378" t="s">
        <v>32</v>
      </c>
    </row>
    <row r="2379" spans="1:17" x14ac:dyDescent="0.25">
      <c r="A2379" t="s">
        <v>2496</v>
      </c>
      <c r="B2379" s="1">
        <v>45972</v>
      </c>
      <c r="C2379" t="s">
        <v>54</v>
      </c>
      <c r="D2379" t="s">
        <v>133</v>
      </c>
      <c r="E2379" t="s">
        <v>41</v>
      </c>
      <c r="F2379" t="s">
        <v>112</v>
      </c>
      <c r="G2379" t="s">
        <v>43</v>
      </c>
      <c r="H2379" t="s">
        <v>57</v>
      </c>
      <c r="I2379" t="s">
        <v>58</v>
      </c>
      <c r="J2379">
        <v>30</v>
      </c>
      <c r="K2379">
        <v>34225.15</v>
      </c>
      <c r="L2379">
        <v>1026754.5</v>
      </c>
      <c r="M2379">
        <v>168433.98</v>
      </c>
      <c r="N2379">
        <v>0</v>
      </c>
      <c r="O2379">
        <v>858320.52</v>
      </c>
      <c r="P2379" t="s">
        <v>25</v>
      </c>
      <c r="Q2379" t="s">
        <v>26</v>
      </c>
    </row>
    <row r="2380" spans="1:17" x14ac:dyDescent="0.25">
      <c r="A2380" t="s">
        <v>2497</v>
      </c>
      <c r="B2380" s="1">
        <v>46016</v>
      </c>
      <c r="C2380" t="s">
        <v>60</v>
      </c>
      <c r="D2380" t="s">
        <v>65</v>
      </c>
      <c r="E2380" t="s">
        <v>41</v>
      </c>
      <c r="F2380" t="s">
        <v>105</v>
      </c>
      <c r="G2380" t="s">
        <v>140</v>
      </c>
      <c r="H2380" t="s">
        <v>23</v>
      </c>
      <c r="I2380" t="s">
        <v>52</v>
      </c>
      <c r="J2380">
        <v>1</v>
      </c>
      <c r="K2380">
        <v>46678.36</v>
      </c>
      <c r="L2380">
        <v>46678.36</v>
      </c>
      <c r="M2380">
        <v>8919.9500000000007</v>
      </c>
      <c r="N2380">
        <v>0</v>
      </c>
      <c r="O2380">
        <v>37758.410000000003</v>
      </c>
      <c r="P2380" t="s">
        <v>73</v>
      </c>
      <c r="Q2380" t="s">
        <v>26</v>
      </c>
    </row>
    <row r="2381" spans="1:17" x14ac:dyDescent="0.25">
      <c r="A2381" t="s">
        <v>2498</v>
      </c>
      <c r="B2381" s="1">
        <v>46011</v>
      </c>
      <c r="C2381" t="s">
        <v>79</v>
      </c>
      <c r="D2381" t="s">
        <v>107</v>
      </c>
      <c r="E2381" t="s">
        <v>41</v>
      </c>
      <c r="F2381" t="s">
        <v>42</v>
      </c>
      <c r="G2381" t="s">
        <v>56</v>
      </c>
      <c r="H2381" t="s">
        <v>57</v>
      </c>
      <c r="I2381" t="s">
        <v>118</v>
      </c>
      <c r="J2381">
        <v>8</v>
      </c>
      <c r="K2381">
        <v>36723.089999999997</v>
      </c>
      <c r="L2381">
        <v>293784.71999999997</v>
      </c>
      <c r="M2381">
        <v>0</v>
      </c>
      <c r="N2381">
        <v>0</v>
      </c>
      <c r="O2381">
        <v>293784.71999999997</v>
      </c>
      <c r="P2381" t="s">
        <v>32</v>
      </c>
      <c r="Q2381" t="s">
        <v>32</v>
      </c>
    </row>
    <row r="2382" spans="1:17" x14ac:dyDescent="0.25">
      <c r="A2382" t="s">
        <v>2499</v>
      </c>
      <c r="B2382" s="1">
        <v>46025</v>
      </c>
      <c r="C2382" t="s">
        <v>79</v>
      </c>
      <c r="D2382" t="s">
        <v>80</v>
      </c>
      <c r="E2382" t="s">
        <v>49</v>
      </c>
      <c r="F2382" t="s">
        <v>105</v>
      </c>
      <c r="G2382" t="s">
        <v>29</v>
      </c>
      <c r="H2382" t="s">
        <v>44</v>
      </c>
      <c r="I2382" t="s">
        <v>281</v>
      </c>
      <c r="J2382">
        <v>19</v>
      </c>
      <c r="K2382">
        <v>5737.3</v>
      </c>
      <c r="L2382">
        <v>109008.7</v>
      </c>
      <c r="M2382">
        <v>14525.18</v>
      </c>
      <c r="N2382">
        <v>0</v>
      </c>
      <c r="O2382">
        <v>94483.520000000004</v>
      </c>
      <c r="P2382" t="s">
        <v>25</v>
      </c>
      <c r="Q2382" t="s">
        <v>26</v>
      </c>
    </row>
    <row r="2383" spans="1:17" x14ac:dyDescent="0.25">
      <c r="A2383" t="s">
        <v>2500</v>
      </c>
      <c r="B2383" s="1">
        <v>45989</v>
      </c>
      <c r="C2383" t="s">
        <v>47</v>
      </c>
      <c r="D2383" t="s">
        <v>48</v>
      </c>
      <c r="E2383" t="s">
        <v>41</v>
      </c>
      <c r="F2383" t="s">
        <v>105</v>
      </c>
      <c r="G2383" t="s">
        <v>56</v>
      </c>
      <c r="H2383" t="s">
        <v>38</v>
      </c>
      <c r="I2383" t="s">
        <v>108</v>
      </c>
      <c r="J2383">
        <v>5</v>
      </c>
      <c r="K2383">
        <v>6214.75</v>
      </c>
      <c r="L2383">
        <v>31073.75</v>
      </c>
      <c r="M2383">
        <v>0</v>
      </c>
      <c r="N2383">
        <v>0</v>
      </c>
      <c r="O2383">
        <v>31073.75</v>
      </c>
      <c r="P2383" t="s">
        <v>32</v>
      </c>
      <c r="Q2383" t="s">
        <v>32</v>
      </c>
    </row>
    <row r="2384" spans="1:17" x14ac:dyDescent="0.25">
      <c r="A2384" t="s">
        <v>2501</v>
      </c>
      <c r="B2384" s="1">
        <v>46021</v>
      </c>
      <c r="C2384" t="s">
        <v>18</v>
      </c>
      <c r="D2384" t="s">
        <v>34</v>
      </c>
      <c r="E2384" t="s">
        <v>49</v>
      </c>
      <c r="F2384" t="s">
        <v>21</v>
      </c>
      <c r="G2384" t="s">
        <v>81</v>
      </c>
      <c r="H2384" t="s">
        <v>94</v>
      </c>
      <c r="I2384" t="s">
        <v>193</v>
      </c>
      <c r="J2384">
        <v>38</v>
      </c>
      <c r="K2384">
        <v>39611.269999999997</v>
      </c>
      <c r="L2384">
        <v>1505228.26</v>
      </c>
      <c r="M2384">
        <v>0</v>
      </c>
      <c r="N2384">
        <v>0</v>
      </c>
      <c r="O2384">
        <v>1505228.26</v>
      </c>
      <c r="P2384" t="s">
        <v>73</v>
      </c>
      <c r="Q2384" t="s">
        <v>26</v>
      </c>
    </row>
    <row r="2385" spans="1:17" x14ac:dyDescent="0.25">
      <c r="A2385" t="s">
        <v>2502</v>
      </c>
      <c r="B2385" s="1">
        <v>45961</v>
      </c>
      <c r="C2385" t="s">
        <v>79</v>
      </c>
      <c r="D2385" t="s">
        <v>107</v>
      </c>
      <c r="E2385" t="s">
        <v>49</v>
      </c>
      <c r="F2385" t="s">
        <v>137</v>
      </c>
      <c r="G2385" t="s">
        <v>51</v>
      </c>
      <c r="H2385" t="s">
        <v>38</v>
      </c>
      <c r="I2385" t="s">
        <v>175</v>
      </c>
      <c r="J2385">
        <v>29</v>
      </c>
      <c r="K2385">
        <v>36584.949999999997</v>
      </c>
      <c r="L2385">
        <v>1060963.55</v>
      </c>
      <c r="M2385">
        <v>0</v>
      </c>
      <c r="N2385">
        <v>0</v>
      </c>
      <c r="O2385">
        <v>1060963.55</v>
      </c>
      <c r="P2385" t="s">
        <v>25</v>
      </c>
      <c r="Q2385" t="s">
        <v>26</v>
      </c>
    </row>
    <row r="2386" spans="1:17" x14ac:dyDescent="0.25">
      <c r="A2386" t="s">
        <v>2503</v>
      </c>
      <c r="B2386" s="1">
        <v>46036</v>
      </c>
      <c r="C2386" t="s">
        <v>60</v>
      </c>
      <c r="D2386" t="s">
        <v>123</v>
      </c>
      <c r="E2386" t="s">
        <v>49</v>
      </c>
      <c r="F2386" t="s">
        <v>21</v>
      </c>
      <c r="G2386" t="s">
        <v>138</v>
      </c>
      <c r="H2386" t="s">
        <v>94</v>
      </c>
      <c r="I2386" t="s">
        <v>144</v>
      </c>
      <c r="J2386">
        <v>26</v>
      </c>
      <c r="K2386">
        <v>15934.66</v>
      </c>
      <c r="L2386">
        <v>414301.16</v>
      </c>
      <c r="M2386">
        <v>54541.05</v>
      </c>
      <c r="N2386">
        <v>0</v>
      </c>
      <c r="O2386">
        <v>359760.11</v>
      </c>
      <c r="P2386" t="s">
        <v>31</v>
      </c>
      <c r="Q2386" t="s">
        <v>32</v>
      </c>
    </row>
    <row r="2387" spans="1:17" x14ac:dyDescent="0.25">
      <c r="A2387" t="s">
        <v>2504</v>
      </c>
      <c r="B2387" s="1">
        <v>45954</v>
      </c>
      <c r="C2387" t="s">
        <v>54</v>
      </c>
      <c r="D2387" t="s">
        <v>70</v>
      </c>
      <c r="E2387" t="s">
        <v>41</v>
      </c>
      <c r="F2387" t="s">
        <v>42</v>
      </c>
      <c r="G2387" t="s">
        <v>138</v>
      </c>
      <c r="H2387" t="s">
        <v>67</v>
      </c>
      <c r="I2387" t="s">
        <v>68</v>
      </c>
      <c r="J2387">
        <v>20</v>
      </c>
      <c r="K2387">
        <v>10435.879999999999</v>
      </c>
      <c r="L2387">
        <v>208717.6</v>
      </c>
      <c r="M2387">
        <v>41335.06</v>
      </c>
      <c r="N2387">
        <v>0</v>
      </c>
      <c r="O2387">
        <v>167382.54</v>
      </c>
      <c r="P2387" t="s">
        <v>31</v>
      </c>
      <c r="Q2387" t="s">
        <v>32</v>
      </c>
    </row>
    <row r="2388" spans="1:17" x14ac:dyDescent="0.25">
      <c r="A2388" t="s">
        <v>2505</v>
      </c>
      <c r="B2388" s="1">
        <v>46012</v>
      </c>
      <c r="C2388" t="s">
        <v>47</v>
      </c>
      <c r="D2388" t="s">
        <v>88</v>
      </c>
      <c r="E2388" t="s">
        <v>41</v>
      </c>
      <c r="F2388" t="s">
        <v>105</v>
      </c>
      <c r="G2388" t="s">
        <v>43</v>
      </c>
      <c r="H2388" t="s">
        <v>38</v>
      </c>
      <c r="I2388" t="s">
        <v>82</v>
      </c>
      <c r="J2388">
        <v>19</v>
      </c>
      <c r="K2388">
        <v>40895.089999999997</v>
      </c>
      <c r="L2388">
        <v>777006.71</v>
      </c>
      <c r="M2388">
        <v>0</v>
      </c>
      <c r="N2388">
        <v>0</v>
      </c>
      <c r="O2388">
        <v>777006.71</v>
      </c>
      <c r="P2388" t="s">
        <v>31</v>
      </c>
      <c r="Q2388" t="s">
        <v>32</v>
      </c>
    </row>
    <row r="2389" spans="1:17" x14ac:dyDescent="0.25">
      <c r="A2389" t="s">
        <v>2506</v>
      </c>
      <c r="B2389" s="1">
        <v>45998</v>
      </c>
      <c r="C2389" t="s">
        <v>60</v>
      </c>
      <c r="D2389" t="s">
        <v>151</v>
      </c>
      <c r="E2389" t="s">
        <v>49</v>
      </c>
      <c r="F2389" t="s">
        <v>71</v>
      </c>
      <c r="G2389" t="s">
        <v>85</v>
      </c>
      <c r="H2389" t="s">
        <v>44</v>
      </c>
      <c r="I2389" t="s">
        <v>281</v>
      </c>
      <c r="J2389">
        <v>11</v>
      </c>
      <c r="K2389">
        <v>17420.36</v>
      </c>
      <c r="L2389">
        <v>191623.96</v>
      </c>
      <c r="M2389">
        <v>17425.29</v>
      </c>
      <c r="N2389">
        <v>0</v>
      </c>
      <c r="O2389">
        <v>174198.67</v>
      </c>
      <c r="P2389" t="s">
        <v>25</v>
      </c>
      <c r="Q2389" t="s">
        <v>26</v>
      </c>
    </row>
    <row r="2390" spans="1:17" x14ac:dyDescent="0.25">
      <c r="A2390" t="s">
        <v>2507</v>
      </c>
      <c r="B2390" s="1">
        <v>46033</v>
      </c>
      <c r="C2390" t="s">
        <v>18</v>
      </c>
      <c r="D2390" t="s">
        <v>75</v>
      </c>
      <c r="E2390" t="s">
        <v>35</v>
      </c>
      <c r="F2390" t="s">
        <v>84</v>
      </c>
      <c r="G2390" t="s">
        <v>85</v>
      </c>
      <c r="H2390" t="s">
        <v>94</v>
      </c>
      <c r="I2390" t="s">
        <v>95</v>
      </c>
      <c r="J2390">
        <v>34</v>
      </c>
      <c r="K2390">
        <v>25434.41</v>
      </c>
      <c r="L2390">
        <v>864769.94</v>
      </c>
      <c r="M2390">
        <v>44687.91</v>
      </c>
      <c r="N2390">
        <v>0</v>
      </c>
      <c r="O2390">
        <v>820082.03</v>
      </c>
      <c r="P2390" t="s">
        <v>32</v>
      </c>
      <c r="Q2390" t="s">
        <v>26</v>
      </c>
    </row>
    <row r="2391" spans="1:17" x14ac:dyDescent="0.25">
      <c r="A2391" t="s">
        <v>2508</v>
      </c>
      <c r="B2391" s="1">
        <v>46015</v>
      </c>
      <c r="C2391" t="s">
        <v>79</v>
      </c>
      <c r="D2391" t="s">
        <v>91</v>
      </c>
      <c r="E2391" t="s">
        <v>35</v>
      </c>
      <c r="F2391" t="s">
        <v>112</v>
      </c>
      <c r="G2391" t="s">
        <v>138</v>
      </c>
      <c r="H2391" t="s">
        <v>67</v>
      </c>
      <c r="I2391" t="s">
        <v>77</v>
      </c>
      <c r="J2391">
        <v>34</v>
      </c>
      <c r="K2391">
        <v>49896.57</v>
      </c>
      <c r="L2391">
        <v>1696483.38</v>
      </c>
      <c r="M2391">
        <v>132171.35999999999</v>
      </c>
      <c r="N2391">
        <v>282618.69</v>
      </c>
      <c r="O2391">
        <v>1281693.33</v>
      </c>
      <c r="P2391" t="s">
        <v>25</v>
      </c>
      <c r="Q2391" t="s">
        <v>26</v>
      </c>
    </row>
    <row r="2392" spans="1:17" x14ac:dyDescent="0.25">
      <c r="A2392" t="s">
        <v>2509</v>
      </c>
      <c r="B2392" s="1">
        <v>46005</v>
      </c>
      <c r="C2392" t="s">
        <v>60</v>
      </c>
      <c r="D2392" t="s">
        <v>123</v>
      </c>
      <c r="E2392" t="s">
        <v>49</v>
      </c>
      <c r="F2392" t="s">
        <v>105</v>
      </c>
      <c r="G2392" t="s">
        <v>22</v>
      </c>
      <c r="H2392" t="s">
        <v>38</v>
      </c>
      <c r="I2392" t="s">
        <v>39</v>
      </c>
      <c r="J2392">
        <v>22</v>
      </c>
      <c r="K2392">
        <v>36498.980000000003</v>
      </c>
      <c r="L2392">
        <v>802977.56</v>
      </c>
      <c r="M2392">
        <v>0</v>
      </c>
      <c r="N2392">
        <v>0</v>
      </c>
      <c r="O2392">
        <v>802977.56</v>
      </c>
      <c r="P2392" t="s">
        <v>31</v>
      </c>
      <c r="Q2392" t="s">
        <v>32</v>
      </c>
    </row>
    <row r="2393" spans="1:17" x14ac:dyDescent="0.25">
      <c r="A2393" t="s">
        <v>2510</v>
      </c>
      <c r="B2393" s="1">
        <v>45965</v>
      </c>
      <c r="C2393" t="s">
        <v>47</v>
      </c>
      <c r="D2393" t="s">
        <v>114</v>
      </c>
      <c r="E2393" t="s">
        <v>41</v>
      </c>
      <c r="F2393" t="s">
        <v>36</v>
      </c>
      <c r="G2393" t="s">
        <v>102</v>
      </c>
      <c r="H2393" t="s">
        <v>38</v>
      </c>
      <c r="I2393" t="s">
        <v>175</v>
      </c>
      <c r="J2393">
        <v>3</v>
      </c>
      <c r="K2393">
        <v>48624.75</v>
      </c>
      <c r="L2393">
        <v>145874.25</v>
      </c>
      <c r="M2393">
        <v>0</v>
      </c>
      <c r="N2393">
        <v>0</v>
      </c>
      <c r="O2393">
        <v>145874.25</v>
      </c>
      <c r="P2393" t="s">
        <v>25</v>
      </c>
      <c r="Q2393" t="s">
        <v>26</v>
      </c>
    </row>
    <row r="2394" spans="1:17" x14ac:dyDescent="0.25">
      <c r="A2394" t="s">
        <v>2511</v>
      </c>
      <c r="B2394" s="1">
        <v>46032</v>
      </c>
      <c r="C2394" t="s">
        <v>79</v>
      </c>
      <c r="D2394" t="s">
        <v>107</v>
      </c>
      <c r="E2394" t="s">
        <v>35</v>
      </c>
      <c r="F2394" t="s">
        <v>36</v>
      </c>
      <c r="G2394" t="s">
        <v>85</v>
      </c>
      <c r="H2394" t="s">
        <v>57</v>
      </c>
      <c r="I2394" t="s">
        <v>58</v>
      </c>
      <c r="J2394">
        <v>12</v>
      </c>
      <c r="K2394">
        <v>11920.02</v>
      </c>
      <c r="L2394">
        <v>143040.24</v>
      </c>
      <c r="M2394">
        <v>13348.4</v>
      </c>
      <c r="N2394">
        <v>0</v>
      </c>
      <c r="O2394">
        <v>129691.84</v>
      </c>
      <c r="P2394" t="s">
        <v>73</v>
      </c>
      <c r="Q2394" t="s">
        <v>32</v>
      </c>
    </row>
    <row r="2395" spans="1:17" x14ac:dyDescent="0.25">
      <c r="A2395" t="s">
        <v>2512</v>
      </c>
      <c r="B2395" s="1">
        <v>45967</v>
      </c>
      <c r="C2395" t="s">
        <v>54</v>
      </c>
      <c r="D2395" t="s">
        <v>55</v>
      </c>
      <c r="E2395" t="s">
        <v>35</v>
      </c>
      <c r="F2395" t="s">
        <v>50</v>
      </c>
      <c r="G2395" t="s">
        <v>37</v>
      </c>
      <c r="H2395" t="s">
        <v>38</v>
      </c>
      <c r="I2395" t="s">
        <v>39</v>
      </c>
      <c r="J2395">
        <v>32</v>
      </c>
      <c r="K2395">
        <v>16838.849999999999</v>
      </c>
      <c r="L2395">
        <v>538843.19999999995</v>
      </c>
      <c r="M2395">
        <v>82714.080000000002</v>
      </c>
      <c r="N2395">
        <v>0</v>
      </c>
      <c r="O2395">
        <v>456129.12</v>
      </c>
      <c r="P2395" t="s">
        <v>31</v>
      </c>
      <c r="Q2395" t="s">
        <v>32</v>
      </c>
    </row>
    <row r="2396" spans="1:17" x14ac:dyDescent="0.25">
      <c r="A2396" t="s">
        <v>2513</v>
      </c>
      <c r="B2396" s="1">
        <v>46024</v>
      </c>
      <c r="C2396" t="s">
        <v>79</v>
      </c>
      <c r="D2396" t="s">
        <v>107</v>
      </c>
      <c r="E2396" t="s">
        <v>20</v>
      </c>
      <c r="F2396" t="s">
        <v>112</v>
      </c>
      <c r="G2396" t="s">
        <v>51</v>
      </c>
      <c r="H2396" t="s">
        <v>23</v>
      </c>
      <c r="I2396" t="s">
        <v>99</v>
      </c>
      <c r="J2396">
        <v>22</v>
      </c>
      <c r="K2396">
        <v>36292.129999999997</v>
      </c>
      <c r="L2396">
        <v>798426.86</v>
      </c>
      <c r="M2396">
        <v>147341.37</v>
      </c>
      <c r="N2396">
        <v>0</v>
      </c>
      <c r="O2396">
        <v>651085.49</v>
      </c>
      <c r="P2396" t="s">
        <v>73</v>
      </c>
      <c r="Q2396" t="s">
        <v>26</v>
      </c>
    </row>
    <row r="2397" spans="1:17" x14ac:dyDescent="0.25">
      <c r="A2397" t="s">
        <v>2514</v>
      </c>
      <c r="B2397" s="1">
        <v>45971</v>
      </c>
      <c r="C2397" t="s">
        <v>18</v>
      </c>
      <c r="D2397" t="s">
        <v>28</v>
      </c>
      <c r="E2397" t="s">
        <v>49</v>
      </c>
      <c r="F2397" t="s">
        <v>71</v>
      </c>
      <c r="G2397" t="s">
        <v>29</v>
      </c>
      <c r="H2397" t="s">
        <v>44</v>
      </c>
      <c r="I2397" t="s">
        <v>135</v>
      </c>
      <c r="J2397">
        <v>4</v>
      </c>
      <c r="K2397">
        <v>19575.68</v>
      </c>
      <c r="L2397">
        <v>78302.720000000001</v>
      </c>
      <c r="M2397">
        <v>230.65</v>
      </c>
      <c r="N2397">
        <v>0</v>
      </c>
      <c r="O2397">
        <v>78072.070000000007</v>
      </c>
      <c r="P2397" t="s">
        <v>25</v>
      </c>
      <c r="Q2397" t="s">
        <v>26</v>
      </c>
    </row>
    <row r="2398" spans="1:17" x14ac:dyDescent="0.25">
      <c r="A2398" t="s">
        <v>2515</v>
      </c>
      <c r="B2398" s="1">
        <v>45962</v>
      </c>
      <c r="C2398" t="s">
        <v>60</v>
      </c>
      <c r="D2398" t="s">
        <v>65</v>
      </c>
      <c r="E2398" t="s">
        <v>49</v>
      </c>
      <c r="F2398" t="s">
        <v>42</v>
      </c>
      <c r="G2398" t="s">
        <v>102</v>
      </c>
      <c r="H2398" t="s">
        <v>23</v>
      </c>
      <c r="I2398" t="s">
        <v>131</v>
      </c>
      <c r="J2398">
        <v>49</v>
      </c>
      <c r="K2398">
        <v>11870.87</v>
      </c>
      <c r="L2398">
        <v>581672.63</v>
      </c>
      <c r="M2398">
        <v>72001.289999999994</v>
      </c>
      <c r="N2398">
        <v>0</v>
      </c>
      <c r="O2398">
        <v>509671.34</v>
      </c>
      <c r="P2398" t="s">
        <v>73</v>
      </c>
      <c r="Q2398" t="s">
        <v>26</v>
      </c>
    </row>
    <row r="2399" spans="1:17" x14ac:dyDescent="0.25">
      <c r="A2399" t="s">
        <v>2516</v>
      </c>
      <c r="B2399" s="1">
        <v>45975</v>
      </c>
      <c r="C2399" t="s">
        <v>54</v>
      </c>
      <c r="D2399" t="s">
        <v>55</v>
      </c>
      <c r="E2399" t="s">
        <v>49</v>
      </c>
      <c r="F2399" t="s">
        <v>71</v>
      </c>
      <c r="G2399" t="s">
        <v>98</v>
      </c>
      <c r="H2399" t="s">
        <v>94</v>
      </c>
      <c r="I2399" t="s">
        <v>115</v>
      </c>
      <c r="J2399">
        <v>41</v>
      </c>
      <c r="K2399">
        <v>14720.57</v>
      </c>
      <c r="L2399">
        <v>603543.37</v>
      </c>
      <c r="M2399">
        <v>13511.43</v>
      </c>
      <c r="N2399">
        <v>0</v>
      </c>
      <c r="O2399">
        <v>590031.93999999994</v>
      </c>
      <c r="P2399" t="s">
        <v>73</v>
      </c>
      <c r="Q2399" t="s">
        <v>32</v>
      </c>
    </row>
    <row r="2400" spans="1:17" x14ac:dyDescent="0.25">
      <c r="A2400" t="s">
        <v>2517</v>
      </c>
      <c r="B2400" s="1">
        <v>46022</v>
      </c>
      <c r="C2400" t="s">
        <v>18</v>
      </c>
      <c r="D2400" t="s">
        <v>28</v>
      </c>
      <c r="E2400" t="s">
        <v>49</v>
      </c>
      <c r="F2400" t="s">
        <v>50</v>
      </c>
      <c r="G2400" t="s">
        <v>29</v>
      </c>
      <c r="H2400" t="s">
        <v>23</v>
      </c>
      <c r="I2400" t="s">
        <v>52</v>
      </c>
      <c r="J2400">
        <v>35</v>
      </c>
      <c r="K2400">
        <v>7430.23</v>
      </c>
      <c r="L2400">
        <v>260058.05</v>
      </c>
      <c r="M2400">
        <v>26892.52</v>
      </c>
      <c r="N2400">
        <v>0</v>
      </c>
      <c r="O2400">
        <v>233165.53</v>
      </c>
      <c r="P2400" t="s">
        <v>25</v>
      </c>
      <c r="Q2400" t="s">
        <v>26</v>
      </c>
    </row>
    <row r="2401" spans="1:17" x14ac:dyDescent="0.25">
      <c r="A2401" t="s">
        <v>2518</v>
      </c>
      <c r="B2401" s="1">
        <v>46004</v>
      </c>
      <c r="C2401" t="s">
        <v>47</v>
      </c>
      <c r="D2401" t="s">
        <v>88</v>
      </c>
      <c r="E2401" t="s">
        <v>35</v>
      </c>
      <c r="F2401" t="s">
        <v>62</v>
      </c>
      <c r="G2401" t="s">
        <v>66</v>
      </c>
      <c r="H2401" t="s">
        <v>94</v>
      </c>
      <c r="I2401" t="s">
        <v>163</v>
      </c>
      <c r="J2401">
        <v>36</v>
      </c>
      <c r="K2401">
        <v>48891.59</v>
      </c>
      <c r="L2401">
        <v>1760097.24</v>
      </c>
      <c r="M2401">
        <v>0</v>
      </c>
      <c r="N2401">
        <v>355896.45</v>
      </c>
      <c r="O2401">
        <v>1404200.79</v>
      </c>
      <c r="P2401" t="s">
        <v>25</v>
      </c>
      <c r="Q2401" t="s">
        <v>26</v>
      </c>
    </row>
    <row r="2402" spans="1:17" x14ac:dyDescent="0.25">
      <c r="A2402" t="s">
        <v>2519</v>
      </c>
      <c r="B2402" s="1">
        <v>45994</v>
      </c>
      <c r="C2402" t="s">
        <v>47</v>
      </c>
      <c r="D2402" t="s">
        <v>114</v>
      </c>
      <c r="E2402" t="s">
        <v>35</v>
      </c>
      <c r="F2402" t="s">
        <v>62</v>
      </c>
      <c r="G2402" t="s">
        <v>37</v>
      </c>
      <c r="H2402" t="s">
        <v>44</v>
      </c>
      <c r="I2402" t="s">
        <v>281</v>
      </c>
      <c r="J2402">
        <v>2</v>
      </c>
      <c r="K2402">
        <v>23537.73</v>
      </c>
      <c r="L2402">
        <v>47075.46</v>
      </c>
      <c r="M2402">
        <v>0</v>
      </c>
      <c r="N2402">
        <v>0</v>
      </c>
      <c r="O2402">
        <v>47075.46</v>
      </c>
      <c r="P2402" t="s">
        <v>31</v>
      </c>
      <c r="Q2402" t="s">
        <v>32</v>
      </c>
    </row>
    <row r="2403" spans="1:17" x14ac:dyDescent="0.25">
      <c r="A2403" t="s">
        <v>2520</v>
      </c>
      <c r="B2403" s="1">
        <v>45987</v>
      </c>
      <c r="C2403" t="s">
        <v>18</v>
      </c>
      <c r="D2403" t="s">
        <v>28</v>
      </c>
      <c r="E2403" t="s">
        <v>35</v>
      </c>
      <c r="F2403" t="s">
        <v>42</v>
      </c>
      <c r="G2403" t="s">
        <v>85</v>
      </c>
      <c r="H2403" t="s">
        <v>67</v>
      </c>
      <c r="I2403" t="s">
        <v>154</v>
      </c>
      <c r="J2403">
        <v>45</v>
      </c>
      <c r="K2403">
        <v>25631.63</v>
      </c>
      <c r="L2403">
        <v>1153423.3500000001</v>
      </c>
      <c r="M2403">
        <v>26114.52</v>
      </c>
      <c r="N2403">
        <v>0</v>
      </c>
      <c r="O2403">
        <v>1127308.83</v>
      </c>
      <c r="P2403" t="s">
        <v>32</v>
      </c>
      <c r="Q2403" t="s">
        <v>32</v>
      </c>
    </row>
    <row r="2404" spans="1:17" x14ac:dyDescent="0.25">
      <c r="A2404" t="s">
        <v>2521</v>
      </c>
      <c r="B2404" s="1">
        <v>45997</v>
      </c>
      <c r="C2404" t="s">
        <v>18</v>
      </c>
      <c r="D2404" t="s">
        <v>34</v>
      </c>
      <c r="E2404" t="s">
        <v>49</v>
      </c>
      <c r="F2404" t="s">
        <v>21</v>
      </c>
      <c r="G2404" t="s">
        <v>37</v>
      </c>
      <c r="H2404" t="s">
        <v>57</v>
      </c>
      <c r="I2404" t="s">
        <v>72</v>
      </c>
      <c r="J2404">
        <v>1</v>
      </c>
      <c r="K2404">
        <v>37583.74</v>
      </c>
      <c r="L2404">
        <v>37583.74</v>
      </c>
      <c r="M2404">
        <v>1388.48</v>
      </c>
      <c r="N2404">
        <v>0</v>
      </c>
      <c r="O2404">
        <v>36195.26</v>
      </c>
      <c r="P2404" t="s">
        <v>73</v>
      </c>
      <c r="Q2404" t="s">
        <v>32</v>
      </c>
    </row>
    <row r="2405" spans="1:17" x14ac:dyDescent="0.25">
      <c r="A2405" t="s">
        <v>2522</v>
      </c>
      <c r="B2405" s="1">
        <v>46027</v>
      </c>
      <c r="C2405" t="s">
        <v>60</v>
      </c>
      <c r="D2405" t="s">
        <v>123</v>
      </c>
      <c r="E2405" t="s">
        <v>49</v>
      </c>
      <c r="F2405" t="s">
        <v>62</v>
      </c>
      <c r="G2405" t="s">
        <v>51</v>
      </c>
      <c r="H2405" t="s">
        <v>44</v>
      </c>
      <c r="I2405" t="s">
        <v>281</v>
      </c>
      <c r="J2405">
        <v>27</v>
      </c>
      <c r="K2405">
        <v>5969.92</v>
      </c>
      <c r="L2405">
        <v>161187.84</v>
      </c>
      <c r="M2405">
        <v>0</v>
      </c>
      <c r="N2405">
        <v>0</v>
      </c>
      <c r="O2405">
        <v>161187.84</v>
      </c>
      <c r="P2405" t="s">
        <v>25</v>
      </c>
      <c r="Q2405" t="s">
        <v>26</v>
      </c>
    </row>
    <row r="2406" spans="1:17" x14ac:dyDescent="0.25">
      <c r="A2406" t="s">
        <v>2523</v>
      </c>
      <c r="B2406" s="1">
        <v>45962</v>
      </c>
      <c r="C2406" t="s">
        <v>54</v>
      </c>
      <c r="D2406" t="s">
        <v>133</v>
      </c>
      <c r="E2406" t="s">
        <v>41</v>
      </c>
      <c r="F2406" t="s">
        <v>21</v>
      </c>
      <c r="G2406" t="s">
        <v>102</v>
      </c>
      <c r="H2406" t="s">
        <v>23</v>
      </c>
      <c r="I2406" t="s">
        <v>30</v>
      </c>
      <c r="J2406">
        <v>11</v>
      </c>
      <c r="K2406">
        <v>40636.71</v>
      </c>
      <c r="L2406">
        <v>447003.81</v>
      </c>
      <c r="M2406">
        <v>73309.929999999993</v>
      </c>
      <c r="N2406">
        <v>0</v>
      </c>
      <c r="O2406">
        <v>373693.88</v>
      </c>
      <c r="P2406" t="s">
        <v>73</v>
      </c>
      <c r="Q2406" t="s">
        <v>32</v>
      </c>
    </row>
    <row r="2407" spans="1:17" x14ac:dyDescent="0.25">
      <c r="A2407" t="s">
        <v>2524</v>
      </c>
      <c r="B2407" s="1">
        <v>46024</v>
      </c>
      <c r="C2407" t="s">
        <v>47</v>
      </c>
      <c r="D2407" t="s">
        <v>114</v>
      </c>
      <c r="E2407" t="s">
        <v>41</v>
      </c>
      <c r="F2407" t="s">
        <v>71</v>
      </c>
      <c r="G2407" t="s">
        <v>98</v>
      </c>
      <c r="H2407" t="s">
        <v>23</v>
      </c>
      <c r="I2407" t="s">
        <v>30</v>
      </c>
      <c r="J2407">
        <v>17</v>
      </c>
      <c r="K2407">
        <v>36908.11</v>
      </c>
      <c r="L2407">
        <v>627437.87</v>
      </c>
      <c r="M2407">
        <v>71166.009999999995</v>
      </c>
      <c r="N2407">
        <v>0</v>
      </c>
      <c r="O2407">
        <v>556271.86</v>
      </c>
      <c r="P2407" t="s">
        <v>32</v>
      </c>
      <c r="Q2407" t="s">
        <v>32</v>
      </c>
    </row>
    <row r="2408" spans="1:17" x14ac:dyDescent="0.25">
      <c r="A2408" t="s">
        <v>2525</v>
      </c>
      <c r="B2408" s="1">
        <v>46003</v>
      </c>
      <c r="C2408" t="s">
        <v>47</v>
      </c>
      <c r="D2408" t="s">
        <v>127</v>
      </c>
      <c r="E2408" t="s">
        <v>41</v>
      </c>
      <c r="F2408" t="s">
        <v>42</v>
      </c>
      <c r="G2408" t="s">
        <v>29</v>
      </c>
      <c r="H2408" t="s">
        <v>57</v>
      </c>
      <c r="I2408" t="s">
        <v>160</v>
      </c>
      <c r="J2408">
        <v>42</v>
      </c>
      <c r="K2408">
        <v>38362.14</v>
      </c>
      <c r="L2408">
        <v>1611209.88</v>
      </c>
      <c r="M2408">
        <v>7230.44</v>
      </c>
      <c r="N2408">
        <v>175798.12</v>
      </c>
      <c r="O2408">
        <v>1428181.32</v>
      </c>
      <c r="P2408" t="s">
        <v>32</v>
      </c>
      <c r="Q2408" t="s">
        <v>32</v>
      </c>
    </row>
    <row r="2409" spans="1:17" x14ac:dyDescent="0.25">
      <c r="A2409" t="s">
        <v>2526</v>
      </c>
      <c r="B2409" s="1">
        <v>46012</v>
      </c>
      <c r="C2409" t="s">
        <v>18</v>
      </c>
      <c r="D2409" t="s">
        <v>34</v>
      </c>
      <c r="E2409" t="s">
        <v>41</v>
      </c>
      <c r="F2409" t="s">
        <v>105</v>
      </c>
      <c r="G2409" t="s">
        <v>138</v>
      </c>
      <c r="H2409" t="s">
        <v>57</v>
      </c>
      <c r="I2409" t="s">
        <v>148</v>
      </c>
      <c r="J2409">
        <v>5</v>
      </c>
      <c r="K2409">
        <v>37086.730000000003</v>
      </c>
      <c r="L2409">
        <v>185433.65</v>
      </c>
      <c r="M2409">
        <v>17932.419999999998</v>
      </c>
      <c r="N2409">
        <v>23708.93</v>
      </c>
      <c r="O2409">
        <v>143792.29999999999</v>
      </c>
      <c r="P2409" t="s">
        <v>73</v>
      </c>
      <c r="Q2409" t="s">
        <v>32</v>
      </c>
    </row>
    <row r="2410" spans="1:17" x14ac:dyDescent="0.25">
      <c r="A2410" t="s">
        <v>2527</v>
      </c>
      <c r="B2410" s="1">
        <v>46029</v>
      </c>
      <c r="C2410" t="s">
        <v>79</v>
      </c>
      <c r="D2410" t="s">
        <v>101</v>
      </c>
      <c r="E2410" t="s">
        <v>20</v>
      </c>
      <c r="F2410" t="s">
        <v>112</v>
      </c>
      <c r="G2410" t="s">
        <v>51</v>
      </c>
      <c r="H2410" t="s">
        <v>38</v>
      </c>
      <c r="I2410" t="s">
        <v>175</v>
      </c>
      <c r="J2410">
        <v>16</v>
      </c>
      <c r="K2410">
        <v>38444.74</v>
      </c>
      <c r="L2410">
        <v>615115.84</v>
      </c>
      <c r="M2410">
        <v>0</v>
      </c>
      <c r="N2410">
        <v>0</v>
      </c>
      <c r="O2410">
        <v>615115.84</v>
      </c>
      <c r="P2410" t="s">
        <v>31</v>
      </c>
      <c r="Q2410" t="s">
        <v>32</v>
      </c>
    </row>
    <row r="2411" spans="1:17" x14ac:dyDescent="0.25">
      <c r="A2411" t="s">
        <v>2528</v>
      </c>
      <c r="B2411" s="1">
        <v>45957</v>
      </c>
      <c r="C2411" t="s">
        <v>60</v>
      </c>
      <c r="D2411" t="s">
        <v>123</v>
      </c>
      <c r="E2411" t="s">
        <v>35</v>
      </c>
      <c r="F2411" t="s">
        <v>42</v>
      </c>
      <c r="G2411" t="s">
        <v>56</v>
      </c>
      <c r="H2411" t="s">
        <v>23</v>
      </c>
      <c r="I2411" t="s">
        <v>110</v>
      </c>
      <c r="J2411">
        <v>1</v>
      </c>
      <c r="K2411">
        <v>5558.83</v>
      </c>
      <c r="L2411">
        <v>5558.83</v>
      </c>
      <c r="M2411">
        <v>678.58</v>
      </c>
      <c r="N2411">
        <v>0</v>
      </c>
      <c r="O2411">
        <v>4880.25</v>
      </c>
      <c r="P2411" t="s">
        <v>73</v>
      </c>
      <c r="Q2411" t="s">
        <v>32</v>
      </c>
    </row>
    <row r="2412" spans="1:17" x14ac:dyDescent="0.25">
      <c r="A2412" t="s">
        <v>2529</v>
      </c>
      <c r="B2412" s="1">
        <v>45964</v>
      </c>
      <c r="C2412" t="s">
        <v>60</v>
      </c>
      <c r="D2412" t="s">
        <v>151</v>
      </c>
      <c r="E2412" t="s">
        <v>49</v>
      </c>
      <c r="F2412" t="s">
        <v>84</v>
      </c>
      <c r="G2412" t="s">
        <v>140</v>
      </c>
      <c r="H2412" t="s">
        <v>67</v>
      </c>
      <c r="I2412" t="s">
        <v>68</v>
      </c>
      <c r="J2412">
        <v>19</v>
      </c>
      <c r="K2412">
        <v>23186.31</v>
      </c>
      <c r="L2412">
        <v>440539.89</v>
      </c>
      <c r="M2412">
        <v>34034.129999999997</v>
      </c>
      <c r="N2412">
        <v>0</v>
      </c>
      <c r="O2412">
        <v>406505.76</v>
      </c>
      <c r="P2412" t="s">
        <v>32</v>
      </c>
      <c r="Q2412" t="s">
        <v>32</v>
      </c>
    </row>
    <row r="2413" spans="1:17" x14ac:dyDescent="0.25">
      <c r="A2413" t="s">
        <v>2530</v>
      </c>
      <c r="B2413" s="1">
        <v>45991</v>
      </c>
      <c r="C2413" t="s">
        <v>18</v>
      </c>
      <c r="D2413" t="s">
        <v>75</v>
      </c>
      <c r="E2413" t="s">
        <v>20</v>
      </c>
      <c r="F2413" t="s">
        <v>112</v>
      </c>
      <c r="G2413" t="s">
        <v>37</v>
      </c>
      <c r="H2413" t="s">
        <v>38</v>
      </c>
      <c r="I2413" t="s">
        <v>108</v>
      </c>
      <c r="J2413">
        <v>35</v>
      </c>
      <c r="K2413">
        <v>31942.32</v>
      </c>
      <c r="L2413">
        <v>1117981.2</v>
      </c>
      <c r="M2413">
        <v>150280.51999999999</v>
      </c>
      <c r="N2413">
        <v>0</v>
      </c>
      <c r="O2413">
        <v>967700.68</v>
      </c>
      <c r="P2413" t="s">
        <v>32</v>
      </c>
      <c r="Q2413" t="s">
        <v>32</v>
      </c>
    </row>
    <row r="2414" spans="1:17" x14ac:dyDescent="0.25">
      <c r="A2414" t="s">
        <v>2531</v>
      </c>
      <c r="B2414" s="1">
        <v>46027</v>
      </c>
      <c r="C2414" t="s">
        <v>60</v>
      </c>
      <c r="D2414" t="s">
        <v>151</v>
      </c>
      <c r="E2414" t="s">
        <v>20</v>
      </c>
      <c r="F2414" t="s">
        <v>50</v>
      </c>
      <c r="G2414" t="s">
        <v>66</v>
      </c>
      <c r="H2414" t="s">
        <v>44</v>
      </c>
      <c r="I2414" t="s">
        <v>152</v>
      </c>
      <c r="J2414">
        <v>2</v>
      </c>
      <c r="K2414">
        <v>43474.43</v>
      </c>
      <c r="L2414">
        <v>86948.86</v>
      </c>
      <c r="M2414">
        <v>0</v>
      </c>
      <c r="N2414">
        <v>0</v>
      </c>
      <c r="O2414">
        <v>86948.86</v>
      </c>
      <c r="P2414" t="s">
        <v>31</v>
      </c>
      <c r="Q2414" t="s">
        <v>32</v>
      </c>
    </row>
    <row r="2415" spans="1:17" x14ac:dyDescent="0.25">
      <c r="A2415" t="s">
        <v>2532</v>
      </c>
      <c r="B2415" s="1">
        <v>46013</v>
      </c>
      <c r="C2415" t="s">
        <v>79</v>
      </c>
      <c r="D2415" t="s">
        <v>107</v>
      </c>
      <c r="E2415" t="s">
        <v>20</v>
      </c>
      <c r="F2415" t="s">
        <v>84</v>
      </c>
      <c r="G2415" t="s">
        <v>63</v>
      </c>
      <c r="H2415" t="s">
        <v>67</v>
      </c>
      <c r="I2415" t="s">
        <v>154</v>
      </c>
      <c r="J2415">
        <v>46</v>
      </c>
      <c r="K2415">
        <v>49795.87</v>
      </c>
      <c r="L2415">
        <v>2290610.02</v>
      </c>
      <c r="M2415">
        <v>327891.3</v>
      </c>
      <c r="N2415">
        <v>0</v>
      </c>
      <c r="O2415">
        <v>1962718.72</v>
      </c>
      <c r="P2415" t="s">
        <v>31</v>
      </c>
      <c r="Q2415" t="s">
        <v>32</v>
      </c>
    </row>
    <row r="2416" spans="1:17" x14ac:dyDescent="0.25">
      <c r="A2416" t="s">
        <v>2533</v>
      </c>
      <c r="B2416" s="1">
        <v>45971</v>
      </c>
      <c r="C2416" t="s">
        <v>54</v>
      </c>
      <c r="D2416" t="s">
        <v>133</v>
      </c>
      <c r="E2416" t="s">
        <v>35</v>
      </c>
      <c r="F2416" t="s">
        <v>21</v>
      </c>
      <c r="G2416" t="s">
        <v>140</v>
      </c>
      <c r="H2416" t="s">
        <v>67</v>
      </c>
      <c r="I2416" t="s">
        <v>170</v>
      </c>
      <c r="J2416">
        <v>38</v>
      </c>
      <c r="K2416">
        <v>41245.86</v>
      </c>
      <c r="L2416">
        <v>1567342.68</v>
      </c>
      <c r="M2416">
        <v>0</v>
      </c>
      <c r="N2416">
        <v>0</v>
      </c>
      <c r="O2416">
        <v>1567342.68</v>
      </c>
      <c r="P2416" t="s">
        <v>73</v>
      </c>
      <c r="Q2416" t="s">
        <v>26</v>
      </c>
    </row>
    <row r="2417" spans="1:17" x14ac:dyDescent="0.25">
      <c r="A2417" t="s">
        <v>2534</v>
      </c>
      <c r="B2417" s="1">
        <v>45993</v>
      </c>
      <c r="C2417" t="s">
        <v>47</v>
      </c>
      <c r="D2417" t="s">
        <v>114</v>
      </c>
      <c r="E2417" t="s">
        <v>49</v>
      </c>
      <c r="F2417" t="s">
        <v>50</v>
      </c>
      <c r="G2417" t="s">
        <v>22</v>
      </c>
      <c r="H2417" t="s">
        <v>57</v>
      </c>
      <c r="I2417" t="s">
        <v>58</v>
      </c>
      <c r="J2417">
        <v>8</v>
      </c>
      <c r="K2417">
        <v>45474.86</v>
      </c>
      <c r="L2417">
        <v>363798.88</v>
      </c>
      <c r="M2417">
        <v>65363.17</v>
      </c>
      <c r="N2417">
        <v>0</v>
      </c>
      <c r="O2417">
        <v>298435.71000000002</v>
      </c>
      <c r="P2417" t="s">
        <v>32</v>
      </c>
      <c r="Q2417" t="s">
        <v>32</v>
      </c>
    </row>
    <row r="2418" spans="1:17" x14ac:dyDescent="0.25">
      <c r="A2418" t="s">
        <v>2535</v>
      </c>
      <c r="B2418" s="1">
        <v>45954</v>
      </c>
      <c r="C2418" t="s">
        <v>47</v>
      </c>
      <c r="D2418" t="s">
        <v>48</v>
      </c>
      <c r="E2418" t="s">
        <v>35</v>
      </c>
      <c r="F2418" t="s">
        <v>62</v>
      </c>
      <c r="G2418" t="s">
        <v>98</v>
      </c>
      <c r="H2418" t="s">
        <v>67</v>
      </c>
      <c r="I2418" t="s">
        <v>77</v>
      </c>
      <c r="J2418">
        <v>22</v>
      </c>
      <c r="K2418">
        <v>48105.42</v>
      </c>
      <c r="L2418">
        <v>1058319.24</v>
      </c>
      <c r="M2418">
        <v>155411.15</v>
      </c>
      <c r="N2418">
        <v>0</v>
      </c>
      <c r="O2418">
        <v>902908.09</v>
      </c>
      <c r="P2418" t="s">
        <v>32</v>
      </c>
      <c r="Q2418" t="s">
        <v>32</v>
      </c>
    </row>
    <row r="2419" spans="1:17" x14ac:dyDescent="0.25">
      <c r="A2419" t="s">
        <v>2536</v>
      </c>
      <c r="B2419" s="1">
        <v>45972</v>
      </c>
      <c r="C2419" t="s">
        <v>60</v>
      </c>
      <c r="D2419" t="s">
        <v>151</v>
      </c>
      <c r="E2419" t="s">
        <v>20</v>
      </c>
      <c r="F2419" t="s">
        <v>137</v>
      </c>
      <c r="G2419" t="s">
        <v>37</v>
      </c>
      <c r="H2419" t="s">
        <v>38</v>
      </c>
      <c r="I2419" t="s">
        <v>175</v>
      </c>
      <c r="J2419">
        <v>44</v>
      </c>
      <c r="K2419">
        <v>48603.199999999997</v>
      </c>
      <c r="L2419">
        <v>2138540.7999999998</v>
      </c>
      <c r="M2419">
        <v>186190.14</v>
      </c>
      <c r="N2419">
        <v>59020.71</v>
      </c>
      <c r="O2419">
        <v>1893329.95</v>
      </c>
      <c r="P2419" t="s">
        <v>32</v>
      </c>
      <c r="Q2419" t="s">
        <v>32</v>
      </c>
    </row>
    <row r="2420" spans="1:17" x14ac:dyDescent="0.25">
      <c r="A2420" t="s">
        <v>2537</v>
      </c>
      <c r="B2420" s="1">
        <v>45991</v>
      </c>
      <c r="C2420" t="s">
        <v>18</v>
      </c>
      <c r="D2420" t="s">
        <v>28</v>
      </c>
      <c r="E2420" t="s">
        <v>49</v>
      </c>
      <c r="F2420" t="s">
        <v>21</v>
      </c>
      <c r="G2420" t="s">
        <v>37</v>
      </c>
      <c r="H2420" t="s">
        <v>67</v>
      </c>
      <c r="I2420" t="s">
        <v>170</v>
      </c>
      <c r="J2420">
        <v>34</v>
      </c>
      <c r="K2420">
        <v>37192.85</v>
      </c>
      <c r="L2420">
        <v>1264556.8999999999</v>
      </c>
      <c r="M2420">
        <v>76671.44</v>
      </c>
      <c r="N2420">
        <v>0</v>
      </c>
      <c r="O2420">
        <v>1187885.46</v>
      </c>
      <c r="P2420" t="s">
        <v>31</v>
      </c>
      <c r="Q2420" t="s">
        <v>32</v>
      </c>
    </row>
    <row r="2421" spans="1:17" x14ac:dyDescent="0.25">
      <c r="A2421" t="s">
        <v>2538</v>
      </c>
      <c r="B2421" s="1">
        <v>46020</v>
      </c>
      <c r="C2421" t="s">
        <v>54</v>
      </c>
      <c r="D2421" t="s">
        <v>55</v>
      </c>
      <c r="E2421" t="s">
        <v>35</v>
      </c>
      <c r="F2421" t="s">
        <v>71</v>
      </c>
      <c r="G2421" t="s">
        <v>140</v>
      </c>
      <c r="H2421" t="s">
        <v>44</v>
      </c>
      <c r="I2421" t="s">
        <v>124</v>
      </c>
      <c r="J2421">
        <v>37</v>
      </c>
      <c r="K2421">
        <v>17370.78</v>
      </c>
      <c r="L2421">
        <v>642718.86</v>
      </c>
      <c r="M2421">
        <v>0</v>
      </c>
      <c r="N2421">
        <v>0</v>
      </c>
      <c r="O2421">
        <v>642718.86</v>
      </c>
      <c r="P2421" t="s">
        <v>32</v>
      </c>
      <c r="Q2421" t="s">
        <v>32</v>
      </c>
    </row>
    <row r="2422" spans="1:17" x14ac:dyDescent="0.25">
      <c r="A2422" t="s">
        <v>2539</v>
      </c>
      <c r="B2422" s="1">
        <v>46004</v>
      </c>
      <c r="C2422" t="s">
        <v>18</v>
      </c>
      <c r="D2422" t="s">
        <v>19</v>
      </c>
      <c r="E2422" t="s">
        <v>49</v>
      </c>
      <c r="F2422" t="s">
        <v>84</v>
      </c>
      <c r="G2422" t="s">
        <v>63</v>
      </c>
      <c r="H2422" t="s">
        <v>38</v>
      </c>
      <c r="I2422" t="s">
        <v>39</v>
      </c>
      <c r="J2422">
        <v>37</v>
      </c>
      <c r="K2422">
        <v>1145.08</v>
      </c>
      <c r="L2422">
        <v>42367.96</v>
      </c>
      <c r="M2422">
        <v>0</v>
      </c>
      <c r="N2422">
        <v>0</v>
      </c>
      <c r="O2422">
        <v>42367.96</v>
      </c>
      <c r="P2422" t="s">
        <v>25</v>
      </c>
      <c r="Q2422" t="s">
        <v>26</v>
      </c>
    </row>
    <row r="2423" spans="1:17" x14ac:dyDescent="0.25">
      <c r="A2423" t="s">
        <v>2540</v>
      </c>
      <c r="B2423" s="1">
        <v>46042</v>
      </c>
      <c r="C2423" t="s">
        <v>18</v>
      </c>
      <c r="D2423" t="s">
        <v>34</v>
      </c>
      <c r="E2423" t="s">
        <v>49</v>
      </c>
      <c r="F2423" t="s">
        <v>137</v>
      </c>
      <c r="G2423" t="s">
        <v>51</v>
      </c>
      <c r="H2423" t="s">
        <v>94</v>
      </c>
      <c r="I2423" t="s">
        <v>95</v>
      </c>
      <c r="J2423">
        <v>35</v>
      </c>
      <c r="K2423">
        <v>9999.7900000000009</v>
      </c>
      <c r="L2423">
        <v>349992.65</v>
      </c>
      <c r="M2423">
        <v>38516.620000000003</v>
      </c>
      <c r="N2423">
        <v>0</v>
      </c>
      <c r="O2423">
        <v>311476.03000000003</v>
      </c>
      <c r="P2423" t="s">
        <v>32</v>
      </c>
      <c r="Q2423" t="s">
        <v>32</v>
      </c>
    </row>
    <row r="2424" spans="1:17" x14ac:dyDescent="0.25">
      <c r="A2424" t="s">
        <v>2541</v>
      </c>
      <c r="B2424" s="1">
        <v>45999</v>
      </c>
      <c r="C2424" t="s">
        <v>54</v>
      </c>
      <c r="D2424" t="s">
        <v>97</v>
      </c>
      <c r="E2424" t="s">
        <v>35</v>
      </c>
      <c r="F2424" t="s">
        <v>62</v>
      </c>
      <c r="G2424" t="s">
        <v>102</v>
      </c>
      <c r="H2424" t="s">
        <v>57</v>
      </c>
      <c r="I2424" t="s">
        <v>160</v>
      </c>
      <c r="J2424">
        <v>13</v>
      </c>
      <c r="K2424">
        <v>18236.509999999998</v>
      </c>
      <c r="L2424">
        <v>237074.63</v>
      </c>
      <c r="M2424">
        <v>2421.77</v>
      </c>
      <c r="N2424">
        <v>44156.23</v>
      </c>
      <c r="O2424">
        <v>190496.63</v>
      </c>
      <c r="P2424" t="s">
        <v>31</v>
      </c>
      <c r="Q2424" t="s">
        <v>32</v>
      </c>
    </row>
    <row r="2425" spans="1:17" x14ac:dyDescent="0.25">
      <c r="A2425" t="s">
        <v>2542</v>
      </c>
      <c r="B2425" s="1">
        <v>46019</v>
      </c>
      <c r="C2425" t="s">
        <v>60</v>
      </c>
      <c r="D2425" t="s">
        <v>65</v>
      </c>
      <c r="E2425" t="s">
        <v>20</v>
      </c>
      <c r="F2425" t="s">
        <v>105</v>
      </c>
      <c r="G2425" t="s">
        <v>63</v>
      </c>
      <c r="H2425" t="s">
        <v>44</v>
      </c>
      <c r="I2425" t="s">
        <v>152</v>
      </c>
      <c r="J2425">
        <v>8</v>
      </c>
      <c r="K2425">
        <v>44429.23</v>
      </c>
      <c r="L2425">
        <v>355433.84</v>
      </c>
      <c r="M2425">
        <v>24263.07</v>
      </c>
      <c r="N2425">
        <v>0</v>
      </c>
      <c r="O2425">
        <v>331170.77</v>
      </c>
      <c r="P2425" t="s">
        <v>73</v>
      </c>
      <c r="Q2425" t="s">
        <v>32</v>
      </c>
    </row>
    <row r="2426" spans="1:17" x14ac:dyDescent="0.25">
      <c r="A2426" t="s">
        <v>2543</v>
      </c>
      <c r="B2426" s="1">
        <v>46043</v>
      </c>
      <c r="C2426" t="s">
        <v>60</v>
      </c>
      <c r="D2426" t="s">
        <v>151</v>
      </c>
      <c r="E2426" t="s">
        <v>20</v>
      </c>
      <c r="F2426" t="s">
        <v>21</v>
      </c>
      <c r="G2426" t="s">
        <v>89</v>
      </c>
      <c r="H2426" t="s">
        <v>38</v>
      </c>
      <c r="I2426" t="s">
        <v>120</v>
      </c>
      <c r="J2426">
        <v>9</v>
      </c>
      <c r="K2426">
        <v>14052.32</v>
      </c>
      <c r="L2426">
        <v>126470.88</v>
      </c>
      <c r="M2426">
        <v>10339.19</v>
      </c>
      <c r="N2426">
        <v>0</v>
      </c>
      <c r="O2426">
        <v>116131.69</v>
      </c>
      <c r="P2426" t="s">
        <v>31</v>
      </c>
      <c r="Q2426" t="s">
        <v>32</v>
      </c>
    </row>
    <row r="2427" spans="1:17" x14ac:dyDescent="0.25">
      <c r="A2427" t="s">
        <v>2544</v>
      </c>
      <c r="B2427" s="1">
        <v>45963</v>
      </c>
      <c r="C2427" t="s">
        <v>60</v>
      </c>
      <c r="D2427" t="s">
        <v>65</v>
      </c>
      <c r="E2427" t="s">
        <v>35</v>
      </c>
      <c r="F2427" t="s">
        <v>137</v>
      </c>
      <c r="G2427" t="s">
        <v>89</v>
      </c>
      <c r="H2427" t="s">
        <v>38</v>
      </c>
      <c r="I2427" t="s">
        <v>82</v>
      </c>
      <c r="J2427">
        <v>4</v>
      </c>
      <c r="K2427">
        <v>47249.72</v>
      </c>
      <c r="L2427">
        <v>188998.88</v>
      </c>
      <c r="M2427">
        <v>10886.14</v>
      </c>
      <c r="N2427">
        <v>0</v>
      </c>
      <c r="O2427">
        <v>178112.74</v>
      </c>
      <c r="P2427" t="s">
        <v>31</v>
      </c>
      <c r="Q2427" t="s">
        <v>32</v>
      </c>
    </row>
    <row r="2428" spans="1:17" x14ac:dyDescent="0.25">
      <c r="A2428" t="s">
        <v>2545</v>
      </c>
      <c r="B2428" s="1">
        <v>45973</v>
      </c>
      <c r="C2428" t="s">
        <v>60</v>
      </c>
      <c r="D2428" t="s">
        <v>65</v>
      </c>
      <c r="E2428" t="s">
        <v>49</v>
      </c>
      <c r="F2428" t="s">
        <v>62</v>
      </c>
      <c r="G2428" t="s">
        <v>85</v>
      </c>
      <c r="H2428" t="s">
        <v>67</v>
      </c>
      <c r="I2428" t="s">
        <v>103</v>
      </c>
      <c r="J2428">
        <v>17</v>
      </c>
      <c r="K2428">
        <v>19257.150000000001</v>
      </c>
      <c r="L2428">
        <v>327371.55</v>
      </c>
      <c r="M2428">
        <v>5954.94</v>
      </c>
      <c r="N2428">
        <v>58292.25</v>
      </c>
      <c r="O2428">
        <v>263124.36</v>
      </c>
      <c r="P2428" t="s">
        <v>31</v>
      </c>
      <c r="Q2428" t="s">
        <v>32</v>
      </c>
    </row>
    <row r="2429" spans="1:17" x14ac:dyDescent="0.25">
      <c r="A2429" t="s">
        <v>2546</v>
      </c>
      <c r="B2429" s="1">
        <v>46025</v>
      </c>
      <c r="C2429" t="s">
        <v>60</v>
      </c>
      <c r="D2429" t="s">
        <v>151</v>
      </c>
      <c r="E2429" t="s">
        <v>41</v>
      </c>
      <c r="F2429" t="s">
        <v>21</v>
      </c>
      <c r="G2429" t="s">
        <v>140</v>
      </c>
      <c r="H2429" t="s">
        <v>57</v>
      </c>
      <c r="I2429" t="s">
        <v>58</v>
      </c>
      <c r="J2429">
        <v>25</v>
      </c>
      <c r="K2429">
        <v>23828.75</v>
      </c>
      <c r="L2429">
        <v>595718.75</v>
      </c>
      <c r="M2429">
        <v>90062.62</v>
      </c>
      <c r="N2429">
        <v>140079.35999999999</v>
      </c>
      <c r="O2429">
        <v>365576.77</v>
      </c>
      <c r="P2429" t="s">
        <v>32</v>
      </c>
      <c r="Q2429" t="s">
        <v>26</v>
      </c>
    </row>
    <row r="2430" spans="1:17" x14ac:dyDescent="0.25">
      <c r="A2430" t="s">
        <v>2547</v>
      </c>
      <c r="B2430" s="1">
        <v>45985</v>
      </c>
      <c r="C2430" t="s">
        <v>47</v>
      </c>
      <c r="D2430" t="s">
        <v>88</v>
      </c>
      <c r="E2430" t="s">
        <v>41</v>
      </c>
      <c r="F2430" t="s">
        <v>36</v>
      </c>
      <c r="G2430" t="s">
        <v>138</v>
      </c>
      <c r="H2430" t="s">
        <v>38</v>
      </c>
      <c r="I2430" t="s">
        <v>175</v>
      </c>
      <c r="J2430">
        <v>47</v>
      </c>
      <c r="K2430">
        <v>40143.370000000003</v>
      </c>
      <c r="L2430">
        <v>1886738.39</v>
      </c>
      <c r="M2430">
        <v>112016.84</v>
      </c>
      <c r="N2430">
        <v>173384.52</v>
      </c>
      <c r="O2430">
        <v>1601337.03</v>
      </c>
      <c r="P2430" t="s">
        <v>31</v>
      </c>
      <c r="Q2430" t="s">
        <v>32</v>
      </c>
    </row>
    <row r="2431" spans="1:17" x14ac:dyDescent="0.25">
      <c r="A2431" t="s">
        <v>2548</v>
      </c>
      <c r="B2431" s="1">
        <v>46003</v>
      </c>
      <c r="C2431" t="s">
        <v>18</v>
      </c>
      <c r="D2431" t="s">
        <v>19</v>
      </c>
      <c r="E2431" t="s">
        <v>35</v>
      </c>
      <c r="F2431" t="s">
        <v>50</v>
      </c>
      <c r="G2431" t="s">
        <v>89</v>
      </c>
      <c r="H2431" t="s">
        <v>23</v>
      </c>
      <c r="I2431" t="s">
        <v>99</v>
      </c>
      <c r="J2431">
        <v>18</v>
      </c>
      <c r="K2431">
        <v>50447.41</v>
      </c>
      <c r="L2431">
        <v>908053.38</v>
      </c>
      <c r="M2431">
        <v>67797.149999999994</v>
      </c>
      <c r="N2431">
        <v>0</v>
      </c>
      <c r="O2431">
        <v>840256.23</v>
      </c>
      <c r="P2431" t="s">
        <v>25</v>
      </c>
      <c r="Q2431" t="s">
        <v>26</v>
      </c>
    </row>
    <row r="2432" spans="1:17" x14ac:dyDescent="0.25">
      <c r="A2432" t="s">
        <v>2549</v>
      </c>
      <c r="B2432" s="1">
        <v>45965</v>
      </c>
      <c r="C2432" t="s">
        <v>47</v>
      </c>
      <c r="D2432" t="s">
        <v>88</v>
      </c>
      <c r="E2432" t="s">
        <v>41</v>
      </c>
      <c r="F2432" t="s">
        <v>62</v>
      </c>
      <c r="G2432" t="s">
        <v>102</v>
      </c>
      <c r="H2432" t="s">
        <v>23</v>
      </c>
      <c r="I2432" t="s">
        <v>131</v>
      </c>
      <c r="J2432">
        <v>34</v>
      </c>
      <c r="K2432">
        <v>30944.42</v>
      </c>
      <c r="L2432">
        <v>1052110.28</v>
      </c>
      <c r="M2432">
        <v>0</v>
      </c>
      <c r="N2432">
        <v>0</v>
      </c>
      <c r="O2432">
        <v>1052110.28</v>
      </c>
      <c r="P2432" t="s">
        <v>32</v>
      </c>
      <c r="Q2432" t="s">
        <v>32</v>
      </c>
    </row>
    <row r="2433" spans="1:17" x14ac:dyDescent="0.25">
      <c r="A2433" t="s">
        <v>2550</v>
      </c>
      <c r="B2433" s="1">
        <v>46038</v>
      </c>
      <c r="C2433" t="s">
        <v>18</v>
      </c>
      <c r="D2433" t="s">
        <v>28</v>
      </c>
      <c r="E2433" t="s">
        <v>41</v>
      </c>
      <c r="F2433" t="s">
        <v>62</v>
      </c>
      <c r="G2433" t="s">
        <v>66</v>
      </c>
      <c r="H2433" t="s">
        <v>38</v>
      </c>
      <c r="I2433" t="s">
        <v>175</v>
      </c>
      <c r="J2433">
        <v>36</v>
      </c>
      <c r="K2433">
        <v>48361.74</v>
      </c>
      <c r="L2433">
        <v>1741022.64</v>
      </c>
      <c r="M2433">
        <v>82235.98</v>
      </c>
      <c r="N2433">
        <v>0</v>
      </c>
      <c r="O2433">
        <v>1658786.66</v>
      </c>
      <c r="P2433" t="s">
        <v>73</v>
      </c>
      <c r="Q2433" t="s">
        <v>32</v>
      </c>
    </row>
    <row r="2434" spans="1:17" x14ac:dyDescent="0.25">
      <c r="A2434" t="s">
        <v>2551</v>
      </c>
      <c r="B2434" s="1">
        <v>46019</v>
      </c>
      <c r="C2434" t="s">
        <v>18</v>
      </c>
      <c r="D2434" t="s">
        <v>34</v>
      </c>
      <c r="E2434" t="s">
        <v>49</v>
      </c>
      <c r="F2434" t="s">
        <v>42</v>
      </c>
      <c r="G2434" t="s">
        <v>138</v>
      </c>
      <c r="H2434" t="s">
        <v>38</v>
      </c>
      <c r="I2434" t="s">
        <v>82</v>
      </c>
      <c r="J2434">
        <v>20</v>
      </c>
      <c r="K2434">
        <v>31075.67</v>
      </c>
      <c r="L2434">
        <v>621513.4</v>
      </c>
      <c r="M2434">
        <v>65649.240000000005</v>
      </c>
      <c r="N2434">
        <v>0</v>
      </c>
      <c r="O2434">
        <v>555864.16</v>
      </c>
      <c r="P2434" t="s">
        <v>73</v>
      </c>
      <c r="Q2434" t="s">
        <v>26</v>
      </c>
    </row>
    <row r="2435" spans="1:17" x14ac:dyDescent="0.25">
      <c r="A2435" t="s">
        <v>2552</v>
      </c>
      <c r="B2435" s="1">
        <v>45971</v>
      </c>
      <c r="C2435" t="s">
        <v>79</v>
      </c>
      <c r="D2435" t="s">
        <v>101</v>
      </c>
      <c r="E2435" t="s">
        <v>20</v>
      </c>
      <c r="F2435" t="s">
        <v>112</v>
      </c>
      <c r="G2435" t="s">
        <v>138</v>
      </c>
      <c r="H2435" t="s">
        <v>57</v>
      </c>
      <c r="I2435" t="s">
        <v>148</v>
      </c>
      <c r="J2435">
        <v>32</v>
      </c>
      <c r="K2435">
        <v>49336.28</v>
      </c>
      <c r="L2435">
        <v>1578760.96</v>
      </c>
      <c r="M2435">
        <v>61883.93</v>
      </c>
      <c r="N2435">
        <v>0</v>
      </c>
      <c r="O2435">
        <v>1516877.03</v>
      </c>
      <c r="P2435" t="s">
        <v>31</v>
      </c>
      <c r="Q2435" t="s">
        <v>32</v>
      </c>
    </row>
    <row r="2436" spans="1:17" x14ac:dyDescent="0.25">
      <c r="A2436" t="s">
        <v>2553</v>
      </c>
      <c r="B2436" s="1">
        <v>45965</v>
      </c>
      <c r="C2436" t="s">
        <v>47</v>
      </c>
      <c r="D2436" t="s">
        <v>88</v>
      </c>
      <c r="E2436" t="s">
        <v>49</v>
      </c>
      <c r="F2436" t="s">
        <v>62</v>
      </c>
      <c r="G2436" t="s">
        <v>138</v>
      </c>
      <c r="H2436" t="s">
        <v>44</v>
      </c>
      <c r="I2436" t="s">
        <v>124</v>
      </c>
      <c r="J2436">
        <v>21</v>
      </c>
      <c r="K2436">
        <v>44727.44</v>
      </c>
      <c r="L2436">
        <v>939276.24</v>
      </c>
      <c r="M2436">
        <v>63659.34</v>
      </c>
      <c r="N2436">
        <v>0</v>
      </c>
      <c r="O2436">
        <v>875616.9</v>
      </c>
      <c r="P2436" t="s">
        <v>25</v>
      </c>
      <c r="Q2436" t="s">
        <v>26</v>
      </c>
    </row>
    <row r="2437" spans="1:17" x14ac:dyDescent="0.25">
      <c r="A2437" t="s">
        <v>2554</v>
      </c>
      <c r="B2437" s="1">
        <v>46027</v>
      </c>
      <c r="C2437" t="s">
        <v>18</v>
      </c>
      <c r="D2437" t="s">
        <v>75</v>
      </c>
      <c r="E2437" t="s">
        <v>41</v>
      </c>
      <c r="F2437" t="s">
        <v>84</v>
      </c>
      <c r="G2437" t="s">
        <v>98</v>
      </c>
      <c r="H2437" t="s">
        <v>44</v>
      </c>
      <c r="I2437" t="s">
        <v>152</v>
      </c>
      <c r="J2437">
        <v>27</v>
      </c>
      <c r="K2437">
        <v>2754.93</v>
      </c>
      <c r="L2437">
        <v>74383.11</v>
      </c>
      <c r="M2437">
        <v>0</v>
      </c>
      <c r="N2437">
        <v>0</v>
      </c>
      <c r="O2437">
        <v>74383.11</v>
      </c>
      <c r="P2437" t="s">
        <v>32</v>
      </c>
      <c r="Q2437" t="s">
        <v>26</v>
      </c>
    </row>
    <row r="2438" spans="1:17" x14ac:dyDescent="0.25">
      <c r="A2438" t="s">
        <v>2555</v>
      </c>
      <c r="B2438" s="1">
        <v>46022</v>
      </c>
      <c r="C2438" t="s">
        <v>79</v>
      </c>
      <c r="D2438" t="s">
        <v>101</v>
      </c>
      <c r="E2438" t="s">
        <v>35</v>
      </c>
      <c r="F2438" t="s">
        <v>112</v>
      </c>
      <c r="G2438" t="s">
        <v>63</v>
      </c>
      <c r="H2438" t="s">
        <v>38</v>
      </c>
      <c r="I2438" t="s">
        <v>120</v>
      </c>
      <c r="J2438">
        <v>45</v>
      </c>
      <c r="K2438">
        <v>1955.51</v>
      </c>
      <c r="L2438">
        <v>87997.95</v>
      </c>
      <c r="M2438">
        <v>0</v>
      </c>
      <c r="N2438">
        <v>14291.18</v>
      </c>
      <c r="O2438">
        <v>73706.77</v>
      </c>
      <c r="P2438" t="s">
        <v>31</v>
      </c>
      <c r="Q2438" t="s">
        <v>32</v>
      </c>
    </row>
    <row r="2439" spans="1:17" x14ac:dyDescent="0.25">
      <c r="A2439" t="s">
        <v>2556</v>
      </c>
      <c r="B2439" s="1">
        <v>46020</v>
      </c>
      <c r="C2439" t="s">
        <v>54</v>
      </c>
      <c r="D2439" t="s">
        <v>55</v>
      </c>
      <c r="E2439" t="s">
        <v>20</v>
      </c>
      <c r="F2439" t="s">
        <v>50</v>
      </c>
      <c r="G2439" t="s">
        <v>85</v>
      </c>
      <c r="H2439" t="s">
        <v>44</v>
      </c>
      <c r="I2439" t="s">
        <v>141</v>
      </c>
      <c r="J2439">
        <v>23</v>
      </c>
      <c r="K2439">
        <v>3996.82</v>
      </c>
      <c r="L2439">
        <v>91926.86</v>
      </c>
      <c r="M2439">
        <v>0</v>
      </c>
      <c r="N2439">
        <v>0</v>
      </c>
      <c r="O2439">
        <v>91926.86</v>
      </c>
      <c r="P2439" t="s">
        <v>31</v>
      </c>
      <c r="Q2439" t="s">
        <v>32</v>
      </c>
    </row>
    <row r="2440" spans="1:17" x14ac:dyDescent="0.25">
      <c r="A2440" t="s">
        <v>2557</v>
      </c>
      <c r="B2440" s="1">
        <v>46021</v>
      </c>
      <c r="C2440" t="s">
        <v>79</v>
      </c>
      <c r="D2440" t="s">
        <v>101</v>
      </c>
      <c r="E2440" t="s">
        <v>20</v>
      </c>
      <c r="F2440" t="s">
        <v>112</v>
      </c>
      <c r="G2440" t="s">
        <v>138</v>
      </c>
      <c r="H2440" t="s">
        <v>38</v>
      </c>
      <c r="I2440" t="s">
        <v>175</v>
      </c>
      <c r="J2440">
        <v>8</v>
      </c>
      <c r="K2440">
        <v>42478.400000000001</v>
      </c>
      <c r="L2440">
        <v>339827.20000000001</v>
      </c>
      <c r="M2440">
        <v>28612.880000000001</v>
      </c>
      <c r="N2440">
        <v>0</v>
      </c>
      <c r="O2440">
        <v>311214.32</v>
      </c>
      <c r="P2440" t="s">
        <v>31</v>
      </c>
      <c r="Q2440" t="s">
        <v>32</v>
      </c>
    </row>
    <row r="2441" spans="1:17" x14ac:dyDescent="0.25">
      <c r="A2441" t="s">
        <v>2558</v>
      </c>
      <c r="B2441" s="1">
        <v>45973</v>
      </c>
      <c r="C2441" t="s">
        <v>79</v>
      </c>
      <c r="D2441" t="s">
        <v>107</v>
      </c>
      <c r="E2441" t="s">
        <v>35</v>
      </c>
      <c r="F2441" t="s">
        <v>137</v>
      </c>
      <c r="G2441" t="s">
        <v>22</v>
      </c>
      <c r="H2441" t="s">
        <v>57</v>
      </c>
      <c r="I2441" t="s">
        <v>118</v>
      </c>
      <c r="J2441">
        <v>25</v>
      </c>
      <c r="K2441">
        <v>34338.46</v>
      </c>
      <c r="L2441">
        <v>858461.5</v>
      </c>
      <c r="M2441">
        <v>118720.31</v>
      </c>
      <c r="N2441">
        <v>0</v>
      </c>
      <c r="O2441">
        <v>739741.19</v>
      </c>
      <c r="P2441" t="s">
        <v>73</v>
      </c>
      <c r="Q2441" t="s">
        <v>32</v>
      </c>
    </row>
    <row r="2442" spans="1:17" x14ac:dyDescent="0.25">
      <c r="A2442" t="s">
        <v>2559</v>
      </c>
      <c r="B2442" s="1">
        <v>45961</v>
      </c>
      <c r="C2442" t="s">
        <v>79</v>
      </c>
      <c r="D2442" t="s">
        <v>91</v>
      </c>
      <c r="E2442" t="s">
        <v>49</v>
      </c>
      <c r="F2442" t="s">
        <v>62</v>
      </c>
      <c r="G2442" t="s">
        <v>56</v>
      </c>
      <c r="H2442" t="s">
        <v>67</v>
      </c>
      <c r="I2442" t="s">
        <v>201</v>
      </c>
      <c r="J2442">
        <v>17</v>
      </c>
      <c r="K2442">
        <v>37258.25</v>
      </c>
      <c r="L2442">
        <v>633390.25</v>
      </c>
      <c r="M2442">
        <v>39544.959999999999</v>
      </c>
      <c r="N2442">
        <v>0</v>
      </c>
      <c r="O2442">
        <v>593845.29</v>
      </c>
      <c r="P2442" t="s">
        <v>32</v>
      </c>
      <c r="Q2442" t="s">
        <v>32</v>
      </c>
    </row>
    <row r="2443" spans="1:17" x14ac:dyDescent="0.25">
      <c r="A2443" t="s">
        <v>2560</v>
      </c>
      <c r="B2443" s="1">
        <v>45997</v>
      </c>
      <c r="C2443" t="s">
        <v>47</v>
      </c>
      <c r="D2443" t="s">
        <v>88</v>
      </c>
      <c r="E2443" t="s">
        <v>49</v>
      </c>
      <c r="F2443" t="s">
        <v>105</v>
      </c>
      <c r="G2443" t="s">
        <v>81</v>
      </c>
      <c r="H2443" t="s">
        <v>67</v>
      </c>
      <c r="I2443" t="s">
        <v>68</v>
      </c>
      <c r="J2443">
        <v>34</v>
      </c>
      <c r="K2443">
        <v>10710.41</v>
      </c>
      <c r="L2443">
        <v>364153.94</v>
      </c>
      <c r="M2443">
        <v>0</v>
      </c>
      <c r="N2443">
        <v>18295.55</v>
      </c>
      <c r="O2443">
        <v>345858.39</v>
      </c>
      <c r="P2443" t="s">
        <v>73</v>
      </c>
      <c r="Q2443" t="s">
        <v>32</v>
      </c>
    </row>
    <row r="2444" spans="1:17" x14ac:dyDescent="0.25">
      <c r="A2444" t="s">
        <v>2561</v>
      </c>
      <c r="B2444" s="1">
        <v>46040</v>
      </c>
      <c r="C2444" t="s">
        <v>54</v>
      </c>
      <c r="D2444" t="s">
        <v>55</v>
      </c>
      <c r="E2444" t="s">
        <v>20</v>
      </c>
      <c r="F2444" t="s">
        <v>36</v>
      </c>
      <c r="G2444" t="s">
        <v>51</v>
      </c>
      <c r="H2444" t="s">
        <v>67</v>
      </c>
      <c r="I2444" t="s">
        <v>68</v>
      </c>
      <c r="J2444">
        <v>6</v>
      </c>
      <c r="K2444">
        <v>4752.87</v>
      </c>
      <c r="L2444">
        <v>28517.22</v>
      </c>
      <c r="M2444">
        <v>2931.77</v>
      </c>
      <c r="N2444">
        <v>0</v>
      </c>
      <c r="O2444">
        <v>25585.45</v>
      </c>
      <c r="P2444" t="s">
        <v>73</v>
      </c>
      <c r="Q2444" t="s">
        <v>26</v>
      </c>
    </row>
    <row r="2445" spans="1:17" x14ac:dyDescent="0.25">
      <c r="A2445" t="s">
        <v>2562</v>
      </c>
      <c r="B2445" s="1">
        <v>45959</v>
      </c>
      <c r="C2445" t="s">
        <v>60</v>
      </c>
      <c r="D2445" t="s">
        <v>151</v>
      </c>
      <c r="E2445" t="s">
        <v>49</v>
      </c>
      <c r="F2445" t="s">
        <v>62</v>
      </c>
      <c r="G2445" t="s">
        <v>85</v>
      </c>
      <c r="H2445" t="s">
        <v>38</v>
      </c>
      <c r="I2445" t="s">
        <v>175</v>
      </c>
      <c r="J2445">
        <v>9</v>
      </c>
      <c r="K2445">
        <v>30655.3</v>
      </c>
      <c r="L2445">
        <v>275897.7</v>
      </c>
      <c r="M2445">
        <v>0</v>
      </c>
      <c r="N2445">
        <v>0</v>
      </c>
      <c r="O2445">
        <v>275897.7</v>
      </c>
      <c r="P2445" t="s">
        <v>25</v>
      </c>
      <c r="Q2445" t="s">
        <v>26</v>
      </c>
    </row>
    <row r="2446" spans="1:17" x14ac:dyDescent="0.25">
      <c r="A2446" t="s">
        <v>2563</v>
      </c>
      <c r="B2446" s="1">
        <v>45988</v>
      </c>
      <c r="C2446" t="s">
        <v>47</v>
      </c>
      <c r="D2446" t="s">
        <v>48</v>
      </c>
      <c r="E2446" t="s">
        <v>41</v>
      </c>
      <c r="F2446" t="s">
        <v>105</v>
      </c>
      <c r="G2446" t="s">
        <v>43</v>
      </c>
      <c r="H2446" t="s">
        <v>57</v>
      </c>
      <c r="I2446" t="s">
        <v>58</v>
      </c>
      <c r="J2446">
        <v>9</v>
      </c>
      <c r="K2446">
        <v>27421.39</v>
      </c>
      <c r="L2446">
        <v>246792.51</v>
      </c>
      <c r="M2446">
        <v>10820.61</v>
      </c>
      <c r="N2446">
        <v>0</v>
      </c>
      <c r="O2446">
        <v>235971.9</v>
      </c>
      <c r="P2446" t="s">
        <v>73</v>
      </c>
      <c r="Q2446" t="s">
        <v>26</v>
      </c>
    </row>
    <row r="2447" spans="1:17" x14ac:dyDescent="0.25">
      <c r="A2447" t="s">
        <v>2564</v>
      </c>
      <c r="B2447" s="1">
        <v>46026</v>
      </c>
      <c r="C2447" t="s">
        <v>18</v>
      </c>
      <c r="D2447" t="s">
        <v>34</v>
      </c>
      <c r="E2447" t="s">
        <v>41</v>
      </c>
      <c r="F2447" t="s">
        <v>62</v>
      </c>
      <c r="G2447" t="s">
        <v>85</v>
      </c>
      <c r="H2447" t="s">
        <v>44</v>
      </c>
      <c r="I2447" t="s">
        <v>152</v>
      </c>
      <c r="J2447">
        <v>9</v>
      </c>
      <c r="K2447">
        <v>29365.279999999999</v>
      </c>
      <c r="L2447">
        <v>264287.52</v>
      </c>
      <c r="M2447">
        <v>20005</v>
      </c>
      <c r="N2447">
        <v>0</v>
      </c>
      <c r="O2447">
        <v>244282.52</v>
      </c>
      <c r="P2447" t="s">
        <v>31</v>
      </c>
      <c r="Q2447" t="s">
        <v>32</v>
      </c>
    </row>
    <row r="2448" spans="1:17" x14ac:dyDescent="0.25">
      <c r="A2448" t="s">
        <v>2565</v>
      </c>
      <c r="B2448" s="1">
        <v>46008</v>
      </c>
      <c r="C2448" t="s">
        <v>60</v>
      </c>
      <c r="D2448" t="s">
        <v>151</v>
      </c>
      <c r="E2448" t="s">
        <v>41</v>
      </c>
      <c r="F2448" t="s">
        <v>112</v>
      </c>
      <c r="G2448" t="s">
        <v>138</v>
      </c>
      <c r="H2448" t="s">
        <v>44</v>
      </c>
      <c r="I2448" t="s">
        <v>135</v>
      </c>
      <c r="J2448">
        <v>34</v>
      </c>
      <c r="K2448">
        <v>5529.01</v>
      </c>
      <c r="L2448">
        <v>187986.34</v>
      </c>
      <c r="M2448">
        <v>1706.73</v>
      </c>
      <c r="N2448">
        <v>0</v>
      </c>
      <c r="O2448">
        <v>186279.61</v>
      </c>
      <c r="P2448" t="s">
        <v>73</v>
      </c>
      <c r="Q2448" t="s">
        <v>32</v>
      </c>
    </row>
    <row r="2449" spans="1:17" x14ac:dyDescent="0.25">
      <c r="A2449" t="s">
        <v>2566</v>
      </c>
      <c r="B2449" s="1">
        <v>46014</v>
      </c>
      <c r="C2449" t="s">
        <v>47</v>
      </c>
      <c r="D2449" t="s">
        <v>48</v>
      </c>
      <c r="E2449" t="s">
        <v>20</v>
      </c>
      <c r="F2449" t="s">
        <v>36</v>
      </c>
      <c r="G2449" t="s">
        <v>63</v>
      </c>
      <c r="H2449" t="s">
        <v>38</v>
      </c>
      <c r="I2449" t="s">
        <v>82</v>
      </c>
      <c r="J2449">
        <v>18</v>
      </c>
      <c r="K2449">
        <v>37700.04</v>
      </c>
      <c r="L2449">
        <v>678600.72</v>
      </c>
      <c r="M2449">
        <v>61861.27</v>
      </c>
      <c r="N2449">
        <v>0</v>
      </c>
      <c r="O2449">
        <v>616739.44999999995</v>
      </c>
      <c r="P2449" t="s">
        <v>32</v>
      </c>
      <c r="Q2449" t="s">
        <v>32</v>
      </c>
    </row>
    <row r="2450" spans="1:17" x14ac:dyDescent="0.25">
      <c r="A2450" t="s">
        <v>2567</v>
      </c>
      <c r="B2450" s="1">
        <v>45965</v>
      </c>
      <c r="C2450" t="s">
        <v>79</v>
      </c>
      <c r="D2450" t="s">
        <v>101</v>
      </c>
      <c r="E2450" t="s">
        <v>49</v>
      </c>
      <c r="F2450" t="s">
        <v>62</v>
      </c>
      <c r="G2450" t="s">
        <v>85</v>
      </c>
      <c r="H2450" t="s">
        <v>94</v>
      </c>
      <c r="I2450" t="s">
        <v>163</v>
      </c>
      <c r="J2450">
        <v>27</v>
      </c>
      <c r="K2450">
        <v>14360.73</v>
      </c>
      <c r="L2450">
        <v>387739.71</v>
      </c>
      <c r="M2450">
        <v>7562.24</v>
      </c>
      <c r="N2450">
        <v>0</v>
      </c>
      <c r="O2450">
        <v>380177.47</v>
      </c>
      <c r="P2450" t="s">
        <v>25</v>
      </c>
      <c r="Q2450" t="s">
        <v>26</v>
      </c>
    </row>
    <row r="2451" spans="1:17" x14ac:dyDescent="0.25">
      <c r="A2451" t="s">
        <v>2568</v>
      </c>
      <c r="B2451" s="1">
        <v>46029</v>
      </c>
      <c r="C2451" t="s">
        <v>18</v>
      </c>
      <c r="D2451" t="s">
        <v>34</v>
      </c>
      <c r="E2451" t="s">
        <v>35</v>
      </c>
      <c r="F2451" t="s">
        <v>36</v>
      </c>
      <c r="G2451" t="s">
        <v>29</v>
      </c>
      <c r="H2451" t="s">
        <v>57</v>
      </c>
      <c r="I2451" t="s">
        <v>148</v>
      </c>
      <c r="J2451">
        <v>2</v>
      </c>
      <c r="K2451">
        <v>19771.53</v>
      </c>
      <c r="L2451">
        <v>39543.06</v>
      </c>
      <c r="M2451">
        <v>927.93</v>
      </c>
      <c r="N2451">
        <v>0</v>
      </c>
      <c r="O2451">
        <v>38615.129999999997</v>
      </c>
      <c r="P2451" t="s">
        <v>31</v>
      </c>
      <c r="Q2451" t="s">
        <v>32</v>
      </c>
    </row>
    <row r="2452" spans="1:17" x14ac:dyDescent="0.25">
      <c r="A2452" t="s">
        <v>2569</v>
      </c>
      <c r="B2452" s="1">
        <v>46029</v>
      </c>
      <c r="C2452" t="s">
        <v>60</v>
      </c>
      <c r="D2452" t="s">
        <v>61</v>
      </c>
      <c r="E2452" t="s">
        <v>20</v>
      </c>
      <c r="F2452" t="s">
        <v>84</v>
      </c>
      <c r="G2452" t="s">
        <v>89</v>
      </c>
      <c r="H2452" t="s">
        <v>67</v>
      </c>
      <c r="I2452" t="s">
        <v>77</v>
      </c>
      <c r="J2452">
        <v>20</v>
      </c>
      <c r="K2452">
        <v>8258.41</v>
      </c>
      <c r="L2452">
        <v>165168.20000000001</v>
      </c>
      <c r="M2452">
        <v>0</v>
      </c>
      <c r="N2452">
        <v>0</v>
      </c>
      <c r="O2452">
        <v>165168.20000000001</v>
      </c>
      <c r="P2452" t="s">
        <v>73</v>
      </c>
      <c r="Q2452" t="s">
        <v>32</v>
      </c>
    </row>
    <row r="2453" spans="1:17" x14ac:dyDescent="0.25">
      <c r="A2453" t="s">
        <v>2570</v>
      </c>
      <c r="B2453" s="1">
        <v>45967</v>
      </c>
      <c r="C2453" t="s">
        <v>54</v>
      </c>
      <c r="D2453" t="s">
        <v>70</v>
      </c>
      <c r="E2453" t="s">
        <v>35</v>
      </c>
      <c r="F2453" t="s">
        <v>50</v>
      </c>
      <c r="G2453" t="s">
        <v>89</v>
      </c>
      <c r="H2453" t="s">
        <v>44</v>
      </c>
      <c r="I2453" t="s">
        <v>281</v>
      </c>
      <c r="J2453">
        <v>18</v>
      </c>
      <c r="K2453">
        <v>43152.31</v>
      </c>
      <c r="L2453">
        <v>776741.58</v>
      </c>
      <c r="M2453">
        <v>0</v>
      </c>
      <c r="N2453">
        <v>0</v>
      </c>
      <c r="O2453">
        <v>776741.58</v>
      </c>
      <c r="P2453" t="s">
        <v>32</v>
      </c>
      <c r="Q2453" t="s">
        <v>32</v>
      </c>
    </row>
    <row r="2454" spans="1:17" x14ac:dyDescent="0.25">
      <c r="A2454" t="s">
        <v>2571</v>
      </c>
      <c r="B2454" s="1">
        <v>46020</v>
      </c>
      <c r="C2454" t="s">
        <v>54</v>
      </c>
      <c r="D2454" t="s">
        <v>55</v>
      </c>
      <c r="E2454" t="s">
        <v>41</v>
      </c>
      <c r="F2454" t="s">
        <v>112</v>
      </c>
      <c r="G2454" t="s">
        <v>89</v>
      </c>
      <c r="H2454" t="s">
        <v>44</v>
      </c>
      <c r="I2454" t="s">
        <v>124</v>
      </c>
      <c r="J2454">
        <v>44</v>
      </c>
      <c r="K2454">
        <v>14277.32</v>
      </c>
      <c r="L2454">
        <v>628202.07999999996</v>
      </c>
      <c r="M2454">
        <v>0</v>
      </c>
      <c r="N2454">
        <v>0</v>
      </c>
      <c r="O2454">
        <v>628202.07999999996</v>
      </c>
      <c r="P2454" t="s">
        <v>73</v>
      </c>
      <c r="Q2454" t="s">
        <v>26</v>
      </c>
    </row>
    <row r="2455" spans="1:17" x14ac:dyDescent="0.25">
      <c r="A2455" t="s">
        <v>2572</v>
      </c>
      <c r="B2455" s="1">
        <v>45959</v>
      </c>
      <c r="C2455" t="s">
        <v>54</v>
      </c>
      <c r="D2455" t="s">
        <v>97</v>
      </c>
      <c r="E2455" t="s">
        <v>41</v>
      </c>
      <c r="F2455" t="s">
        <v>42</v>
      </c>
      <c r="G2455" t="s">
        <v>102</v>
      </c>
      <c r="H2455" t="s">
        <v>57</v>
      </c>
      <c r="I2455" t="s">
        <v>92</v>
      </c>
      <c r="J2455">
        <v>12</v>
      </c>
      <c r="K2455">
        <v>1520.1</v>
      </c>
      <c r="L2455">
        <v>18241.2</v>
      </c>
      <c r="M2455">
        <v>0</v>
      </c>
      <c r="N2455">
        <v>0</v>
      </c>
      <c r="O2455">
        <v>18241.2</v>
      </c>
      <c r="P2455" t="s">
        <v>31</v>
      </c>
      <c r="Q2455" t="s">
        <v>32</v>
      </c>
    </row>
    <row r="2456" spans="1:17" x14ac:dyDescent="0.25">
      <c r="A2456" t="s">
        <v>2573</v>
      </c>
      <c r="B2456" s="1">
        <v>45954</v>
      </c>
      <c r="C2456" t="s">
        <v>47</v>
      </c>
      <c r="D2456" t="s">
        <v>127</v>
      </c>
      <c r="E2456" t="s">
        <v>49</v>
      </c>
      <c r="F2456" t="s">
        <v>36</v>
      </c>
      <c r="G2456" t="s">
        <v>29</v>
      </c>
      <c r="H2456" t="s">
        <v>67</v>
      </c>
      <c r="I2456" t="s">
        <v>68</v>
      </c>
      <c r="J2456">
        <v>46</v>
      </c>
      <c r="K2456">
        <v>17318.03</v>
      </c>
      <c r="L2456">
        <v>796629.38</v>
      </c>
      <c r="M2456">
        <v>97918.54</v>
      </c>
      <c r="N2456">
        <v>0</v>
      </c>
      <c r="O2456">
        <v>698710.84</v>
      </c>
      <c r="P2456" t="s">
        <v>73</v>
      </c>
      <c r="Q2456" t="s">
        <v>26</v>
      </c>
    </row>
    <row r="2457" spans="1:17" x14ac:dyDescent="0.25">
      <c r="A2457" t="s">
        <v>2574</v>
      </c>
      <c r="B2457" s="1">
        <v>46032</v>
      </c>
      <c r="C2457" t="s">
        <v>47</v>
      </c>
      <c r="D2457" t="s">
        <v>114</v>
      </c>
      <c r="E2457" t="s">
        <v>20</v>
      </c>
      <c r="F2457" t="s">
        <v>84</v>
      </c>
      <c r="G2457" t="s">
        <v>85</v>
      </c>
      <c r="H2457" t="s">
        <v>67</v>
      </c>
      <c r="I2457" t="s">
        <v>103</v>
      </c>
      <c r="J2457">
        <v>13</v>
      </c>
      <c r="K2457">
        <v>15217.34</v>
      </c>
      <c r="L2457">
        <v>197825.42</v>
      </c>
      <c r="M2457">
        <v>0</v>
      </c>
      <c r="N2457">
        <v>0</v>
      </c>
      <c r="O2457">
        <v>197825.42</v>
      </c>
      <c r="P2457" t="s">
        <v>25</v>
      </c>
      <c r="Q2457" t="s">
        <v>26</v>
      </c>
    </row>
    <row r="2458" spans="1:17" x14ac:dyDescent="0.25">
      <c r="A2458" t="s">
        <v>2575</v>
      </c>
      <c r="B2458" s="1">
        <v>45956</v>
      </c>
      <c r="C2458" t="s">
        <v>47</v>
      </c>
      <c r="D2458" t="s">
        <v>88</v>
      </c>
      <c r="E2458" t="s">
        <v>35</v>
      </c>
      <c r="F2458" t="s">
        <v>137</v>
      </c>
      <c r="G2458" t="s">
        <v>66</v>
      </c>
      <c r="H2458" t="s">
        <v>67</v>
      </c>
      <c r="I2458" t="s">
        <v>154</v>
      </c>
      <c r="J2458">
        <v>14</v>
      </c>
      <c r="K2458">
        <v>44912.7</v>
      </c>
      <c r="L2458">
        <v>628777.80000000005</v>
      </c>
      <c r="M2458">
        <v>79839.44</v>
      </c>
      <c r="N2458">
        <v>0</v>
      </c>
      <c r="O2458">
        <v>548938.36</v>
      </c>
      <c r="P2458" t="s">
        <v>31</v>
      </c>
      <c r="Q2458" t="s">
        <v>32</v>
      </c>
    </row>
    <row r="2459" spans="1:17" x14ac:dyDescent="0.25">
      <c r="A2459" t="s">
        <v>2576</v>
      </c>
      <c r="B2459" s="1">
        <v>45972</v>
      </c>
      <c r="C2459" t="s">
        <v>18</v>
      </c>
      <c r="D2459" t="s">
        <v>28</v>
      </c>
      <c r="E2459" t="s">
        <v>35</v>
      </c>
      <c r="F2459" t="s">
        <v>112</v>
      </c>
      <c r="G2459" t="s">
        <v>43</v>
      </c>
      <c r="H2459" t="s">
        <v>23</v>
      </c>
      <c r="I2459" t="s">
        <v>110</v>
      </c>
      <c r="J2459">
        <v>13</v>
      </c>
      <c r="K2459">
        <v>14176.99</v>
      </c>
      <c r="L2459">
        <v>184300.87</v>
      </c>
      <c r="M2459">
        <v>0</v>
      </c>
      <c r="N2459">
        <v>9929.02</v>
      </c>
      <c r="O2459">
        <v>174371.85</v>
      </c>
      <c r="P2459" t="s">
        <v>25</v>
      </c>
      <c r="Q2459" t="s">
        <v>26</v>
      </c>
    </row>
    <row r="2460" spans="1:17" x14ac:dyDescent="0.25">
      <c r="A2460" t="s">
        <v>2577</v>
      </c>
      <c r="B2460" s="1">
        <v>46022</v>
      </c>
      <c r="C2460" t="s">
        <v>60</v>
      </c>
      <c r="D2460" t="s">
        <v>65</v>
      </c>
      <c r="E2460" t="s">
        <v>41</v>
      </c>
      <c r="F2460" t="s">
        <v>137</v>
      </c>
      <c r="G2460" t="s">
        <v>29</v>
      </c>
      <c r="H2460" t="s">
        <v>57</v>
      </c>
      <c r="I2460" t="s">
        <v>72</v>
      </c>
      <c r="J2460">
        <v>47</v>
      </c>
      <c r="K2460">
        <v>43053.69</v>
      </c>
      <c r="L2460">
        <v>2023523.43</v>
      </c>
      <c r="M2460">
        <v>13197.48</v>
      </c>
      <c r="N2460">
        <v>0</v>
      </c>
      <c r="O2460">
        <v>2010325.95</v>
      </c>
      <c r="P2460" t="s">
        <v>31</v>
      </c>
      <c r="Q2460" t="s">
        <v>32</v>
      </c>
    </row>
    <row r="2461" spans="1:17" x14ac:dyDescent="0.25">
      <c r="A2461" t="s">
        <v>2578</v>
      </c>
      <c r="B2461" s="1">
        <v>45955</v>
      </c>
      <c r="C2461" t="s">
        <v>60</v>
      </c>
      <c r="D2461" t="s">
        <v>151</v>
      </c>
      <c r="E2461" t="s">
        <v>41</v>
      </c>
      <c r="F2461" t="s">
        <v>105</v>
      </c>
      <c r="G2461" t="s">
        <v>85</v>
      </c>
      <c r="H2461" t="s">
        <v>67</v>
      </c>
      <c r="I2461" t="s">
        <v>103</v>
      </c>
      <c r="J2461">
        <v>2</v>
      </c>
      <c r="K2461">
        <v>39247.93</v>
      </c>
      <c r="L2461">
        <v>78495.86</v>
      </c>
      <c r="M2461">
        <v>13427.67</v>
      </c>
      <c r="N2461">
        <v>0</v>
      </c>
      <c r="O2461">
        <v>65068.19</v>
      </c>
      <c r="P2461" t="s">
        <v>25</v>
      </c>
      <c r="Q2461" t="s">
        <v>26</v>
      </c>
    </row>
    <row r="2462" spans="1:17" x14ac:dyDescent="0.25">
      <c r="A2462" t="s">
        <v>2579</v>
      </c>
      <c r="B2462" s="1">
        <v>45970</v>
      </c>
      <c r="C2462" t="s">
        <v>18</v>
      </c>
      <c r="D2462" t="s">
        <v>19</v>
      </c>
      <c r="E2462" t="s">
        <v>35</v>
      </c>
      <c r="F2462" t="s">
        <v>112</v>
      </c>
      <c r="G2462" t="s">
        <v>85</v>
      </c>
      <c r="H2462" t="s">
        <v>57</v>
      </c>
      <c r="I2462" t="s">
        <v>92</v>
      </c>
      <c r="J2462">
        <v>30</v>
      </c>
      <c r="K2462">
        <v>39055.599999999999</v>
      </c>
      <c r="L2462">
        <v>1171668</v>
      </c>
      <c r="M2462">
        <v>27765.48</v>
      </c>
      <c r="N2462">
        <v>0</v>
      </c>
      <c r="O2462">
        <v>1143902.52</v>
      </c>
      <c r="P2462" t="s">
        <v>25</v>
      </c>
      <c r="Q2462" t="s">
        <v>26</v>
      </c>
    </row>
    <row r="2463" spans="1:17" x14ac:dyDescent="0.25">
      <c r="A2463" t="s">
        <v>2580</v>
      </c>
      <c r="B2463" s="1">
        <v>46033</v>
      </c>
      <c r="C2463" t="s">
        <v>79</v>
      </c>
      <c r="D2463" t="s">
        <v>80</v>
      </c>
      <c r="E2463" t="s">
        <v>20</v>
      </c>
      <c r="F2463" t="s">
        <v>42</v>
      </c>
      <c r="G2463" t="s">
        <v>81</v>
      </c>
      <c r="H2463" t="s">
        <v>23</v>
      </c>
      <c r="I2463" t="s">
        <v>99</v>
      </c>
      <c r="J2463">
        <v>39</v>
      </c>
      <c r="K2463">
        <v>6357.69</v>
      </c>
      <c r="L2463">
        <v>247949.91</v>
      </c>
      <c r="M2463">
        <v>15856.66</v>
      </c>
      <c r="N2463">
        <v>0</v>
      </c>
      <c r="O2463">
        <v>232093.25</v>
      </c>
      <c r="P2463" t="s">
        <v>73</v>
      </c>
      <c r="Q2463" t="s">
        <v>32</v>
      </c>
    </row>
    <row r="2464" spans="1:17" x14ac:dyDescent="0.25">
      <c r="A2464" t="s">
        <v>2581</v>
      </c>
      <c r="B2464" s="1">
        <v>45998</v>
      </c>
      <c r="C2464" t="s">
        <v>47</v>
      </c>
      <c r="D2464" t="s">
        <v>48</v>
      </c>
      <c r="E2464" t="s">
        <v>20</v>
      </c>
      <c r="F2464" t="s">
        <v>112</v>
      </c>
      <c r="G2464" t="s">
        <v>140</v>
      </c>
      <c r="H2464" t="s">
        <v>38</v>
      </c>
      <c r="I2464" t="s">
        <v>175</v>
      </c>
      <c r="J2464">
        <v>21</v>
      </c>
      <c r="K2464">
        <v>29804.63</v>
      </c>
      <c r="L2464">
        <v>625897.23</v>
      </c>
      <c r="M2464">
        <v>0</v>
      </c>
      <c r="N2464">
        <v>0</v>
      </c>
      <c r="O2464">
        <v>625897.23</v>
      </c>
      <c r="P2464" t="s">
        <v>31</v>
      </c>
      <c r="Q2464" t="s">
        <v>32</v>
      </c>
    </row>
    <row r="2465" spans="1:17" x14ac:dyDescent="0.25">
      <c r="A2465" t="s">
        <v>2582</v>
      </c>
      <c r="B2465" s="1">
        <v>46001</v>
      </c>
      <c r="C2465" t="s">
        <v>60</v>
      </c>
      <c r="D2465" t="s">
        <v>123</v>
      </c>
      <c r="E2465" t="s">
        <v>41</v>
      </c>
      <c r="F2465" t="s">
        <v>21</v>
      </c>
      <c r="G2465" t="s">
        <v>56</v>
      </c>
      <c r="H2465" t="s">
        <v>23</v>
      </c>
      <c r="I2465" t="s">
        <v>110</v>
      </c>
      <c r="J2465">
        <v>41</v>
      </c>
      <c r="K2465">
        <v>48966.16</v>
      </c>
      <c r="L2465">
        <v>2007612.56</v>
      </c>
      <c r="M2465">
        <v>352778.81</v>
      </c>
      <c r="N2465">
        <v>0</v>
      </c>
      <c r="O2465">
        <v>1654833.75</v>
      </c>
      <c r="P2465" t="s">
        <v>73</v>
      </c>
      <c r="Q2465" t="s">
        <v>32</v>
      </c>
    </row>
    <row r="2466" spans="1:17" x14ac:dyDescent="0.25">
      <c r="A2466" t="s">
        <v>2583</v>
      </c>
      <c r="B2466" s="1">
        <v>45994</v>
      </c>
      <c r="C2466" t="s">
        <v>54</v>
      </c>
      <c r="D2466" t="s">
        <v>55</v>
      </c>
      <c r="E2466" t="s">
        <v>49</v>
      </c>
      <c r="F2466" t="s">
        <v>36</v>
      </c>
      <c r="G2466" t="s">
        <v>56</v>
      </c>
      <c r="H2466" t="s">
        <v>57</v>
      </c>
      <c r="I2466" t="s">
        <v>118</v>
      </c>
      <c r="J2466">
        <v>44</v>
      </c>
      <c r="K2466">
        <v>34498.18</v>
      </c>
      <c r="L2466">
        <v>1517919.92</v>
      </c>
      <c r="M2466">
        <v>109844.54</v>
      </c>
      <c r="N2466">
        <v>0</v>
      </c>
      <c r="O2466">
        <v>1408075.38</v>
      </c>
      <c r="P2466" t="s">
        <v>25</v>
      </c>
      <c r="Q2466" t="s">
        <v>26</v>
      </c>
    </row>
    <row r="2467" spans="1:17" x14ac:dyDescent="0.25">
      <c r="A2467" t="s">
        <v>2584</v>
      </c>
      <c r="B2467" s="1">
        <v>46019</v>
      </c>
      <c r="C2467" t="s">
        <v>47</v>
      </c>
      <c r="D2467" t="s">
        <v>88</v>
      </c>
      <c r="E2467" t="s">
        <v>49</v>
      </c>
      <c r="F2467" t="s">
        <v>62</v>
      </c>
      <c r="G2467" t="s">
        <v>51</v>
      </c>
      <c r="H2467" t="s">
        <v>44</v>
      </c>
      <c r="I2467" t="s">
        <v>152</v>
      </c>
      <c r="J2467">
        <v>21</v>
      </c>
      <c r="K2467">
        <v>5270.54</v>
      </c>
      <c r="L2467">
        <v>110681.34</v>
      </c>
      <c r="M2467">
        <v>10602.38</v>
      </c>
      <c r="N2467">
        <v>0</v>
      </c>
      <c r="O2467">
        <v>100078.96</v>
      </c>
      <c r="P2467" t="s">
        <v>25</v>
      </c>
      <c r="Q2467" t="s">
        <v>128</v>
      </c>
    </row>
    <row r="2468" spans="1:17" x14ac:dyDescent="0.25">
      <c r="A2468" t="s">
        <v>2585</v>
      </c>
      <c r="B2468" s="1">
        <v>45983</v>
      </c>
      <c r="C2468" t="s">
        <v>79</v>
      </c>
      <c r="D2468" t="s">
        <v>80</v>
      </c>
      <c r="E2468" t="s">
        <v>41</v>
      </c>
      <c r="F2468" t="s">
        <v>84</v>
      </c>
      <c r="G2468" t="s">
        <v>56</v>
      </c>
      <c r="H2468" t="s">
        <v>23</v>
      </c>
      <c r="I2468" t="s">
        <v>131</v>
      </c>
      <c r="J2468">
        <v>29</v>
      </c>
      <c r="K2468">
        <v>2542.42</v>
      </c>
      <c r="L2468">
        <v>73730.179999999993</v>
      </c>
      <c r="M2468">
        <v>0</v>
      </c>
      <c r="N2468">
        <v>0</v>
      </c>
      <c r="O2468">
        <v>73730.179999999993</v>
      </c>
      <c r="P2468" t="s">
        <v>31</v>
      </c>
      <c r="Q2468" t="s">
        <v>32</v>
      </c>
    </row>
    <row r="2469" spans="1:17" x14ac:dyDescent="0.25">
      <c r="A2469" t="s">
        <v>2586</v>
      </c>
      <c r="B2469" s="1">
        <v>46002</v>
      </c>
      <c r="C2469" t="s">
        <v>79</v>
      </c>
      <c r="D2469" t="s">
        <v>107</v>
      </c>
      <c r="E2469" t="s">
        <v>41</v>
      </c>
      <c r="F2469" t="s">
        <v>21</v>
      </c>
      <c r="G2469" t="s">
        <v>85</v>
      </c>
      <c r="H2469" t="s">
        <v>44</v>
      </c>
      <c r="I2469" t="s">
        <v>135</v>
      </c>
      <c r="J2469">
        <v>17</v>
      </c>
      <c r="K2469">
        <v>38104.03</v>
      </c>
      <c r="L2469">
        <v>647768.51</v>
      </c>
      <c r="M2469">
        <v>0</v>
      </c>
      <c r="N2469">
        <v>0</v>
      </c>
      <c r="O2469">
        <v>647768.51</v>
      </c>
      <c r="P2469" t="s">
        <v>25</v>
      </c>
      <c r="Q2469" t="s">
        <v>26</v>
      </c>
    </row>
    <row r="2470" spans="1:17" x14ac:dyDescent="0.25">
      <c r="A2470" t="s">
        <v>2587</v>
      </c>
      <c r="B2470" s="1">
        <v>45964</v>
      </c>
      <c r="C2470" t="s">
        <v>47</v>
      </c>
      <c r="D2470" t="s">
        <v>88</v>
      </c>
      <c r="E2470" t="s">
        <v>20</v>
      </c>
      <c r="F2470" t="s">
        <v>62</v>
      </c>
      <c r="G2470" t="s">
        <v>81</v>
      </c>
      <c r="H2470" t="s">
        <v>38</v>
      </c>
      <c r="I2470" t="s">
        <v>82</v>
      </c>
      <c r="J2470">
        <v>44</v>
      </c>
      <c r="K2470">
        <v>3915.32</v>
      </c>
      <c r="L2470">
        <v>172274.08</v>
      </c>
      <c r="M2470">
        <v>0</v>
      </c>
      <c r="N2470">
        <v>0</v>
      </c>
      <c r="O2470">
        <v>172274.08</v>
      </c>
      <c r="P2470" t="s">
        <v>25</v>
      </c>
      <c r="Q2470" t="s">
        <v>26</v>
      </c>
    </row>
    <row r="2471" spans="1:17" x14ac:dyDescent="0.25">
      <c r="A2471" t="s">
        <v>2588</v>
      </c>
      <c r="B2471" s="1">
        <v>46004</v>
      </c>
      <c r="C2471" t="s">
        <v>54</v>
      </c>
      <c r="D2471" t="s">
        <v>97</v>
      </c>
      <c r="E2471" t="s">
        <v>20</v>
      </c>
      <c r="F2471" t="s">
        <v>71</v>
      </c>
      <c r="G2471" t="s">
        <v>98</v>
      </c>
      <c r="H2471" t="s">
        <v>38</v>
      </c>
      <c r="I2471" t="s">
        <v>120</v>
      </c>
      <c r="J2471">
        <v>20</v>
      </c>
      <c r="K2471">
        <v>35199.410000000003</v>
      </c>
      <c r="L2471">
        <v>703988.2</v>
      </c>
      <c r="M2471">
        <v>105301.92</v>
      </c>
      <c r="N2471">
        <v>0</v>
      </c>
      <c r="O2471">
        <v>598686.28</v>
      </c>
      <c r="P2471" t="s">
        <v>31</v>
      </c>
      <c r="Q2471" t="s">
        <v>32</v>
      </c>
    </row>
    <row r="2472" spans="1:17" x14ac:dyDescent="0.25">
      <c r="A2472" t="s">
        <v>2589</v>
      </c>
      <c r="B2472" s="1">
        <v>45961</v>
      </c>
      <c r="C2472" t="s">
        <v>18</v>
      </c>
      <c r="D2472" t="s">
        <v>75</v>
      </c>
      <c r="E2472" t="s">
        <v>35</v>
      </c>
      <c r="F2472" t="s">
        <v>50</v>
      </c>
      <c r="G2472" t="s">
        <v>29</v>
      </c>
      <c r="H2472" t="s">
        <v>57</v>
      </c>
      <c r="I2472" t="s">
        <v>58</v>
      </c>
      <c r="J2472">
        <v>6</v>
      </c>
      <c r="K2472">
        <v>2063.91</v>
      </c>
      <c r="L2472">
        <v>12383.46</v>
      </c>
      <c r="M2472">
        <v>0</v>
      </c>
      <c r="N2472">
        <v>0</v>
      </c>
      <c r="O2472">
        <v>12383.46</v>
      </c>
      <c r="P2472" t="s">
        <v>32</v>
      </c>
      <c r="Q2472" t="s">
        <v>32</v>
      </c>
    </row>
    <row r="2473" spans="1:17" x14ac:dyDescent="0.25">
      <c r="A2473" t="s">
        <v>2590</v>
      </c>
      <c r="B2473" s="1">
        <v>45960</v>
      </c>
      <c r="C2473" t="s">
        <v>18</v>
      </c>
      <c r="D2473" t="s">
        <v>19</v>
      </c>
      <c r="E2473" t="s">
        <v>35</v>
      </c>
      <c r="F2473" t="s">
        <v>71</v>
      </c>
      <c r="G2473" t="s">
        <v>29</v>
      </c>
      <c r="H2473" t="s">
        <v>44</v>
      </c>
      <c r="I2473" t="s">
        <v>45</v>
      </c>
      <c r="J2473">
        <v>20</v>
      </c>
      <c r="K2473">
        <v>2161.37</v>
      </c>
      <c r="L2473">
        <v>43227.4</v>
      </c>
      <c r="M2473">
        <v>0</v>
      </c>
      <c r="N2473">
        <v>0</v>
      </c>
      <c r="O2473">
        <v>43227.4</v>
      </c>
      <c r="P2473" t="s">
        <v>25</v>
      </c>
      <c r="Q2473" t="s">
        <v>26</v>
      </c>
    </row>
    <row r="2474" spans="1:17" x14ac:dyDescent="0.25">
      <c r="A2474" t="s">
        <v>2591</v>
      </c>
      <c r="B2474" s="1">
        <v>45996</v>
      </c>
      <c r="C2474" t="s">
        <v>79</v>
      </c>
      <c r="D2474" t="s">
        <v>107</v>
      </c>
      <c r="E2474" t="s">
        <v>49</v>
      </c>
      <c r="F2474" t="s">
        <v>84</v>
      </c>
      <c r="G2474" t="s">
        <v>138</v>
      </c>
      <c r="H2474" t="s">
        <v>23</v>
      </c>
      <c r="I2474" t="s">
        <v>24</v>
      </c>
      <c r="J2474">
        <v>9</v>
      </c>
      <c r="K2474">
        <v>49318.16</v>
      </c>
      <c r="L2474">
        <v>443863.44</v>
      </c>
      <c r="M2474">
        <v>48208.54</v>
      </c>
      <c r="N2474">
        <v>0</v>
      </c>
      <c r="O2474">
        <v>395654.9</v>
      </c>
      <c r="P2474" t="s">
        <v>25</v>
      </c>
      <c r="Q2474" t="s">
        <v>32</v>
      </c>
    </row>
    <row r="2475" spans="1:17" x14ac:dyDescent="0.25">
      <c r="A2475" t="s">
        <v>2592</v>
      </c>
      <c r="B2475" s="1">
        <v>46023</v>
      </c>
      <c r="C2475" t="s">
        <v>54</v>
      </c>
      <c r="D2475" t="s">
        <v>70</v>
      </c>
      <c r="E2475" t="s">
        <v>35</v>
      </c>
      <c r="F2475" t="s">
        <v>50</v>
      </c>
      <c r="G2475" t="s">
        <v>63</v>
      </c>
      <c r="H2475" t="s">
        <v>94</v>
      </c>
      <c r="I2475" t="s">
        <v>95</v>
      </c>
      <c r="J2475">
        <v>7</v>
      </c>
      <c r="K2475">
        <v>23411.55</v>
      </c>
      <c r="L2475">
        <v>163880.85</v>
      </c>
      <c r="M2475">
        <v>30368.51</v>
      </c>
      <c r="N2475">
        <v>0</v>
      </c>
      <c r="O2475">
        <v>133512.34</v>
      </c>
      <c r="P2475" t="s">
        <v>25</v>
      </c>
      <c r="Q2475" t="s">
        <v>26</v>
      </c>
    </row>
    <row r="2476" spans="1:17" x14ac:dyDescent="0.25">
      <c r="A2476" t="s">
        <v>2593</v>
      </c>
      <c r="B2476" s="1">
        <v>45994</v>
      </c>
      <c r="C2476" t="s">
        <v>47</v>
      </c>
      <c r="D2476" t="s">
        <v>48</v>
      </c>
      <c r="E2476" t="s">
        <v>35</v>
      </c>
      <c r="F2476" t="s">
        <v>84</v>
      </c>
      <c r="G2476" t="s">
        <v>43</v>
      </c>
      <c r="H2476" t="s">
        <v>57</v>
      </c>
      <c r="I2476" t="s">
        <v>160</v>
      </c>
      <c r="J2476">
        <v>33</v>
      </c>
      <c r="K2476">
        <v>3903.58</v>
      </c>
      <c r="L2476">
        <v>128818.14</v>
      </c>
      <c r="M2476">
        <v>4371.7</v>
      </c>
      <c r="N2476">
        <v>0</v>
      </c>
      <c r="O2476">
        <v>124446.44</v>
      </c>
      <c r="P2476" t="s">
        <v>73</v>
      </c>
      <c r="Q2476" t="s">
        <v>32</v>
      </c>
    </row>
    <row r="2477" spans="1:17" x14ac:dyDescent="0.25">
      <c r="A2477" t="s">
        <v>2594</v>
      </c>
      <c r="B2477" s="1">
        <v>45969</v>
      </c>
      <c r="C2477" t="s">
        <v>60</v>
      </c>
      <c r="D2477" t="s">
        <v>123</v>
      </c>
      <c r="E2477" t="s">
        <v>35</v>
      </c>
      <c r="F2477" t="s">
        <v>137</v>
      </c>
      <c r="G2477" t="s">
        <v>63</v>
      </c>
      <c r="H2477" t="s">
        <v>94</v>
      </c>
      <c r="I2477" t="s">
        <v>115</v>
      </c>
      <c r="J2477">
        <v>32</v>
      </c>
      <c r="K2477">
        <v>7415.45</v>
      </c>
      <c r="L2477">
        <v>237294.4</v>
      </c>
      <c r="M2477">
        <v>0</v>
      </c>
      <c r="N2477">
        <v>0</v>
      </c>
      <c r="O2477">
        <v>237294.4</v>
      </c>
      <c r="P2477" t="s">
        <v>25</v>
      </c>
      <c r="Q2477" t="s">
        <v>26</v>
      </c>
    </row>
    <row r="2478" spans="1:17" x14ac:dyDescent="0.25">
      <c r="A2478" t="s">
        <v>2595</v>
      </c>
      <c r="B2478" s="1">
        <v>45974</v>
      </c>
      <c r="C2478" t="s">
        <v>18</v>
      </c>
      <c r="D2478" t="s">
        <v>75</v>
      </c>
      <c r="E2478" t="s">
        <v>41</v>
      </c>
      <c r="F2478" t="s">
        <v>50</v>
      </c>
      <c r="G2478" t="s">
        <v>81</v>
      </c>
      <c r="H2478" t="s">
        <v>23</v>
      </c>
      <c r="I2478" t="s">
        <v>52</v>
      </c>
      <c r="J2478">
        <v>13</v>
      </c>
      <c r="K2478">
        <v>7164.79</v>
      </c>
      <c r="L2478">
        <v>93142.27</v>
      </c>
      <c r="M2478">
        <v>0</v>
      </c>
      <c r="N2478">
        <v>0</v>
      </c>
      <c r="O2478">
        <v>93142.27</v>
      </c>
      <c r="P2478" t="s">
        <v>31</v>
      </c>
      <c r="Q2478" t="s">
        <v>32</v>
      </c>
    </row>
    <row r="2479" spans="1:17" x14ac:dyDescent="0.25">
      <c r="A2479" t="s">
        <v>2596</v>
      </c>
      <c r="B2479" s="1">
        <v>46042</v>
      </c>
      <c r="C2479" t="s">
        <v>79</v>
      </c>
      <c r="D2479" t="s">
        <v>80</v>
      </c>
      <c r="E2479" t="s">
        <v>41</v>
      </c>
      <c r="F2479" t="s">
        <v>112</v>
      </c>
      <c r="G2479" t="s">
        <v>43</v>
      </c>
      <c r="H2479" t="s">
        <v>44</v>
      </c>
      <c r="I2479" t="s">
        <v>45</v>
      </c>
      <c r="J2479">
        <v>48</v>
      </c>
      <c r="K2479">
        <v>11148.25</v>
      </c>
      <c r="L2479">
        <v>535116</v>
      </c>
      <c r="M2479">
        <v>70744.820000000007</v>
      </c>
      <c r="N2479">
        <v>0</v>
      </c>
      <c r="O2479">
        <v>464371.18</v>
      </c>
      <c r="P2479" t="s">
        <v>32</v>
      </c>
      <c r="Q2479" t="s">
        <v>26</v>
      </c>
    </row>
    <row r="2480" spans="1:17" x14ac:dyDescent="0.25">
      <c r="A2480" t="s">
        <v>2597</v>
      </c>
      <c r="B2480" s="1">
        <v>45989</v>
      </c>
      <c r="C2480" t="s">
        <v>47</v>
      </c>
      <c r="D2480" t="s">
        <v>88</v>
      </c>
      <c r="E2480" t="s">
        <v>35</v>
      </c>
      <c r="F2480" t="s">
        <v>36</v>
      </c>
      <c r="G2480" t="s">
        <v>22</v>
      </c>
      <c r="H2480" t="s">
        <v>23</v>
      </c>
      <c r="I2480" t="s">
        <v>110</v>
      </c>
      <c r="J2480">
        <v>7</v>
      </c>
      <c r="K2480">
        <v>24040.43</v>
      </c>
      <c r="L2480">
        <v>168283.01</v>
      </c>
      <c r="M2480">
        <v>0</v>
      </c>
      <c r="N2480">
        <v>0</v>
      </c>
      <c r="O2480">
        <v>168283.01</v>
      </c>
      <c r="P2480" t="s">
        <v>73</v>
      </c>
      <c r="Q2480" t="s">
        <v>32</v>
      </c>
    </row>
    <row r="2481" spans="1:17" x14ac:dyDescent="0.25">
      <c r="A2481" t="s">
        <v>2598</v>
      </c>
      <c r="B2481" s="1">
        <v>45958</v>
      </c>
      <c r="C2481" t="s">
        <v>47</v>
      </c>
      <c r="D2481" t="s">
        <v>48</v>
      </c>
      <c r="E2481" t="s">
        <v>49</v>
      </c>
      <c r="F2481" t="s">
        <v>42</v>
      </c>
      <c r="G2481" t="s">
        <v>81</v>
      </c>
      <c r="H2481" t="s">
        <v>67</v>
      </c>
      <c r="I2481" t="s">
        <v>68</v>
      </c>
      <c r="J2481">
        <v>25</v>
      </c>
      <c r="K2481">
        <v>40034.199999999997</v>
      </c>
      <c r="L2481">
        <v>1000855</v>
      </c>
      <c r="M2481">
        <v>196313.04</v>
      </c>
      <c r="N2481">
        <v>0</v>
      </c>
      <c r="O2481">
        <v>804541.96</v>
      </c>
      <c r="P2481" t="s">
        <v>73</v>
      </c>
      <c r="Q2481" t="s">
        <v>32</v>
      </c>
    </row>
    <row r="2482" spans="1:17" x14ac:dyDescent="0.25">
      <c r="A2482" t="s">
        <v>2599</v>
      </c>
      <c r="B2482" s="1">
        <v>45963</v>
      </c>
      <c r="C2482" t="s">
        <v>54</v>
      </c>
      <c r="D2482" t="s">
        <v>133</v>
      </c>
      <c r="E2482" t="s">
        <v>41</v>
      </c>
      <c r="F2482" t="s">
        <v>112</v>
      </c>
      <c r="G2482" t="s">
        <v>22</v>
      </c>
      <c r="H2482" t="s">
        <v>38</v>
      </c>
      <c r="I2482" t="s">
        <v>175</v>
      </c>
      <c r="J2482">
        <v>34</v>
      </c>
      <c r="K2482">
        <v>23835.68</v>
      </c>
      <c r="L2482">
        <v>810413.12</v>
      </c>
      <c r="M2482">
        <v>0</v>
      </c>
      <c r="N2482">
        <v>182951.98</v>
      </c>
      <c r="O2482">
        <v>627461.14</v>
      </c>
      <c r="P2482" t="s">
        <v>73</v>
      </c>
      <c r="Q2482" t="s">
        <v>32</v>
      </c>
    </row>
    <row r="2483" spans="1:17" x14ac:dyDescent="0.25">
      <c r="A2483" t="s">
        <v>2600</v>
      </c>
      <c r="B2483" s="1">
        <v>45956</v>
      </c>
      <c r="C2483" t="s">
        <v>47</v>
      </c>
      <c r="D2483" t="s">
        <v>88</v>
      </c>
      <c r="E2483" t="s">
        <v>35</v>
      </c>
      <c r="F2483" t="s">
        <v>36</v>
      </c>
      <c r="G2483" t="s">
        <v>22</v>
      </c>
      <c r="H2483" t="s">
        <v>94</v>
      </c>
      <c r="I2483" t="s">
        <v>177</v>
      </c>
      <c r="J2483">
        <v>2</v>
      </c>
      <c r="K2483">
        <v>42630</v>
      </c>
      <c r="L2483">
        <v>85260</v>
      </c>
      <c r="M2483">
        <v>0</v>
      </c>
      <c r="N2483">
        <v>0</v>
      </c>
      <c r="O2483">
        <v>85260</v>
      </c>
      <c r="P2483" t="s">
        <v>25</v>
      </c>
      <c r="Q2483" t="s">
        <v>26</v>
      </c>
    </row>
    <row r="2484" spans="1:17" x14ac:dyDescent="0.25">
      <c r="A2484" t="s">
        <v>2601</v>
      </c>
      <c r="B2484" s="1">
        <v>46025</v>
      </c>
      <c r="C2484" t="s">
        <v>18</v>
      </c>
      <c r="D2484" t="s">
        <v>34</v>
      </c>
      <c r="E2484" t="s">
        <v>20</v>
      </c>
      <c r="F2484" t="s">
        <v>21</v>
      </c>
      <c r="G2484" t="s">
        <v>81</v>
      </c>
      <c r="H2484" t="s">
        <v>67</v>
      </c>
      <c r="I2484" t="s">
        <v>68</v>
      </c>
      <c r="J2484">
        <v>17</v>
      </c>
      <c r="K2484">
        <v>48441.55</v>
      </c>
      <c r="L2484">
        <v>823506.35</v>
      </c>
      <c r="M2484">
        <v>17524.2</v>
      </c>
      <c r="N2484">
        <v>0</v>
      </c>
      <c r="O2484">
        <v>805982.15</v>
      </c>
      <c r="P2484" t="s">
        <v>32</v>
      </c>
      <c r="Q2484" t="s">
        <v>32</v>
      </c>
    </row>
    <row r="2485" spans="1:17" x14ac:dyDescent="0.25">
      <c r="A2485" t="s">
        <v>2602</v>
      </c>
      <c r="B2485" s="1">
        <v>45995</v>
      </c>
      <c r="C2485" t="s">
        <v>79</v>
      </c>
      <c r="D2485" t="s">
        <v>91</v>
      </c>
      <c r="E2485" t="s">
        <v>41</v>
      </c>
      <c r="F2485" t="s">
        <v>62</v>
      </c>
      <c r="G2485" t="s">
        <v>81</v>
      </c>
      <c r="H2485" t="s">
        <v>38</v>
      </c>
      <c r="I2485" t="s">
        <v>39</v>
      </c>
      <c r="J2485">
        <v>27</v>
      </c>
      <c r="K2485">
        <v>18920.5</v>
      </c>
      <c r="L2485">
        <v>510853.5</v>
      </c>
      <c r="M2485">
        <v>0</v>
      </c>
      <c r="N2485">
        <v>0</v>
      </c>
      <c r="O2485">
        <v>510853.5</v>
      </c>
      <c r="P2485" t="s">
        <v>32</v>
      </c>
      <c r="Q2485" t="s">
        <v>32</v>
      </c>
    </row>
    <row r="2486" spans="1:17" x14ac:dyDescent="0.25">
      <c r="A2486" t="s">
        <v>2603</v>
      </c>
      <c r="B2486" s="1">
        <v>45965</v>
      </c>
      <c r="C2486" t="s">
        <v>18</v>
      </c>
      <c r="D2486" t="s">
        <v>19</v>
      </c>
      <c r="E2486" t="s">
        <v>49</v>
      </c>
      <c r="F2486" t="s">
        <v>137</v>
      </c>
      <c r="G2486" t="s">
        <v>140</v>
      </c>
      <c r="H2486" t="s">
        <v>23</v>
      </c>
      <c r="I2486" t="s">
        <v>52</v>
      </c>
      <c r="J2486">
        <v>23</v>
      </c>
      <c r="K2486">
        <v>4282.66</v>
      </c>
      <c r="L2486">
        <v>98501.18</v>
      </c>
      <c r="M2486">
        <v>696.58</v>
      </c>
      <c r="N2486">
        <v>0</v>
      </c>
      <c r="O2486">
        <v>97804.6</v>
      </c>
      <c r="P2486" t="s">
        <v>73</v>
      </c>
      <c r="Q2486" t="s">
        <v>32</v>
      </c>
    </row>
    <row r="2487" spans="1:17" x14ac:dyDescent="0.25">
      <c r="A2487" t="s">
        <v>2604</v>
      </c>
      <c r="B2487" s="1">
        <v>46015</v>
      </c>
      <c r="C2487" t="s">
        <v>79</v>
      </c>
      <c r="D2487" t="s">
        <v>80</v>
      </c>
      <c r="E2487" t="s">
        <v>35</v>
      </c>
      <c r="F2487" t="s">
        <v>112</v>
      </c>
      <c r="G2487" t="s">
        <v>81</v>
      </c>
      <c r="H2487" t="s">
        <v>23</v>
      </c>
      <c r="I2487" t="s">
        <v>30</v>
      </c>
      <c r="J2487">
        <v>50</v>
      </c>
      <c r="K2487">
        <v>25851.4</v>
      </c>
      <c r="L2487">
        <v>1292570</v>
      </c>
      <c r="M2487">
        <v>227875.57</v>
      </c>
      <c r="N2487">
        <v>0</v>
      </c>
      <c r="O2487">
        <v>1064694.43</v>
      </c>
      <c r="P2487" t="s">
        <v>31</v>
      </c>
      <c r="Q2487" t="s">
        <v>32</v>
      </c>
    </row>
    <row r="2488" spans="1:17" x14ac:dyDescent="0.25">
      <c r="A2488" t="s">
        <v>2605</v>
      </c>
      <c r="B2488" s="1">
        <v>45972</v>
      </c>
      <c r="C2488" t="s">
        <v>18</v>
      </c>
      <c r="D2488" t="s">
        <v>75</v>
      </c>
      <c r="E2488" t="s">
        <v>49</v>
      </c>
      <c r="F2488" t="s">
        <v>71</v>
      </c>
      <c r="G2488" t="s">
        <v>56</v>
      </c>
      <c r="H2488" t="s">
        <v>57</v>
      </c>
      <c r="I2488" t="s">
        <v>148</v>
      </c>
      <c r="J2488">
        <v>6</v>
      </c>
      <c r="K2488">
        <v>21643.42</v>
      </c>
      <c r="L2488">
        <v>129860.52</v>
      </c>
      <c r="M2488">
        <v>21070.1</v>
      </c>
      <c r="N2488">
        <v>0</v>
      </c>
      <c r="O2488">
        <v>108790.42</v>
      </c>
      <c r="P2488" t="s">
        <v>73</v>
      </c>
      <c r="Q2488" t="s">
        <v>32</v>
      </c>
    </row>
    <row r="2489" spans="1:17" x14ac:dyDescent="0.25">
      <c r="A2489" t="s">
        <v>2606</v>
      </c>
      <c r="B2489" s="1">
        <v>45968</v>
      </c>
      <c r="C2489" t="s">
        <v>18</v>
      </c>
      <c r="D2489" t="s">
        <v>34</v>
      </c>
      <c r="E2489" t="s">
        <v>35</v>
      </c>
      <c r="F2489" t="s">
        <v>71</v>
      </c>
      <c r="G2489" t="s">
        <v>37</v>
      </c>
      <c r="H2489" t="s">
        <v>44</v>
      </c>
      <c r="I2489" t="s">
        <v>141</v>
      </c>
      <c r="J2489">
        <v>3</v>
      </c>
      <c r="K2489">
        <v>20550.45</v>
      </c>
      <c r="L2489">
        <v>61651.35</v>
      </c>
      <c r="M2489">
        <v>8721.48</v>
      </c>
      <c r="N2489">
        <v>0</v>
      </c>
      <c r="O2489">
        <v>52929.87</v>
      </c>
      <c r="P2489" t="s">
        <v>31</v>
      </c>
      <c r="Q2489" t="s">
        <v>32</v>
      </c>
    </row>
    <row r="2490" spans="1:17" x14ac:dyDescent="0.25">
      <c r="A2490" t="s">
        <v>2607</v>
      </c>
      <c r="B2490" s="1">
        <v>46035</v>
      </c>
      <c r="C2490" t="s">
        <v>60</v>
      </c>
      <c r="D2490" t="s">
        <v>65</v>
      </c>
      <c r="E2490" t="s">
        <v>35</v>
      </c>
      <c r="F2490" t="s">
        <v>84</v>
      </c>
      <c r="G2490" t="s">
        <v>89</v>
      </c>
      <c r="H2490" t="s">
        <v>67</v>
      </c>
      <c r="I2490" t="s">
        <v>68</v>
      </c>
      <c r="J2490">
        <v>16</v>
      </c>
      <c r="K2490">
        <v>12948.31</v>
      </c>
      <c r="L2490">
        <v>207172.96</v>
      </c>
      <c r="M2490">
        <v>31787.84</v>
      </c>
      <c r="N2490">
        <v>30977.22</v>
      </c>
      <c r="O2490">
        <v>144407.9</v>
      </c>
      <c r="P2490" t="s">
        <v>32</v>
      </c>
      <c r="Q2490" t="s">
        <v>32</v>
      </c>
    </row>
    <row r="2491" spans="1:17" x14ac:dyDescent="0.25">
      <c r="A2491" t="s">
        <v>2608</v>
      </c>
      <c r="B2491" s="1">
        <v>45999</v>
      </c>
      <c r="C2491" t="s">
        <v>60</v>
      </c>
      <c r="D2491" t="s">
        <v>123</v>
      </c>
      <c r="E2491" t="s">
        <v>35</v>
      </c>
      <c r="F2491" t="s">
        <v>84</v>
      </c>
      <c r="G2491" t="s">
        <v>89</v>
      </c>
      <c r="H2491" t="s">
        <v>57</v>
      </c>
      <c r="I2491" t="s">
        <v>160</v>
      </c>
      <c r="J2491">
        <v>31</v>
      </c>
      <c r="K2491">
        <v>45905.73</v>
      </c>
      <c r="L2491">
        <v>1423077.63</v>
      </c>
      <c r="M2491">
        <v>0</v>
      </c>
      <c r="N2491">
        <v>0</v>
      </c>
      <c r="O2491">
        <v>1423077.63</v>
      </c>
      <c r="P2491" t="s">
        <v>73</v>
      </c>
      <c r="Q2491" t="s">
        <v>32</v>
      </c>
    </row>
    <row r="2492" spans="1:17" x14ac:dyDescent="0.25">
      <c r="A2492" t="s">
        <v>2609</v>
      </c>
      <c r="B2492" s="1">
        <v>45987</v>
      </c>
      <c r="C2492" t="s">
        <v>54</v>
      </c>
      <c r="D2492" t="s">
        <v>133</v>
      </c>
      <c r="E2492" t="s">
        <v>49</v>
      </c>
      <c r="F2492" t="s">
        <v>84</v>
      </c>
      <c r="G2492" t="s">
        <v>89</v>
      </c>
      <c r="H2492" t="s">
        <v>23</v>
      </c>
      <c r="I2492" t="s">
        <v>30</v>
      </c>
      <c r="J2492">
        <v>19</v>
      </c>
      <c r="K2492">
        <v>38699.22</v>
      </c>
      <c r="L2492">
        <v>735285.18</v>
      </c>
      <c r="M2492">
        <v>82530.5</v>
      </c>
      <c r="N2492">
        <v>0</v>
      </c>
      <c r="O2492">
        <v>652754.68000000005</v>
      </c>
      <c r="P2492" t="s">
        <v>32</v>
      </c>
      <c r="Q2492" t="s">
        <v>32</v>
      </c>
    </row>
    <row r="2493" spans="1:17" x14ac:dyDescent="0.25">
      <c r="A2493" t="s">
        <v>2610</v>
      </c>
      <c r="B2493" s="1">
        <v>45992</v>
      </c>
      <c r="C2493" t="s">
        <v>18</v>
      </c>
      <c r="D2493" t="s">
        <v>34</v>
      </c>
      <c r="E2493" t="s">
        <v>49</v>
      </c>
      <c r="F2493" t="s">
        <v>137</v>
      </c>
      <c r="G2493" t="s">
        <v>98</v>
      </c>
      <c r="H2493" t="s">
        <v>57</v>
      </c>
      <c r="I2493" t="s">
        <v>92</v>
      </c>
      <c r="J2493">
        <v>43</v>
      </c>
      <c r="K2493">
        <v>29560.14</v>
      </c>
      <c r="L2493">
        <v>1271086.02</v>
      </c>
      <c r="M2493">
        <v>12726.26</v>
      </c>
      <c r="N2493">
        <v>117491.24</v>
      </c>
      <c r="O2493">
        <v>1140868.52</v>
      </c>
      <c r="P2493" t="s">
        <v>32</v>
      </c>
      <c r="Q2493" t="s">
        <v>32</v>
      </c>
    </row>
    <row r="2494" spans="1:17" x14ac:dyDescent="0.25">
      <c r="A2494" t="s">
        <v>2611</v>
      </c>
      <c r="B2494" s="1">
        <v>45992</v>
      </c>
      <c r="C2494" t="s">
        <v>54</v>
      </c>
      <c r="D2494" t="s">
        <v>70</v>
      </c>
      <c r="E2494" t="s">
        <v>35</v>
      </c>
      <c r="F2494" t="s">
        <v>42</v>
      </c>
      <c r="G2494" t="s">
        <v>85</v>
      </c>
      <c r="H2494" t="s">
        <v>44</v>
      </c>
      <c r="I2494" t="s">
        <v>152</v>
      </c>
      <c r="J2494">
        <v>30</v>
      </c>
      <c r="K2494">
        <v>2474.33</v>
      </c>
      <c r="L2494">
        <v>74229.899999999994</v>
      </c>
      <c r="M2494">
        <v>6140.44</v>
      </c>
      <c r="N2494">
        <v>0</v>
      </c>
      <c r="O2494">
        <v>68089.460000000006</v>
      </c>
      <c r="P2494" t="s">
        <v>25</v>
      </c>
      <c r="Q2494" t="s">
        <v>26</v>
      </c>
    </row>
    <row r="2495" spans="1:17" x14ac:dyDescent="0.25">
      <c r="A2495" t="s">
        <v>2612</v>
      </c>
      <c r="B2495" s="1">
        <v>45960</v>
      </c>
      <c r="C2495" t="s">
        <v>47</v>
      </c>
      <c r="D2495" t="s">
        <v>114</v>
      </c>
      <c r="E2495" t="s">
        <v>41</v>
      </c>
      <c r="F2495" t="s">
        <v>62</v>
      </c>
      <c r="G2495" t="s">
        <v>56</v>
      </c>
      <c r="H2495" t="s">
        <v>44</v>
      </c>
      <c r="I2495" t="s">
        <v>45</v>
      </c>
      <c r="J2495">
        <v>7</v>
      </c>
      <c r="K2495">
        <v>17715.419999999998</v>
      </c>
      <c r="L2495">
        <v>124007.94</v>
      </c>
      <c r="M2495">
        <v>4041.59</v>
      </c>
      <c r="N2495">
        <v>0</v>
      </c>
      <c r="O2495">
        <v>119966.35</v>
      </c>
      <c r="P2495" t="s">
        <v>73</v>
      </c>
      <c r="Q2495" t="s">
        <v>32</v>
      </c>
    </row>
    <row r="2496" spans="1:17" x14ac:dyDescent="0.25">
      <c r="A2496" t="s">
        <v>2613</v>
      </c>
      <c r="B2496" s="1">
        <v>46013</v>
      </c>
      <c r="C2496" t="s">
        <v>54</v>
      </c>
      <c r="D2496" t="s">
        <v>133</v>
      </c>
      <c r="E2496" t="s">
        <v>41</v>
      </c>
      <c r="F2496" t="s">
        <v>50</v>
      </c>
      <c r="G2496" t="s">
        <v>140</v>
      </c>
      <c r="H2496" t="s">
        <v>38</v>
      </c>
      <c r="I2496" t="s">
        <v>175</v>
      </c>
      <c r="J2496">
        <v>23</v>
      </c>
      <c r="K2496">
        <v>40256.06</v>
      </c>
      <c r="L2496">
        <v>925889.38</v>
      </c>
      <c r="M2496">
        <v>0</v>
      </c>
      <c r="N2496">
        <v>0</v>
      </c>
      <c r="O2496">
        <v>925889.38</v>
      </c>
      <c r="P2496" t="s">
        <v>25</v>
      </c>
      <c r="Q2496" t="s">
        <v>26</v>
      </c>
    </row>
    <row r="2497" spans="1:17" x14ac:dyDescent="0.25">
      <c r="A2497" t="s">
        <v>2614</v>
      </c>
      <c r="B2497" s="1">
        <v>46032</v>
      </c>
      <c r="C2497" t="s">
        <v>18</v>
      </c>
      <c r="D2497" t="s">
        <v>19</v>
      </c>
      <c r="E2497" t="s">
        <v>20</v>
      </c>
      <c r="F2497" t="s">
        <v>112</v>
      </c>
      <c r="G2497" t="s">
        <v>37</v>
      </c>
      <c r="H2497" t="s">
        <v>23</v>
      </c>
      <c r="I2497" t="s">
        <v>52</v>
      </c>
      <c r="J2497">
        <v>16</v>
      </c>
      <c r="K2497">
        <v>10937.48</v>
      </c>
      <c r="L2497">
        <v>174999.67999999999</v>
      </c>
      <c r="M2497">
        <v>0</v>
      </c>
      <c r="N2497">
        <v>0</v>
      </c>
      <c r="O2497">
        <v>174999.67999999999</v>
      </c>
      <c r="P2497" t="s">
        <v>31</v>
      </c>
      <c r="Q2497" t="s">
        <v>32</v>
      </c>
    </row>
    <row r="2498" spans="1:17" x14ac:dyDescent="0.25">
      <c r="A2498" t="s">
        <v>2615</v>
      </c>
      <c r="B2498" s="1">
        <v>46024</v>
      </c>
      <c r="C2498" t="s">
        <v>79</v>
      </c>
      <c r="D2498" t="s">
        <v>101</v>
      </c>
      <c r="E2498" t="s">
        <v>41</v>
      </c>
      <c r="F2498" t="s">
        <v>112</v>
      </c>
      <c r="G2498" t="s">
        <v>138</v>
      </c>
      <c r="H2498" t="s">
        <v>23</v>
      </c>
      <c r="I2498" t="s">
        <v>131</v>
      </c>
      <c r="J2498">
        <v>13</v>
      </c>
      <c r="K2498">
        <v>15568.45</v>
      </c>
      <c r="L2498">
        <v>202389.85</v>
      </c>
      <c r="M2498">
        <v>0</v>
      </c>
      <c r="N2498">
        <v>0</v>
      </c>
      <c r="O2498">
        <v>202389.85</v>
      </c>
      <c r="P2498" t="s">
        <v>25</v>
      </c>
      <c r="Q2498" t="s">
        <v>26</v>
      </c>
    </row>
    <row r="2499" spans="1:17" x14ac:dyDescent="0.25">
      <c r="A2499" t="s">
        <v>2616</v>
      </c>
      <c r="B2499" s="1">
        <v>45973</v>
      </c>
      <c r="C2499" t="s">
        <v>54</v>
      </c>
      <c r="D2499" t="s">
        <v>97</v>
      </c>
      <c r="E2499" t="s">
        <v>35</v>
      </c>
      <c r="F2499" t="s">
        <v>62</v>
      </c>
      <c r="G2499" t="s">
        <v>138</v>
      </c>
      <c r="H2499" t="s">
        <v>44</v>
      </c>
      <c r="I2499" t="s">
        <v>152</v>
      </c>
      <c r="J2499">
        <v>43</v>
      </c>
      <c r="K2499">
        <v>31350.68</v>
      </c>
      <c r="L2499">
        <v>1348079.24</v>
      </c>
      <c r="M2499">
        <v>0</v>
      </c>
      <c r="N2499">
        <v>0</v>
      </c>
      <c r="O2499">
        <v>1348079.24</v>
      </c>
      <c r="P2499" t="s">
        <v>32</v>
      </c>
      <c r="Q2499" t="s">
        <v>32</v>
      </c>
    </row>
    <row r="2500" spans="1:17" x14ac:dyDescent="0.25">
      <c r="A2500" t="s">
        <v>2617</v>
      </c>
      <c r="B2500" s="1">
        <v>45956</v>
      </c>
      <c r="C2500" t="s">
        <v>79</v>
      </c>
      <c r="D2500" t="s">
        <v>80</v>
      </c>
      <c r="E2500" t="s">
        <v>41</v>
      </c>
      <c r="F2500" t="s">
        <v>105</v>
      </c>
      <c r="G2500" t="s">
        <v>140</v>
      </c>
      <c r="H2500" t="s">
        <v>23</v>
      </c>
      <c r="I2500" t="s">
        <v>110</v>
      </c>
      <c r="J2500">
        <v>50</v>
      </c>
      <c r="K2500">
        <v>20305.45</v>
      </c>
      <c r="L2500">
        <v>1015272.5</v>
      </c>
      <c r="M2500">
        <v>132214.43</v>
      </c>
      <c r="N2500">
        <v>0</v>
      </c>
      <c r="O2500">
        <v>883058.07</v>
      </c>
      <c r="P2500" t="s">
        <v>32</v>
      </c>
      <c r="Q2500" t="s">
        <v>32</v>
      </c>
    </row>
    <row r="2501" spans="1:17" x14ac:dyDescent="0.25">
      <c r="A2501" t="s">
        <v>2618</v>
      </c>
      <c r="B2501" s="1">
        <v>45955</v>
      </c>
      <c r="C2501" t="s">
        <v>54</v>
      </c>
      <c r="D2501" t="s">
        <v>97</v>
      </c>
      <c r="E2501" t="s">
        <v>49</v>
      </c>
      <c r="F2501" t="s">
        <v>112</v>
      </c>
      <c r="G2501" t="s">
        <v>98</v>
      </c>
      <c r="H2501" t="s">
        <v>67</v>
      </c>
      <c r="I2501" t="s">
        <v>77</v>
      </c>
      <c r="J2501">
        <v>5</v>
      </c>
      <c r="K2501">
        <v>32134.66</v>
      </c>
      <c r="L2501">
        <v>160673.29999999999</v>
      </c>
      <c r="M2501">
        <v>6196.71</v>
      </c>
      <c r="N2501">
        <v>0</v>
      </c>
      <c r="O2501">
        <v>154476.59</v>
      </c>
      <c r="P2501" t="s">
        <v>32</v>
      </c>
      <c r="Q2501" t="s">
        <v>26</v>
      </c>
    </row>
    <row r="2502" spans="1:17" x14ac:dyDescent="0.25">
      <c r="A2502" t="s">
        <v>2619</v>
      </c>
      <c r="B2502" s="1">
        <v>46045</v>
      </c>
      <c r="C2502" t="s">
        <v>47</v>
      </c>
      <c r="D2502" t="s">
        <v>48</v>
      </c>
      <c r="E2502" t="s">
        <v>41</v>
      </c>
      <c r="F2502" t="s">
        <v>21</v>
      </c>
      <c r="G2502" t="s">
        <v>51</v>
      </c>
      <c r="H2502" t="s">
        <v>44</v>
      </c>
      <c r="I2502" t="s">
        <v>45</v>
      </c>
      <c r="J2502">
        <v>37</v>
      </c>
      <c r="K2502">
        <v>25473.96</v>
      </c>
      <c r="L2502">
        <v>942536.52</v>
      </c>
      <c r="M2502">
        <v>0</v>
      </c>
      <c r="N2502">
        <v>0</v>
      </c>
      <c r="O2502">
        <v>942536.52</v>
      </c>
      <c r="P2502" t="s">
        <v>25</v>
      </c>
      <c r="Q2502" t="s">
        <v>26</v>
      </c>
    </row>
    <row r="2503" spans="1:17" x14ac:dyDescent="0.25">
      <c r="A2503" t="s">
        <v>2620</v>
      </c>
      <c r="B2503" s="1">
        <v>46002</v>
      </c>
      <c r="C2503" t="s">
        <v>18</v>
      </c>
      <c r="D2503" t="s">
        <v>28</v>
      </c>
      <c r="E2503" t="s">
        <v>20</v>
      </c>
      <c r="F2503" t="s">
        <v>21</v>
      </c>
      <c r="G2503" t="s">
        <v>56</v>
      </c>
      <c r="H2503" t="s">
        <v>67</v>
      </c>
      <c r="I2503" t="s">
        <v>201</v>
      </c>
      <c r="J2503">
        <v>23</v>
      </c>
      <c r="K2503">
        <v>25323.45</v>
      </c>
      <c r="L2503">
        <v>582439.35</v>
      </c>
      <c r="M2503">
        <v>75535.61</v>
      </c>
      <c r="N2503">
        <v>150939.01999999999</v>
      </c>
      <c r="O2503">
        <v>355964.72</v>
      </c>
      <c r="P2503" t="s">
        <v>73</v>
      </c>
      <c r="Q2503" t="s">
        <v>32</v>
      </c>
    </row>
    <row r="2504" spans="1:17" x14ac:dyDescent="0.25">
      <c r="A2504" t="s">
        <v>2621</v>
      </c>
      <c r="B2504" s="1">
        <v>46035</v>
      </c>
      <c r="C2504" t="s">
        <v>18</v>
      </c>
      <c r="D2504" t="s">
        <v>34</v>
      </c>
      <c r="E2504" t="s">
        <v>20</v>
      </c>
      <c r="F2504" t="s">
        <v>42</v>
      </c>
      <c r="G2504" t="s">
        <v>140</v>
      </c>
      <c r="H2504" t="s">
        <v>57</v>
      </c>
      <c r="I2504" t="s">
        <v>72</v>
      </c>
      <c r="J2504">
        <v>36</v>
      </c>
      <c r="K2504">
        <v>10602.61</v>
      </c>
      <c r="L2504">
        <v>381693.96</v>
      </c>
      <c r="M2504">
        <v>10110.200000000001</v>
      </c>
      <c r="N2504">
        <v>110097.88</v>
      </c>
      <c r="O2504">
        <v>261485.88</v>
      </c>
      <c r="P2504" t="s">
        <v>31</v>
      </c>
      <c r="Q2504" t="s">
        <v>32</v>
      </c>
    </row>
    <row r="2505" spans="1:17" x14ac:dyDescent="0.25">
      <c r="A2505" t="s">
        <v>2622</v>
      </c>
      <c r="B2505" s="1">
        <v>46039</v>
      </c>
      <c r="C2505" t="s">
        <v>18</v>
      </c>
      <c r="D2505" t="s">
        <v>28</v>
      </c>
      <c r="E2505" t="s">
        <v>35</v>
      </c>
      <c r="F2505" t="s">
        <v>50</v>
      </c>
      <c r="G2505" t="s">
        <v>102</v>
      </c>
      <c r="H2505" t="s">
        <v>57</v>
      </c>
      <c r="I2505" t="s">
        <v>148</v>
      </c>
      <c r="J2505">
        <v>19</v>
      </c>
      <c r="K2505">
        <v>1783.37</v>
      </c>
      <c r="L2505">
        <v>33884.03</v>
      </c>
      <c r="M2505">
        <v>0</v>
      </c>
      <c r="N2505">
        <v>0</v>
      </c>
      <c r="O2505">
        <v>33884.03</v>
      </c>
      <c r="P2505" t="s">
        <v>25</v>
      </c>
      <c r="Q2505" t="s">
        <v>26</v>
      </c>
    </row>
    <row r="2506" spans="1:17" x14ac:dyDescent="0.25">
      <c r="A2506" t="s">
        <v>2623</v>
      </c>
      <c r="B2506" s="1">
        <v>46008</v>
      </c>
      <c r="C2506" t="s">
        <v>54</v>
      </c>
      <c r="D2506" t="s">
        <v>70</v>
      </c>
      <c r="E2506" t="s">
        <v>41</v>
      </c>
      <c r="F2506" t="s">
        <v>112</v>
      </c>
      <c r="G2506" t="s">
        <v>29</v>
      </c>
      <c r="H2506" t="s">
        <v>38</v>
      </c>
      <c r="I2506" t="s">
        <v>175</v>
      </c>
      <c r="J2506">
        <v>41</v>
      </c>
      <c r="K2506">
        <v>29380.34</v>
      </c>
      <c r="L2506">
        <v>1204593.94</v>
      </c>
      <c r="M2506">
        <v>92220.31</v>
      </c>
      <c r="N2506">
        <v>0</v>
      </c>
      <c r="O2506">
        <v>1112373.6299999999</v>
      </c>
      <c r="P2506" t="s">
        <v>32</v>
      </c>
      <c r="Q2506" t="s">
        <v>26</v>
      </c>
    </row>
    <row r="2507" spans="1:17" x14ac:dyDescent="0.25">
      <c r="A2507" t="s">
        <v>2624</v>
      </c>
      <c r="B2507" s="1">
        <v>45977</v>
      </c>
      <c r="C2507" t="s">
        <v>60</v>
      </c>
      <c r="D2507" t="s">
        <v>65</v>
      </c>
      <c r="E2507" t="s">
        <v>20</v>
      </c>
      <c r="F2507" t="s">
        <v>50</v>
      </c>
      <c r="G2507" t="s">
        <v>66</v>
      </c>
      <c r="H2507" t="s">
        <v>67</v>
      </c>
      <c r="I2507" t="s">
        <v>154</v>
      </c>
      <c r="J2507">
        <v>13</v>
      </c>
      <c r="K2507">
        <v>10801.29</v>
      </c>
      <c r="L2507">
        <v>140416.76999999999</v>
      </c>
      <c r="M2507">
        <v>0</v>
      </c>
      <c r="N2507">
        <v>0</v>
      </c>
      <c r="O2507">
        <v>140416.76999999999</v>
      </c>
      <c r="P2507" t="s">
        <v>25</v>
      </c>
      <c r="Q2507" t="s">
        <v>26</v>
      </c>
    </row>
    <row r="2508" spans="1:17" x14ac:dyDescent="0.25">
      <c r="A2508" t="s">
        <v>2625</v>
      </c>
      <c r="B2508" s="1">
        <v>46008</v>
      </c>
      <c r="C2508" t="s">
        <v>18</v>
      </c>
      <c r="D2508" t="s">
        <v>19</v>
      </c>
      <c r="E2508" t="s">
        <v>49</v>
      </c>
      <c r="F2508" t="s">
        <v>21</v>
      </c>
      <c r="G2508" t="s">
        <v>29</v>
      </c>
      <c r="H2508" t="s">
        <v>38</v>
      </c>
      <c r="I2508" t="s">
        <v>86</v>
      </c>
      <c r="J2508">
        <v>50</v>
      </c>
      <c r="K2508">
        <v>49131.199999999997</v>
      </c>
      <c r="L2508">
        <v>2456560</v>
      </c>
      <c r="M2508">
        <v>0</v>
      </c>
      <c r="N2508">
        <v>438115.04</v>
      </c>
      <c r="O2508">
        <v>2018444.96</v>
      </c>
      <c r="P2508" t="s">
        <v>31</v>
      </c>
      <c r="Q2508" t="s">
        <v>32</v>
      </c>
    </row>
    <row r="2509" spans="1:17" x14ac:dyDescent="0.25">
      <c r="A2509" t="s">
        <v>2626</v>
      </c>
      <c r="B2509" s="1">
        <v>46040</v>
      </c>
      <c r="C2509" t="s">
        <v>47</v>
      </c>
      <c r="D2509" t="s">
        <v>114</v>
      </c>
      <c r="E2509" t="s">
        <v>35</v>
      </c>
      <c r="F2509" t="s">
        <v>21</v>
      </c>
      <c r="G2509" t="s">
        <v>98</v>
      </c>
      <c r="H2509" t="s">
        <v>57</v>
      </c>
      <c r="I2509" t="s">
        <v>160</v>
      </c>
      <c r="J2509">
        <v>45</v>
      </c>
      <c r="K2509">
        <v>38192.730000000003</v>
      </c>
      <c r="L2509">
        <v>1718672.85</v>
      </c>
      <c r="M2509">
        <v>0</v>
      </c>
      <c r="N2509">
        <v>0</v>
      </c>
      <c r="O2509">
        <v>1718672.85</v>
      </c>
      <c r="P2509" t="s">
        <v>25</v>
      </c>
      <c r="Q2509" t="s">
        <v>26</v>
      </c>
    </row>
    <row r="2510" spans="1:17" x14ac:dyDescent="0.25">
      <c r="A2510" t="s">
        <v>2627</v>
      </c>
      <c r="B2510" s="1">
        <v>45999</v>
      </c>
      <c r="C2510" t="s">
        <v>18</v>
      </c>
      <c r="D2510" t="s">
        <v>75</v>
      </c>
      <c r="E2510" t="s">
        <v>41</v>
      </c>
      <c r="F2510" t="s">
        <v>42</v>
      </c>
      <c r="G2510" t="s">
        <v>43</v>
      </c>
      <c r="H2510" t="s">
        <v>23</v>
      </c>
      <c r="I2510" t="s">
        <v>30</v>
      </c>
      <c r="J2510">
        <v>38</v>
      </c>
      <c r="K2510">
        <v>29755.65</v>
      </c>
      <c r="L2510">
        <v>1130714.7</v>
      </c>
      <c r="M2510">
        <v>0</v>
      </c>
      <c r="N2510">
        <v>0</v>
      </c>
      <c r="O2510">
        <v>1130714.7</v>
      </c>
      <c r="P2510" t="s">
        <v>25</v>
      </c>
      <c r="Q2510" t="s">
        <v>128</v>
      </c>
    </row>
    <row r="2511" spans="1:17" x14ac:dyDescent="0.25">
      <c r="A2511" t="s">
        <v>2628</v>
      </c>
      <c r="B2511" s="1">
        <v>45997</v>
      </c>
      <c r="C2511" t="s">
        <v>47</v>
      </c>
      <c r="D2511" t="s">
        <v>88</v>
      </c>
      <c r="E2511" t="s">
        <v>35</v>
      </c>
      <c r="F2511" t="s">
        <v>84</v>
      </c>
      <c r="G2511" t="s">
        <v>89</v>
      </c>
      <c r="H2511" t="s">
        <v>57</v>
      </c>
      <c r="I2511" t="s">
        <v>148</v>
      </c>
      <c r="J2511">
        <v>32</v>
      </c>
      <c r="K2511">
        <v>20420.75</v>
      </c>
      <c r="L2511">
        <v>653464</v>
      </c>
      <c r="M2511">
        <v>120854.71</v>
      </c>
      <c r="N2511">
        <v>0</v>
      </c>
      <c r="O2511">
        <v>532609.29</v>
      </c>
      <c r="P2511" t="s">
        <v>73</v>
      </c>
      <c r="Q2511" t="s">
        <v>32</v>
      </c>
    </row>
    <row r="2512" spans="1:17" x14ac:dyDescent="0.25">
      <c r="A2512" t="s">
        <v>2629</v>
      </c>
      <c r="B2512" s="1">
        <v>45998</v>
      </c>
      <c r="C2512" t="s">
        <v>47</v>
      </c>
      <c r="D2512" t="s">
        <v>114</v>
      </c>
      <c r="E2512" t="s">
        <v>49</v>
      </c>
      <c r="F2512" t="s">
        <v>137</v>
      </c>
      <c r="G2512" t="s">
        <v>85</v>
      </c>
      <c r="H2512" t="s">
        <v>38</v>
      </c>
      <c r="I2512" t="s">
        <v>39</v>
      </c>
      <c r="J2512">
        <v>31</v>
      </c>
      <c r="K2512">
        <v>10769.2</v>
      </c>
      <c r="L2512">
        <v>333845.2</v>
      </c>
      <c r="M2512">
        <v>45177.04</v>
      </c>
      <c r="N2512">
        <v>64726.65</v>
      </c>
      <c r="O2512">
        <v>223941.51</v>
      </c>
      <c r="P2512" t="s">
        <v>25</v>
      </c>
      <c r="Q2512" t="s">
        <v>26</v>
      </c>
    </row>
    <row r="2513" spans="1:17" x14ac:dyDescent="0.25">
      <c r="A2513" t="s">
        <v>2630</v>
      </c>
      <c r="B2513" s="1">
        <v>45959</v>
      </c>
      <c r="C2513" t="s">
        <v>79</v>
      </c>
      <c r="D2513" t="s">
        <v>101</v>
      </c>
      <c r="E2513" t="s">
        <v>20</v>
      </c>
      <c r="F2513" t="s">
        <v>112</v>
      </c>
      <c r="G2513" t="s">
        <v>66</v>
      </c>
      <c r="H2513" t="s">
        <v>67</v>
      </c>
      <c r="I2513" t="s">
        <v>201</v>
      </c>
      <c r="J2513">
        <v>24</v>
      </c>
      <c r="K2513">
        <v>23957.85</v>
      </c>
      <c r="L2513">
        <v>574988.4</v>
      </c>
      <c r="M2513">
        <v>0</v>
      </c>
      <c r="N2513">
        <v>121859.81</v>
      </c>
      <c r="O2513">
        <v>453128.59</v>
      </c>
      <c r="P2513" t="s">
        <v>31</v>
      </c>
      <c r="Q2513" t="s">
        <v>32</v>
      </c>
    </row>
    <row r="2514" spans="1:17" x14ac:dyDescent="0.25">
      <c r="A2514" t="s">
        <v>2631</v>
      </c>
      <c r="B2514" s="1">
        <v>46005</v>
      </c>
      <c r="C2514" t="s">
        <v>18</v>
      </c>
      <c r="D2514" t="s">
        <v>34</v>
      </c>
      <c r="E2514" t="s">
        <v>49</v>
      </c>
      <c r="F2514" t="s">
        <v>36</v>
      </c>
      <c r="G2514" t="s">
        <v>66</v>
      </c>
      <c r="H2514" t="s">
        <v>57</v>
      </c>
      <c r="I2514" t="s">
        <v>58</v>
      </c>
      <c r="J2514">
        <v>38</v>
      </c>
      <c r="K2514">
        <v>32844.35</v>
      </c>
      <c r="L2514">
        <v>1248085.3</v>
      </c>
      <c r="M2514">
        <v>0</v>
      </c>
      <c r="N2514">
        <v>0</v>
      </c>
      <c r="O2514">
        <v>1248085.3</v>
      </c>
      <c r="P2514" t="s">
        <v>73</v>
      </c>
      <c r="Q2514" t="s">
        <v>32</v>
      </c>
    </row>
    <row r="2515" spans="1:17" x14ac:dyDescent="0.25">
      <c r="A2515" t="s">
        <v>2632</v>
      </c>
      <c r="B2515" s="1">
        <v>45989</v>
      </c>
      <c r="C2515" t="s">
        <v>79</v>
      </c>
      <c r="D2515" t="s">
        <v>80</v>
      </c>
      <c r="E2515" t="s">
        <v>35</v>
      </c>
      <c r="F2515" t="s">
        <v>71</v>
      </c>
      <c r="G2515" t="s">
        <v>85</v>
      </c>
      <c r="H2515" t="s">
        <v>67</v>
      </c>
      <c r="I2515" t="s">
        <v>201</v>
      </c>
      <c r="J2515">
        <v>34</v>
      </c>
      <c r="K2515">
        <v>7556.39</v>
      </c>
      <c r="L2515">
        <v>256917.26</v>
      </c>
      <c r="M2515">
        <v>40246.379999999997</v>
      </c>
      <c r="N2515">
        <v>0</v>
      </c>
      <c r="O2515">
        <v>216670.88</v>
      </c>
      <c r="P2515" t="s">
        <v>73</v>
      </c>
      <c r="Q2515" t="s">
        <v>32</v>
      </c>
    </row>
    <row r="2516" spans="1:17" x14ac:dyDescent="0.25">
      <c r="A2516" t="s">
        <v>2633</v>
      </c>
      <c r="B2516" s="1">
        <v>46032</v>
      </c>
      <c r="C2516" t="s">
        <v>54</v>
      </c>
      <c r="D2516" t="s">
        <v>55</v>
      </c>
      <c r="E2516" t="s">
        <v>49</v>
      </c>
      <c r="F2516" t="s">
        <v>112</v>
      </c>
      <c r="G2516" t="s">
        <v>56</v>
      </c>
      <c r="H2516" t="s">
        <v>44</v>
      </c>
      <c r="I2516" t="s">
        <v>281</v>
      </c>
      <c r="J2516">
        <v>6</v>
      </c>
      <c r="K2516">
        <v>44949.3</v>
      </c>
      <c r="L2516">
        <v>269695.8</v>
      </c>
      <c r="M2516">
        <v>27764.13</v>
      </c>
      <c r="N2516">
        <v>0</v>
      </c>
      <c r="O2516">
        <v>241931.67</v>
      </c>
      <c r="P2516" t="s">
        <v>73</v>
      </c>
      <c r="Q2516" t="s">
        <v>26</v>
      </c>
    </row>
    <row r="2517" spans="1:17" x14ac:dyDescent="0.25">
      <c r="A2517" t="s">
        <v>2634</v>
      </c>
      <c r="B2517" s="1">
        <v>46024</v>
      </c>
      <c r="C2517" t="s">
        <v>54</v>
      </c>
      <c r="D2517" t="s">
        <v>70</v>
      </c>
      <c r="E2517" t="s">
        <v>49</v>
      </c>
      <c r="F2517" t="s">
        <v>50</v>
      </c>
      <c r="G2517" t="s">
        <v>63</v>
      </c>
      <c r="H2517" t="s">
        <v>44</v>
      </c>
      <c r="I2517" t="s">
        <v>141</v>
      </c>
      <c r="J2517">
        <v>49</v>
      </c>
      <c r="K2517">
        <v>37160.61</v>
      </c>
      <c r="L2517">
        <v>1820869.89</v>
      </c>
      <c r="M2517">
        <v>71777.72</v>
      </c>
      <c r="N2517">
        <v>0</v>
      </c>
      <c r="O2517">
        <v>1749092.17</v>
      </c>
      <c r="P2517" t="s">
        <v>32</v>
      </c>
      <c r="Q2517" t="s">
        <v>26</v>
      </c>
    </row>
    <row r="2518" spans="1:17" x14ac:dyDescent="0.25">
      <c r="A2518" t="s">
        <v>2635</v>
      </c>
      <c r="B2518" s="1">
        <v>46007</v>
      </c>
      <c r="C2518" t="s">
        <v>18</v>
      </c>
      <c r="D2518" t="s">
        <v>75</v>
      </c>
      <c r="E2518" t="s">
        <v>41</v>
      </c>
      <c r="F2518" t="s">
        <v>84</v>
      </c>
      <c r="G2518" t="s">
        <v>89</v>
      </c>
      <c r="H2518" t="s">
        <v>57</v>
      </c>
      <c r="I2518" t="s">
        <v>118</v>
      </c>
      <c r="J2518">
        <v>38</v>
      </c>
      <c r="K2518">
        <v>42641.17</v>
      </c>
      <c r="L2518">
        <v>1620364.46</v>
      </c>
      <c r="M2518">
        <v>226940.07</v>
      </c>
      <c r="N2518">
        <v>0</v>
      </c>
      <c r="O2518">
        <v>1393424.39</v>
      </c>
      <c r="P2518" t="s">
        <v>73</v>
      </c>
      <c r="Q2518" t="s">
        <v>32</v>
      </c>
    </row>
    <row r="2519" spans="1:17" x14ac:dyDescent="0.25">
      <c r="A2519" t="s">
        <v>2636</v>
      </c>
      <c r="B2519" s="1">
        <v>45989</v>
      </c>
      <c r="C2519" t="s">
        <v>18</v>
      </c>
      <c r="D2519" t="s">
        <v>28</v>
      </c>
      <c r="E2519" t="s">
        <v>20</v>
      </c>
      <c r="F2519" t="s">
        <v>84</v>
      </c>
      <c r="G2519" t="s">
        <v>66</v>
      </c>
      <c r="H2519" t="s">
        <v>94</v>
      </c>
      <c r="I2519" t="s">
        <v>177</v>
      </c>
      <c r="J2519">
        <v>21</v>
      </c>
      <c r="K2519">
        <v>28553.15</v>
      </c>
      <c r="L2519">
        <v>599616.15</v>
      </c>
      <c r="M2519">
        <v>51662.76</v>
      </c>
      <c r="N2519">
        <v>0</v>
      </c>
      <c r="O2519">
        <v>547953.39</v>
      </c>
      <c r="P2519" t="s">
        <v>25</v>
      </c>
      <c r="Q2519" t="s">
        <v>26</v>
      </c>
    </row>
    <row r="2520" spans="1:17" x14ac:dyDescent="0.25">
      <c r="A2520" t="s">
        <v>2637</v>
      </c>
      <c r="B2520" s="1">
        <v>46007</v>
      </c>
      <c r="C2520" t="s">
        <v>79</v>
      </c>
      <c r="D2520" t="s">
        <v>101</v>
      </c>
      <c r="E2520" t="s">
        <v>20</v>
      </c>
      <c r="F2520" t="s">
        <v>42</v>
      </c>
      <c r="G2520" t="s">
        <v>43</v>
      </c>
      <c r="H2520" t="s">
        <v>23</v>
      </c>
      <c r="I2520" t="s">
        <v>24</v>
      </c>
      <c r="J2520">
        <v>43</v>
      </c>
      <c r="K2520">
        <v>40111.89</v>
      </c>
      <c r="L2520">
        <v>1724811.27</v>
      </c>
      <c r="M2520">
        <v>269130.07</v>
      </c>
      <c r="N2520">
        <v>0</v>
      </c>
      <c r="O2520">
        <v>1455681.2</v>
      </c>
      <c r="P2520" t="s">
        <v>32</v>
      </c>
      <c r="Q2520" t="s">
        <v>26</v>
      </c>
    </row>
    <row r="2521" spans="1:17" x14ac:dyDescent="0.25">
      <c r="A2521" t="s">
        <v>2638</v>
      </c>
      <c r="B2521" s="1">
        <v>46007</v>
      </c>
      <c r="C2521" t="s">
        <v>79</v>
      </c>
      <c r="D2521" t="s">
        <v>107</v>
      </c>
      <c r="E2521" t="s">
        <v>49</v>
      </c>
      <c r="F2521" t="s">
        <v>84</v>
      </c>
      <c r="G2521" t="s">
        <v>81</v>
      </c>
      <c r="H2521" t="s">
        <v>67</v>
      </c>
      <c r="I2521" t="s">
        <v>68</v>
      </c>
      <c r="J2521">
        <v>5</v>
      </c>
      <c r="K2521">
        <v>22992.65</v>
      </c>
      <c r="L2521">
        <v>114963.25</v>
      </c>
      <c r="M2521">
        <v>16591.150000000001</v>
      </c>
      <c r="N2521">
        <v>0</v>
      </c>
      <c r="O2521">
        <v>98372.1</v>
      </c>
      <c r="P2521" t="s">
        <v>73</v>
      </c>
      <c r="Q2521" t="s">
        <v>26</v>
      </c>
    </row>
    <row r="2522" spans="1:17" x14ac:dyDescent="0.25">
      <c r="A2522" t="s">
        <v>2639</v>
      </c>
      <c r="B2522" s="1">
        <v>46016</v>
      </c>
      <c r="C2522" t="s">
        <v>54</v>
      </c>
      <c r="D2522" t="s">
        <v>97</v>
      </c>
      <c r="E2522" t="s">
        <v>35</v>
      </c>
      <c r="F2522" t="s">
        <v>137</v>
      </c>
      <c r="G2522" t="s">
        <v>43</v>
      </c>
      <c r="H2522" t="s">
        <v>57</v>
      </c>
      <c r="I2522" t="s">
        <v>92</v>
      </c>
      <c r="J2522">
        <v>2</v>
      </c>
      <c r="K2522">
        <v>39951.25</v>
      </c>
      <c r="L2522">
        <v>79902.5</v>
      </c>
      <c r="M2522">
        <v>0</v>
      </c>
      <c r="N2522">
        <v>0</v>
      </c>
      <c r="O2522">
        <v>79902.5</v>
      </c>
      <c r="P2522" t="s">
        <v>31</v>
      </c>
      <c r="Q2522" t="s">
        <v>32</v>
      </c>
    </row>
    <row r="2523" spans="1:17" x14ac:dyDescent="0.25">
      <c r="A2523" t="s">
        <v>2640</v>
      </c>
      <c r="B2523" s="1">
        <v>45976</v>
      </c>
      <c r="C2523" t="s">
        <v>47</v>
      </c>
      <c r="D2523" t="s">
        <v>48</v>
      </c>
      <c r="E2523" t="s">
        <v>49</v>
      </c>
      <c r="F2523" t="s">
        <v>105</v>
      </c>
      <c r="G2523" t="s">
        <v>89</v>
      </c>
      <c r="H2523" t="s">
        <v>67</v>
      </c>
      <c r="I2523" t="s">
        <v>68</v>
      </c>
      <c r="J2523">
        <v>49</v>
      </c>
      <c r="K2523">
        <v>36597.480000000003</v>
      </c>
      <c r="L2523">
        <v>1793276.52</v>
      </c>
      <c r="M2523">
        <v>201884.06</v>
      </c>
      <c r="N2523">
        <v>0</v>
      </c>
      <c r="O2523">
        <v>1591392.46</v>
      </c>
      <c r="P2523" t="s">
        <v>73</v>
      </c>
      <c r="Q2523" t="s">
        <v>32</v>
      </c>
    </row>
    <row r="2524" spans="1:17" x14ac:dyDescent="0.25">
      <c r="A2524" t="s">
        <v>2641</v>
      </c>
      <c r="B2524" s="1">
        <v>45973</v>
      </c>
      <c r="C2524" t="s">
        <v>18</v>
      </c>
      <c r="D2524" t="s">
        <v>34</v>
      </c>
      <c r="E2524" t="s">
        <v>20</v>
      </c>
      <c r="F2524" t="s">
        <v>50</v>
      </c>
      <c r="G2524" t="s">
        <v>43</v>
      </c>
      <c r="H2524" t="s">
        <v>44</v>
      </c>
      <c r="I2524" t="s">
        <v>152</v>
      </c>
      <c r="J2524">
        <v>49</v>
      </c>
      <c r="K2524">
        <v>36779.760000000002</v>
      </c>
      <c r="L2524">
        <v>1802208.24</v>
      </c>
      <c r="M2524">
        <v>148576.16</v>
      </c>
      <c r="N2524">
        <v>0</v>
      </c>
      <c r="O2524">
        <v>1653632.08</v>
      </c>
      <c r="P2524" t="s">
        <v>73</v>
      </c>
      <c r="Q2524" t="s">
        <v>26</v>
      </c>
    </row>
    <row r="2525" spans="1:17" x14ac:dyDescent="0.25">
      <c r="A2525" t="s">
        <v>2642</v>
      </c>
      <c r="B2525" s="1">
        <v>46011</v>
      </c>
      <c r="C2525" t="s">
        <v>47</v>
      </c>
      <c r="D2525" t="s">
        <v>127</v>
      </c>
      <c r="E2525" t="s">
        <v>41</v>
      </c>
      <c r="F2525" t="s">
        <v>137</v>
      </c>
      <c r="G2525" t="s">
        <v>29</v>
      </c>
      <c r="H2525" t="s">
        <v>23</v>
      </c>
      <c r="I2525" t="s">
        <v>99</v>
      </c>
      <c r="J2525">
        <v>41</v>
      </c>
      <c r="K2525">
        <v>49219.83</v>
      </c>
      <c r="L2525">
        <v>2018013.03</v>
      </c>
      <c r="M2525">
        <v>0</v>
      </c>
      <c r="N2525">
        <v>0</v>
      </c>
      <c r="O2525">
        <v>2018013.03</v>
      </c>
      <c r="P2525" t="s">
        <v>73</v>
      </c>
      <c r="Q2525" t="s">
        <v>32</v>
      </c>
    </row>
    <row r="2526" spans="1:17" x14ac:dyDescent="0.25">
      <c r="A2526" t="s">
        <v>2643</v>
      </c>
      <c r="B2526" s="1">
        <v>46008</v>
      </c>
      <c r="C2526" t="s">
        <v>79</v>
      </c>
      <c r="D2526" t="s">
        <v>91</v>
      </c>
      <c r="E2526" t="s">
        <v>41</v>
      </c>
      <c r="F2526" t="s">
        <v>36</v>
      </c>
      <c r="G2526" t="s">
        <v>37</v>
      </c>
      <c r="H2526" t="s">
        <v>57</v>
      </c>
      <c r="I2526" t="s">
        <v>72</v>
      </c>
      <c r="J2526">
        <v>35</v>
      </c>
      <c r="K2526">
        <v>1408.59</v>
      </c>
      <c r="L2526">
        <v>49300.65</v>
      </c>
      <c r="M2526">
        <v>0</v>
      </c>
      <c r="N2526">
        <v>0</v>
      </c>
      <c r="O2526">
        <v>49300.65</v>
      </c>
      <c r="P2526" t="s">
        <v>32</v>
      </c>
      <c r="Q2526" t="s">
        <v>26</v>
      </c>
    </row>
    <row r="2527" spans="1:17" x14ac:dyDescent="0.25">
      <c r="A2527" t="s">
        <v>2644</v>
      </c>
      <c r="B2527" s="1">
        <v>45958</v>
      </c>
      <c r="C2527" t="s">
        <v>54</v>
      </c>
      <c r="D2527" t="s">
        <v>133</v>
      </c>
      <c r="E2527" t="s">
        <v>35</v>
      </c>
      <c r="F2527" t="s">
        <v>105</v>
      </c>
      <c r="G2527" t="s">
        <v>29</v>
      </c>
      <c r="H2527" t="s">
        <v>57</v>
      </c>
      <c r="I2527" t="s">
        <v>160</v>
      </c>
      <c r="J2527">
        <v>17</v>
      </c>
      <c r="K2527">
        <v>9266.92</v>
      </c>
      <c r="L2527">
        <v>157537.64000000001</v>
      </c>
      <c r="M2527">
        <v>17024.04</v>
      </c>
      <c r="N2527">
        <v>0</v>
      </c>
      <c r="O2527">
        <v>140513.60000000001</v>
      </c>
      <c r="P2527" t="s">
        <v>25</v>
      </c>
      <c r="Q2527" t="s">
        <v>26</v>
      </c>
    </row>
    <row r="2528" spans="1:17" x14ac:dyDescent="0.25">
      <c r="A2528" t="s">
        <v>2645</v>
      </c>
      <c r="B2528" s="1">
        <v>45958</v>
      </c>
      <c r="C2528" t="s">
        <v>47</v>
      </c>
      <c r="D2528" t="s">
        <v>114</v>
      </c>
      <c r="E2528" t="s">
        <v>49</v>
      </c>
      <c r="F2528" t="s">
        <v>42</v>
      </c>
      <c r="G2528" t="s">
        <v>29</v>
      </c>
      <c r="H2528" t="s">
        <v>38</v>
      </c>
      <c r="I2528" t="s">
        <v>86</v>
      </c>
      <c r="J2528">
        <v>16</v>
      </c>
      <c r="K2528">
        <v>39841.089999999997</v>
      </c>
      <c r="L2528">
        <v>637457.43999999994</v>
      </c>
      <c r="M2528">
        <v>49553.97</v>
      </c>
      <c r="N2528">
        <v>77429.210000000006</v>
      </c>
      <c r="O2528">
        <v>510474.26</v>
      </c>
      <c r="P2528" t="s">
        <v>31</v>
      </c>
      <c r="Q2528" t="s">
        <v>32</v>
      </c>
    </row>
    <row r="2529" spans="1:17" x14ac:dyDescent="0.25">
      <c r="A2529" t="s">
        <v>2646</v>
      </c>
      <c r="B2529" s="1">
        <v>46037</v>
      </c>
      <c r="C2529" t="s">
        <v>60</v>
      </c>
      <c r="D2529" t="s">
        <v>123</v>
      </c>
      <c r="E2529" t="s">
        <v>20</v>
      </c>
      <c r="F2529" t="s">
        <v>71</v>
      </c>
      <c r="G2529" t="s">
        <v>51</v>
      </c>
      <c r="H2529" t="s">
        <v>23</v>
      </c>
      <c r="I2529" t="s">
        <v>24</v>
      </c>
      <c r="J2529">
        <v>15</v>
      </c>
      <c r="K2529">
        <v>17179.150000000001</v>
      </c>
      <c r="L2529">
        <v>257687.25</v>
      </c>
      <c r="M2529">
        <v>31967.13</v>
      </c>
      <c r="N2529">
        <v>44846.65</v>
      </c>
      <c r="O2529">
        <v>180873.47</v>
      </c>
      <c r="P2529" t="s">
        <v>73</v>
      </c>
      <c r="Q2529" t="s">
        <v>32</v>
      </c>
    </row>
    <row r="2530" spans="1:17" x14ac:dyDescent="0.25">
      <c r="A2530" t="s">
        <v>2647</v>
      </c>
      <c r="B2530" s="1">
        <v>46043</v>
      </c>
      <c r="C2530" t="s">
        <v>18</v>
      </c>
      <c r="D2530" t="s">
        <v>34</v>
      </c>
      <c r="E2530" t="s">
        <v>49</v>
      </c>
      <c r="F2530" t="s">
        <v>137</v>
      </c>
      <c r="G2530" t="s">
        <v>140</v>
      </c>
      <c r="H2530" t="s">
        <v>44</v>
      </c>
      <c r="I2530" t="s">
        <v>281</v>
      </c>
      <c r="J2530">
        <v>44</v>
      </c>
      <c r="K2530">
        <v>12508.66</v>
      </c>
      <c r="L2530">
        <v>550381.04</v>
      </c>
      <c r="M2530">
        <v>88497.919999999998</v>
      </c>
      <c r="N2530">
        <v>0</v>
      </c>
      <c r="O2530">
        <v>461883.12</v>
      </c>
      <c r="P2530" t="s">
        <v>73</v>
      </c>
      <c r="Q2530" t="s">
        <v>26</v>
      </c>
    </row>
    <row r="2531" spans="1:17" x14ac:dyDescent="0.25">
      <c r="A2531" t="s">
        <v>2648</v>
      </c>
      <c r="B2531" s="1">
        <v>45965</v>
      </c>
      <c r="C2531" t="s">
        <v>47</v>
      </c>
      <c r="D2531" t="s">
        <v>48</v>
      </c>
      <c r="E2531" t="s">
        <v>35</v>
      </c>
      <c r="F2531" t="s">
        <v>71</v>
      </c>
      <c r="G2531" t="s">
        <v>22</v>
      </c>
      <c r="H2531" t="s">
        <v>67</v>
      </c>
      <c r="I2531" t="s">
        <v>170</v>
      </c>
      <c r="J2531">
        <v>37</v>
      </c>
      <c r="K2531">
        <v>9126</v>
      </c>
      <c r="L2531">
        <v>337662</v>
      </c>
      <c r="M2531">
        <v>22265.15</v>
      </c>
      <c r="N2531">
        <v>0</v>
      </c>
      <c r="O2531">
        <v>315396.84999999998</v>
      </c>
      <c r="P2531" t="s">
        <v>73</v>
      </c>
      <c r="Q2531" t="s">
        <v>26</v>
      </c>
    </row>
    <row r="2532" spans="1:17" x14ac:dyDescent="0.25">
      <c r="A2532" t="s">
        <v>2649</v>
      </c>
      <c r="B2532" s="1">
        <v>45974</v>
      </c>
      <c r="C2532" t="s">
        <v>54</v>
      </c>
      <c r="D2532" t="s">
        <v>133</v>
      </c>
      <c r="E2532" t="s">
        <v>35</v>
      </c>
      <c r="F2532" t="s">
        <v>62</v>
      </c>
      <c r="G2532" t="s">
        <v>43</v>
      </c>
      <c r="H2532" t="s">
        <v>94</v>
      </c>
      <c r="I2532" t="s">
        <v>177</v>
      </c>
      <c r="J2532">
        <v>39</v>
      </c>
      <c r="K2532">
        <v>37067.74</v>
      </c>
      <c r="L2532">
        <v>1445641.86</v>
      </c>
      <c r="M2532">
        <v>161667.94</v>
      </c>
      <c r="N2532">
        <v>358294.29</v>
      </c>
      <c r="O2532">
        <v>925679.63</v>
      </c>
      <c r="P2532" t="s">
        <v>32</v>
      </c>
      <c r="Q2532" t="s">
        <v>32</v>
      </c>
    </row>
    <row r="2533" spans="1:17" x14ac:dyDescent="0.25">
      <c r="A2533" t="s">
        <v>2650</v>
      </c>
      <c r="B2533" s="1">
        <v>45955</v>
      </c>
      <c r="C2533" t="s">
        <v>18</v>
      </c>
      <c r="D2533" t="s">
        <v>34</v>
      </c>
      <c r="E2533" t="s">
        <v>41</v>
      </c>
      <c r="F2533" t="s">
        <v>36</v>
      </c>
      <c r="G2533" t="s">
        <v>66</v>
      </c>
      <c r="H2533" t="s">
        <v>44</v>
      </c>
      <c r="I2533" t="s">
        <v>281</v>
      </c>
      <c r="J2533">
        <v>30</v>
      </c>
      <c r="K2533">
        <v>38576.21</v>
      </c>
      <c r="L2533">
        <v>1157286.3</v>
      </c>
      <c r="M2533">
        <v>0</v>
      </c>
      <c r="N2533">
        <v>0</v>
      </c>
      <c r="O2533">
        <v>1157286.3</v>
      </c>
      <c r="P2533" t="s">
        <v>25</v>
      </c>
      <c r="Q2533" t="s">
        <v>128</v>
      </c>
    </row>
    <row r="2534" spans="1:17" x14ac:dyDescent="0.25">
      <c r="A2534" t="s">
        <v>2651</v>
      </c>
      <c r="B2534" s="1">
        <v>45996</v>
      </c>
      <c r="C2534" t="s">
        <v>47</v>
      </c>
      <c r="D2534" t="s">
        <v>114</v>
      </c>
      <c r="E2534" t="s">
        <v>49</v>
      </c>
      <c r="F2534" t="s">
        <v>105</v>
      </c>
      <c r="G2534" t="s">
        <v>43</v>
      </c>
      <c r="H2534" t="s">
        <v>23</v>
      </c>
      <c r="I2534" t="s">
        <v>30</v>
      </c>
      <c r="J2534">
        <v>38</v>
      </c>
      <c r="K2534">
        <v>36810.75</v>
      </c>
      <c r="L2534">
        <v>1398808.5</v>
      </c>
      <c r="M2534">
        <v>0</v>
      </c>
      <c r="N2534">
        <v>0</v>
      </c>
      <c r="O2534">
        <v>1398808.5</v>
      </c>
      <c r="P2534" t="s">
        <v>25</v>
      </c>
      <c r="Q2534" t="s">
        <v>26</v>
      </c>
    </row>
    <row r="2535" spans="1:17" x14ac:dyDescent="0.25">
      <c r="A2535" t="s">
        <v>2652</v>
      </c>
      <c r="B2535" s="1">
        <v>46036</v>
      </c>
      <c r="C2535" t="s">
        <v>60</v>
      </c>
      <c r="D2535" t="s">
        <v>123</v>
      </c>
      <c r="E2535" t="s">
        <v>41</v>
      </c>
      <c r="F2535" t="s">
        <v>50</v>
      </c>
      <c r="G2535" t="s">
        <v>85</v>
      </c>
      <c r="H2535" t="s">
        <v>38</v>
      </c>
      <c r="I2535" t="s">
        <v>175</v>
      </c>
      <c r="J2535">
        <v>30</v>
      </c>
      <c r="K2535">
        <v>40226.1</v>
      </c>
      <c r="L2535">
        <v>1206783</v>
      </c>
      <c r="M2535">
        <v>0</v>
      </c>
      <c r="N2535">
        <v>0</v>
      </c>
      <c r="O2535">
        <v>1206783</v>
      </c>
      <c r="P2535" t="s">
        <v>32</v>
      </c>
      <c r="Q2535" t="s">
        <v>32</v>
      </c>
    </row>
    <row r="2536" spans="1:17" x14ac:dyDescent="0.25">
      <c r="A2536" t="s">
        <v>2653</v>
      </c>
      <c r="B2536" s="1">
        <v>46041</v>
      </c>
      <c r="C2536" t="s">
        <v>54</v>
      </c>
      <c r="D2536" t="s">
        <v>97</v>
      </c>
      <c r="E2536" t="s">
        <v>41</v>
      </c>
      <c r="F2536" t="s">
        <v>84</v>
      </c>
      <c r="G2536" t="s">
        <v>51</v>
      </c>
      <c r="H2536" t="s">
        <v>23</v>
      </c>
      <c r="I2536" t="s">
        <v>110</v>
      </c>
      <c r="J2536">
        <v>41</v>
      </c>
      <c r="K2536">
        <v>24677.93</v>
      </c>
      <c r="L2536">
        <v>1011795.13</v>
      </c>
      <c r="M2536">
        <v>0</v>
      </c>
      <c r="N2536">
        <v>23799.06</v>
      </c>
      <c r="O2536">
        <v>987996.07</v>
      </c>
      <c r="P2536" t="s">
        <v>32</v>
      </c>
      <c r="Q2536" t="s">
        <v>32</v>
      </c>
    </row>
    <row r="2537" spans="1:17" x14ac:dyDescent="0.25">
      <c r="A2537" t="s">
        <v>2654</v>
      </c>
      <c r="B2537" s="1">
        <v>46008</v>
      </c>
      <c r="C2537" t="s">
        <v>47</v>
      </c>
      <c r="D2537" t="s">
        <v>114</v>
      </c>
      <c r="E2537" t="s">
        <v>41</v>
      </c>
      <c r="F2537" t="s">
        <v>42</v>
      </c>
      <c r="G2537" t="s">
        <v>37</v>
      </c>
      <c r="H2537" t="s">
        <v>44</v>
      </c>
      <c r="I2537" t="s">
        <v>124</v>
      </c>
      <c r="J2537">
        <v>32</v>
      </c>
      <c r="K2537">
        <v>9904.52</v>
      </c>
      <c r="L2537">
        <v>316944.64000000001</v>
      </c>
      <c r="M2537">
        <v>0</v>
      </c>
      <c r="N2537">
        <v>0</v>
      </c>
      <c r="O2537">
        <v>316944.64000000001</v>
      </c>
      <c r="P2537" t="s">
        <v>73</v>
      </c>
      <c r="Q2537" t="s">
        <v>32</v>
      </c>
    </row>
    <row r="2538" spans="1:17" x14ac:dyDescent="0.25">
      <c r="A2538" t="s">
        <v>2655</v>
      </c>
      <c r="B2538" s="1">
        <v>45988</v>
      </c>
      <c r="C2538" t="s">
        <v>47</v>
      </c>
      <c r="D2538" t="s">
        <v>48</v>
      </c>
      <c r="E2538" t="s">
        <v>49</v>
      </c>
      <c r="F2538" t="s">
        <v>71</v>
      </c>
      <c r="G2538" t="s">
        <v>51</v>
      </c>
      <c r="H2538" t="s">
        <v>44</v>
      </c>
      <c r="I2538" t="s">
        <v>135</v>
      </c>
      <c r="J2538">
        <v>7</v>
      </c>
      <c r="K2538">
        <v>22863.68</v>
      </c>
      <c r="L2538">
        <v>160045.76000000001</v>
      </c>
      <c r="M2538">
        <v>17683.89</v>
      </c>
      <c r="N2538">
        <v>0</v>
      </c>
      <c r="O2538">
        <v>142361.87</v>
      </c>
      <c r="P2538" t="s">
        <v>32</v>
      </c>
      <c r="Q2538" t="s">
        <v>32</v>
      </c>
    </row>
    <row r="2539" spans="1:17" x14ac:dyDescent="0.25">
      <c r="A2539" t="s">
        <v>2656</v>
      </c>
      <c r="B2539" s="1">
        <v>46035</v>
      </c>
      <c r="C2539" t="s">
        <v>79</v>
      </c>
      <c r="D2539" t="s">
        <v>107</v>
      </c>
      <c r="E2539" t="s">
        <v>35</v>
      </c>
      <c r="F2539" t="s">
        <v>71</v>
      </c>
      <c r="G2539" t="s">
        <v>89</v>
      </c>
      <c r="H2539" t="s">
        <v>67</v>
      </c>
      <c r="I2539" t="s">
        <v>77</v>
      </c>
      <c r="J2539">
        <v>42</v>
      </c>
      <c r="K2539">
        <v>968.34</v>
      </c>
      <c r="L2539">
        <v>40670.28</v>
      </c>
      <c r="M2539">
        <v>1376.46</v>
      </c>
      <c r="N2539">
        <v>0</v>
      </c>
      <c r="O2539">
        <v>39293.82</v>
      </c>
      <c r="P2539" t="s">
        <v>73</v>
      </c>
      <c r="Q2539" t="s">
        <v>26</v>
      </c>
    </row>
    <row r="2540" spans="1:17" x14ac:dyDescent="0.25">
      <c r="A2540" t="s">
        <v>2657</v>
      </c>
      <c r="B2540" s="1">
        <v>46006</v>
      </c>
      <c r="C2540" t="s">
        <v>60</v>
      </c>
      <c r="D2540" t="s">
        <v>61</v>
      </c>
      <c r="E2540" t="s">
        <v>35</v>
      </c>
      <c r="F2540" t="s">
        <v>71</v>
      </c>
      <c r="G2540" t="s">
        <v>43</v>
      </c>
      <c r="H2540" t="s">
        <v>44</v>
      </c>
      <c r="I2540" t="s">
        <v>45</v>
      </c>
      <c r="J2540">
        <v>3</v>
      </c>
      <c r="K2540">
        <v>18367.919999999998</v>
      </c>
      <c r="L2540">
        <v>55103.76</v>
      </c>
      <c r="M2540">
        <v>3166.98</v>
      </c>
      <c r="N2540">
        <v>0</v>
      </c>
      <c r="O2540">
        <v>51936.78</v>
      </c>
      <c r="P2540" t="s">
        <v>25</v>
      </c>
      <c r="Q2540" t="s">
        <v>26</v>
      </c>
    </row>
    <row r="2541" spans="1:17" x14ac:dyDescent="0.25">
      <c r="A2541" t="s">
        <v>2658</v>
      </c>
      <c r="B2541" s="1">
        <v>45959</v>
      </c>
      <c r="C2541" t="s">
        <v>18</v>
      </c>
      <c r="D2541" t="s">
        <v>28</v>
      </c>
      <c r="E2541" t="s">
        <v>35</v>
      </c>
      <c r="F2541" t="s">
        <v>21</v>
      </c>
      <c r="G2541" t="s">
        <v>85</v>
      </c>
      <c r="H2541" t="s">
        <v>94</v>
      </c>
      <c r="I2541" t="s">
        <v>115</v>
      </c>
      <c r="J2541">
        <v>26</v>
      </c>
      <c r="K2541">
        <v>42273.19</v>
      </c>
      <c r="L2541">
        <v>1099102.94</v>
      </c>
      <c r="M2541">
        <v>32861.839999999997</v>
      </c>
      <c r="N2541">
        <v>0</v>
      </c>
      <c r="O2541">
        <v>1066241.1000000001</v>
      </c>
      <c r="P2541" t="s">
        <v>32</v>
      </c>
      <c r="Q2541" t="s">
        <v>26</v>
      </c>
    </row>
    <row r="2542" spans="1:17" x14ac:dyDescent="0.25">
      <c r="A2542" t="s">
        <v>2659</v>
      </c>
      <c r="B2542" s="1">
        <v>45956</v>
      </c>
      <c r="C2542" t="s">
        <v>18</v>
      </c>
      <c r="D2542" t="s">
        <v>75</v>
      </c>
      <c r="E2542" t="s">
        <v>49</v>
      </c>
      <c r="F2542" t="s">
        <v>36</v>
      </c>
      <c r="G2542" t="s">
        <v>89</v>
      </c>
      <c r="H2542" t="s">
        <v>57</v>
      </c>
      <c r="I2542" t="s">
        <v>148</v>
      </c>
      <c r="J2542">
        <v>8</v>
      </c>
      <c r="K2542">
        <v>45431.26</v>
      </c>
      <c r="L2542">
        <v>363450.08</v>
      </c>
      <c r="M2542">
        <v>46382.8</v>
      </c>
      <c r="N2542">
        <v>0</v>
      </c>
      <c r="O2542">
        <v>317067.28000000003</v>
      </c>
      <c r="P2542" t="s">
        <v>73</v>
      </c>
      <c r="Q2542" t="s">
        <v>32</v>
      </c>
    </row>
    <row r="2543" spans="1:17" x14ac:dyDescent="0.25">
      <c r="A2543" t="s">
        <v>2660</v>
      </c>
      <c r="B2543" s="1">
        <v>45970</v>
      </c>
      <c r="C2543" t="s">
        <v>47</v>
      </c>
      <c r="D2543" t="s">
        <v>127</v>
      </c>
      <c r="E2543" t="s">
        <v>35</v>
      </c>
      <c r="F2543" t="s">
        <v>71</v>
      </c>
      <c r="G2543" t="s">
        <v>89</v>
      </c>
      <c r="H2543" t="s">
        <v>23</v>
      </c>
      <c r="I2543" t="s">
        <v>52</v>
      </c>
      <c r="J2543">
        <v>17</v>
      </c>
      <c r="K2543">
        <v>22682.61</v>
      </c>
      <c r="L2543">
        <v>385604.37</v>
      </c>
      <c r="M2543">
        <v>75984.91</v>
      </c>
      <c r="N2543">
        <v>0</v>
      </c>
      <c r="O2543">
        <v>309619.46000000002</v>
      </c>
      <c r="P2543" t="s">
        <v>32</v>
      </c>
      <c r="Q2543" t="s">
        <v>32</v>
      </c>
    </row>
    <row r="2544" spans="1:17" x14ac:dyDescent="0.25">
      <c r="A2544" t="s">
        <v>2661</v>
      </c>
      <c r="B2544" s="1">
        <v>46004</v>
      </c>
      <c r="C2544" t="s">
        <v>60</v>
      </c>
      <c r="D2544" t="s">
        <v>123</v>
      </c>
      <c r="E2544" t="s">
        <v>20</v>
      </c>
      <c r="F2544" t="s">
        <v>105</v>
      </c>
      <c r="G2544" t="s">
        <v>66</v>
      </c>
      <c r="H2544" t="s">
        <v>57</v>
      </c>
      <c r="I2544" t="s">
        <v>148</v>
      </c>
      <c r="J2544">
        <v>21</v>
      </c>
      <c r="K2544">
        <v>33024.269999999997</v>
      </c>
      <c r="L2544">
        <v>693509.67</v>
      </c>
      <c r="M2544">
        <v>117186.19</v>
      </c>
      <c r="N2544">
        <v>155261.95000000001</v>
      </c>
      <c r="O2544">
        <v>421061.53</v>
      </c>
      <c r="P2544" t="s">
        <v>25</v>
      </c>
      <c r="Q2544" t="s">
        <v>26</v>
      </c>
    </row>
    <row r="2545" spans="1:17" x14ac:dyDescent="0.25">
      <c r="A2545" t="s">
        <v>2662</v>
      </c>
      <c r="B2545" s="1">
        <v>46024</v>
      </c>
      <c r="C2545" t="s">
        <v>79</v>
      </c>
      <c r="D2545" t="s">
        <v>107</v>
      </c>
      <c r="E2545" t="s">
        <v>20</v>
      </c>
      <c r="F2545" t="s">
        <v>84</v>
      </c>
      <c r="G2545" t="s">
        <v>98</v>
      </c>
      <c r="H2545" t="s">
        <v>44</v>
      </c>
      <c r="I2545" t="s">
        <v>141</v>
      </c>
      <c r="J2545">
        <v>36</v>
      </c>
      <c r="K2545">
        <v>44992.53</v>
      </c>
      <c r="L2545">
        <v>1619731.08</v>
      </c>
      <c r="M2545">
        <v>0</v>
      </c>
      <c r="N2545">
        <v>406232.16</v>
      </c>
      <c r="O2545">
        <v>1213498.92</v>
      </c>
      <c r="P2545" t="s">
        <v>32</v>
      </c>
      <c r="Q2545" t="s">
        <v>32</v>
      </c>
    </row>
    <row r="2546" spans="1:17" x14ac:dyDescent="0.25">
      <c r="A2546" t="s">
        <v>2663</v>
      </c>
      <c r="B2546" s="1">
        <v>46014</v>
      </c>
      <c r="C2546" t="s">
        <v>47</v>
      </c>
      <c r="D2546" t="s">
        <v>127</v>
      </c>
      <c r="E2546" t="s">
        <v>41</v>
      </c>
      <c r="F2546" t="s">
        <v>105</v>
      </c>
      <c r="G2546" t="s">
        <v>51</v>
      </c>
      <c r="H2546" t="s">
        <v>44</v>
      </c>
      <c r="I2546" t="s">
        <v>152</v>
      </c>
      <c r="J2546">
        <v>14</v>
      </c>
      <c r="K2546">
        <v>27032.14</v>
      </c>
      <c r="L2546">
        <v>378449.96</v>
      </c>
      <c r="M2546">
        <v>53052.480000000003</v>
      </c>
      <c r="N2546">
        <v>0</v>
      </c>
      <c r="O2546">
        <v>325397.48</v>
      </c>
      <c r="P2546" t="s">
        <v>25</v>
      </c>
      <c r="Q2546" t="s">
        <v>26</v>
      </c>
    </row>
    <row r="2547" spans="1:17" x14ac:dyDescent="0.25">
      <c r="A2547" t="s">
        <v>2664</v>
      </c>
      <c r="B2547" s="1">
        <v>45959</v>
      </c>
      <c r="C2547" t="s">
        <v>54</v>
      </c>
      <c r="D2547" t="s">
        <v>97</v>
      </c>
      <c r="E2547" t="s">
        <v>41</v>
      </c>
      <c r="F2547" t="s">
        <v>42</v>
      </c>
      <c r="G2547" t="s">
        <v>43</v>
      </c>
      <c r="H2547" t="s">
        <v>57</v>
      </c>
      <c r="I2547" t="s">
        <v>92</v>
      </c>
      <c r="J2547">
        <v>17</v>
      </c>
      <c r="K2547">
        <v>4057.57</v>
      </c>
      <c r="L2547">
        <v>68978.69</v>
      </c>
      <c r="M2547">
        <v>9950.08</v>
      </c>
      <c r="N2547">
        <v>0</v>
      </c>
      <c r="O2547">
        <v>59028.61</v>
      </c>
      <c r="P2547" t="s">
        <v>25</v>
      </c>
      <c r="Q2547" t="s">
        <v>26</v>
      </c>
    </row>
    <row r="2548" spans="1:17" x14ac:dyDescent="0.25">
      <c r="A2548" t="s">
        <v>2665</v>
      </c>
      <c r="B2548" s="1">
        <v>45955</v>
      </c>
      <c r="C2548" t="s">
        <v>79</v>
      </c>
      <c r="D2548" t="s">
        <v>80</v>
      </c>
      <c r="E2548" t="s">
        <v>49</v>
      </c>
      <c r="F2548" t="s">
        <v>21</v>
      </c>
      <c r="G2548" t="s">
        <v>29</v>
      </c>
      <c r="H2548" t="s">
        <v>94</v>
      </c>
      <c r="I2548" t="s">
        <v>177</v>
      </c>
      <c r="J2548">
        <v>47</v>
      </c>
      <c r="K2548">
        <v>37697.89</v>
      </c>
      <c r="L2548">
        <v>1771800.83</v>
      </c>
      <c r="M2548">
        <v>120838.82</v>
      </c>
      <c r="N2548">
        <v>0</v>
      </c>
      <c r="O2548">
        <v>1650962.01</v>
      </c>
      <c r="P2548" t="s">
        <v>31</v>
      </c>
      <c r="Q2548" t="s">
        <v>32</v>
      </c>
    </row>
    <row r="2549" spans="1:17" x14ac:dyDescent="0.25">
      <c r="A2549" t="s">
        <v>2666</v>
      </c>
      <c r="B2549" s="1">
        <v>45999</v>
      </c>
      <c r="C2549" t="s">
        <v>60</v>
      </c>
      <c r="D2549" t="s">
        <v>123</v>
      </c>
      <c r="E2549" t="s">
        <v>49</v>
      </c>
      <c r="F2549" t="s">
        <v>50</v>
      </c>
      <c r="G2549" t="s">
        <v>63</v>
      </c>
      <c r="H2549" t="s">
        <v>38</v>
      </c>
      <c r="I2549" t="s">
        <v>86</v>
      </c>
      <c r="J2549">
        <v>35</v>
      </c>
      <c r="K2549">
        <v>29613.200000000001</v>
      </c>
      <c r="L2549">
        <v>1036462</v>
      </c>
      <c r="M2549">
        <v>52900.6</v>
      </c>
      <c r="N2549">
        <v>0</v>
      </c>
      <c r="O2549">
        <v>983561.4</v>
      </c>
      <c r="P2549" t="s">
        <v>31</v>
      </c>
      <c r="Q2549" t="s">
        <v>32</v>
      </c>
    </row>
    <row r="2550" spans="1:17" x14ac:dyDescent="0.25">
      <c r="A2550" t="s">
        <v>2667</v>
      </c>
      <c r="B2550" s="1">
        <v>45959</v>
      </c>
      <c r="C2550" t="s">
        <v>60</v>
      </c>
      <c r="D2550" t="s">
        <v>61</v>
      </c>
      <c r="E2550" t="s">
        <v>20</v>
      </c>
      <c r="F2550" t="s">
        <v>21</v>
      </c>
      <c r="G2550" t="s">
        <v>98</v>
      </c>
      <c r="H2550" t="s">
        <v>94</v>
      </c>
      <c r="I2550" t="s">
        <v>144</v>
      </c>
      <c r="J2550">
        <v>30</v>
      </c>
      <c r="K2550">
        <v>34078.31</v>
      </c>
      <c r="L2550">
        <v>1022349.3</v>
      </c>
      <c r="M2550">
        <v>59326.02</v>
      </c>
      <c r="N2550">
        <v>0</v>
      </c>
      <c r="O2550">
        <v>963023.28</v>
      </c>
      <c r="P2550" t="s">
        <v>25</v>
      </c>
      <c r="Q2550" t="s">
        <v>26</v>
      </c>
    </row>
    <row r="2551" spans="1:17" x14ac:dyDescent="0.25">
      <c r="A2551" t="s">
        <v>2668</v>
      </c>
      <c r="B2551" s="1">
        <v>46017</v>
      </c>
      <c r="C2551" t="s">
        <v>60</v>
      </c>
      <c r="D2551" t="s">
        <v>65</v>
      </c>
      <c r="E2551" t="s">
        <v>49</v>
      </c>
      <c r="F2551" t="s">
        <v>21</v>
      </c>
      <c r="G2551" t="s">
        <v>29</v>
      </c>
      <c r="H2551" t="s">
        <v>38</v>
      </c>
      <c r="I2551" t="s">
        <v>108</v>
      </c>
      <c r="J2551">
        <v>9</v>
      </c>
      <c r="K2551">
        <v>28923.61</v>
      </c>
      <c r="L2551">
        <v>260312.49</v>
      </c>
      <c r="M2551">
        <v>0</v>
      </c>
      <c r="N2551">
        <v>0</v>
      </c>
      <c r="O2551">
        <v>260312.49</v>
      </c>
      <c r="P2551" t="s">
        <v>25</v>
      </c>
      <c r="Q2551" t="s">
        <v>26</v>
      </c>
    </row>
    <row r="2552" spans="1:17" x14ac:dyDescent="0.25">
      <c r="A2552" t="s">
        <v>2669</v>
      </c>
      <c r="B2552" s="1">
        <v>46010</v>
      </c>
      <c r="C2552" t="s">
        <v>47</v>
      </c>
      <c r="D2552" t="s">
        <v>48</v>
      </c>
      <c r="E2552" t="s">
        <v>20</v>
      </c>
      <c r="F2552" t="s">
        <v>137</v>
      </c>
      <c r="G2552" t="s">
        <v>63</v>
      </c>
      <c r="H2552" t="s">
        <v>38</v>
      </c>
      <c r="I2552" t="s">
        <v>108</v>
      </c>
      <c r="J2552">
        <v>7</v>
      </c>
      <c r="K2552">
        <v>13288.11</v>
      </c>
      <c r="L2552">
        <v>93016.77</v>
      </c>
      <c r="M2552">
        <v>7733.06</v>
      </c>
      <c r="N2552">
        <v>0</v>
      </c>
      <c r="O2552">
        <v>85283.71</v>
      </c>
      <c r="P2552" t="s">
        <v>32</v>
      </c>
      <c r="Q2552" t="s">
        <v>32</v>
      </c>
    </row>
    <row r="2553" spans="1:17" x14ac:dyDescent="0.25">
      <c r="A2553" t="s">
        <v>2670</v>
      </c>
      <c r="B2553" s="1">
        <v>46037</v>
      </c>
      <c r="C2553" t="s">
        <v>60</v>
      </c>
      <c r="D2553" t="s">
        <v>65</v>
      </c>
      <c r="E2553" t="s">
        <v>49</v>
      </c>
      <c r="F2553" t="s">
        <v>62</v>
      </c>
      <c r="G2553" t="s">
        <v>89</v>
      </c>
      <c r="H2553" t="s">
        <v>57</v>
      </c>
      <c r="I2553" t="s">
        <v>72</v>
      </c>
      <c r="J2553">
        <v>8</v>
      </c>
      <c r="K2553">
        <v>26133.21</v>
      </c>
      <c r="L2553">
        <v>209065.68</v>
      </c>
      <c r="M2553">
        <v>32316.5</v>
      </c>
      <c r="N2553">
        <v>0</v>
      </c>
      <c r="O2553">
        <v>176749.18</v>
      </c>
      <c r="P2553" t="s">
        <v>25</v>
      </c>
      <c r="Q2553" t="s">
        <v>26</v>
      </c>
    </row>
    <row r="2554" spans="1:17" x14ac:dyDescent="0.25">
      <c r="A2554" t="s">
        <v>2671</v>
      </c>
      <c r="B2554" s="1">
        <v>46023</v>
      </c>
      <c r="C2554" t="s">
        <v>47</v>
      </c>
      <c r="D2554" t="s">
        <v>48</v>
      </c>
      <c r="E2554" t="s">
        <v>20</v>
      </c>
      <c r="F2554" t="s">
        <v>21</v>
      </c>
      <c r="G2554" t="s">
        <v>43</v>
      </c>
      <c r="H2554" t="s">
        <v>38</v>
      </c>
      <c r="I2554" t="s">
        <v>108</v>
      </c>
      <c r="J2554">
        <v>8</v>
      </c>
      <c r="K2554">
        <v>50141.25</v>
      </c>
      <c r="L2554">
        <v>401130</v>
      </c>
      <c r="M2554">
        <v>20245</v>
      </c>
      <c r="N2554">
        <v>0</v>
      </c>
      <c r="O2554">
        <v>380885</v>
      </c>
      <c r="P2554" t="s">
        <v>73</v>
      </c>
      <c r="Q2554" t="s">
        <v>32</v>
      </c>
    </row>
    <row r="2555" spans="1:17" x14ac:dyDescent="0.25">
      <c r="A2555" t="s">
        <v>2672</v>
      </c>
      <c r="B2555" s="1">
        <v>46032</v>
      </c>
      <c r="C2555" t="s">
        <v>47</v>
      </c>
      <c r="D2555" t="s">
        <v>127</v>
      </c>
      <c r="E2555" t="s">
        <v>41</v>
      </c>
      <c r="F2555" t="s">
        <v>50</v>
      </c>
      <c r="G2555" t="s">
        <v>51</v>
      </c>
      <c r="H2555" t="s">
        <v>38</v>
      </c>
      <c r="I2555" t="s">
        <v>108</v>
      </c>
      <c r="J2555">
        <v>47</v>
      </c>
      <c r="K2555">
        <v>30758.25</v>
      </c>
      <c r="L2555">
        <v>1445637.75</v>
      </c>
      <c r="M2555">
        <v>0</v>
      </c>
      <c r="N2555">
        <v>0</v>
      </c>
      <c r="O2555">
        <v>1445637.75</v>
      </c>
      <c r="P2555" t="s">
        <v>31</v>
      </c>
      <c r="Q2555" t="s">
        <v>32</v>
      </c>
    </row>
    <row r="2556" spans="1:17" x14ac:dyDescent="0.25">
      <c r="A2556" t="s">
        <v>2673</v>
      </c>
      <c r="B2556" s="1">
        <v>45976</v>
      </c>
      <c r="C2556" t="s">
        <v>79</v>
      </c>
      <c r="D2556" t="s">
        <v>101</v>
      </c>
      <c r="E2556" t="s">
        <v>35</v>
      </c>
      <c r="F2556" t="s">
        <v>21</v>
      </c>
      <c r="G2556" t="s">
        <v>98</v>
      </c>
      <c r="H2556" t="s">
        <v>67</v>
      </c>
      <c r="I2556" t="s">
        <v>170</v>
      </c>
      <c r="J2556">
        <v>25</v>
      </c>
      <c r="K2556">
        <v>38554.120000000003</v>
      </c>
      <c r="L2556">
        <v>963853</v>
      </c>
      <c r="M2556">
        <v>0</v>
      </c>
      <c r="N2556">
        <v>0</v>
      </c>
      <c r="O2556">
        <v>963853</v>
      </c>
      <c r="P2556" t="s">
        <v>73</v>
      </c>
      <c r="Q2556" t="s">
        <v>32</v>
      </c>
    </row>
    <row r="2557" spans="1:17" x14ac:dyDescent="0.25">
      <c r="A2557" t="s">
        <v>2674</v>
      </c>
      <c r="B2557" s="1">
        <v>45959</v>
      </c>
      <c r="C2557" t="s">
        <v>79</v>
      </c>
      <c r="D2557" t="s">
        <v>107</v>
      </c>
      <c r="E2557" t="s">
        <v>49</v>
      </c>
      <c r="F2557" t="s">
        <v>71</v>
      </c>
      <c r="G2557" t="s">
        <v>29</v>
      </c>
      <c r="H2557" t="s">
        <v>94</v>
      </c>
      <c r="I2557" t="s">
        <v>95</v>
      </c>
      <c r="J2557">
        <v>43</v>
      </c>
      <c r="K2557">
        <v>29616.27</v>
      </c>
      <c r="L2557">
        <v>1273499.6100000001</v>
      </c>
      <c r="M2557">
        <v>152944.54999999999</v>
      </c>
      <c r="N2557">
        <v>0</v>
      </c>
      <c r="O2557">
        <v>1120555.06</v>
      </c>
      <c r="P2557" t="s">
        <v>32</v>
      </c>
      <c r="Q2557" t="s">
        <v>32</v>
      </c>
    </row>
    <row r="2558" spans="1:17" x14ac:dyDescent="0.25">
      <c r="A2558" t="s">
        <v>2675</v>
      </c>
      <c r="B2558" s="1">
        <v>45987</v>
      </c>
      <c r="C2558" t="s">
        <v>47</v>
      </c>
      <c r="D2558" t="s">
        <v>127</v>
      </c>
      <c r="E2558" t="s">
        <v>20</v>
      </c>
      <c r="F2558" t="s">
        <v>112</v>
      </c>
      <c r="G2558" t="s">
        <v>66</v>
      </c>
      <c r="H2558" t="s">
        <v>23</v>
      </c>
      <c r="I2558" t="s">
        <v>110</v>
      </c>
      <c r="J2558">
        <v>41</v>
      </c>
      <c r="K2558">
        <v>25336.84</v>
      </c>
      <c r="L2558">
        <v>1038810.44</v>
      </c>
      <c r="M2558">
        <v>0</v>
      </c>
      <c r="N2558">
        <v>0</v>
      </c>
      <c r="O2558">
        <v>1038810.44</v>
      </c>
      <c r="P2558" t="s">
        <v>31</v>
      </c>
      <c r="Q2558" t="s">
        <v>32</v>
      </c>
    </row>
    <row r="2559" spans="1:17" x14ac:dyDescent="0.25">
      <c r="A2559" t="s">
        <v>2676</v>
      </c>
      <c r="B2559" s="1">
        <v>46031</v>
      </c>
      <c r="C2559" t="s">
        <v>79</v>
      </c>
      <c r="D2559" t="s">
        <v>101</v>
      </c>
      <c r="E2559" t="s">
        <v>41</v>
      </c>
      <c r="F2559" t="s">
        <v>137</v>
      </c>
      <c r="G2559" t="s">
        <v>63</v>
      </c>
      <c r="H2559" t="s">
        <v>44</v>
      </c>
      <c r="I2559" t="s">
        <v>281</v>
      </c>
      <c r="J2559">
        <v>37</v>
      </c>
      <c r="K2559">
        <v>43826.98</v>
      </c>
      <c r="L2559">
        <v>1621598.26</v>
      </c>
      <c r="M2559">
        <v>236026.27</v>
      </c>
      <c r="N2559">
        <v>0</v>
      </c>
      <c r="O2559">
        <v>1385571.99</v>
      </c>
      <c r="P2559" t="s">
        <v>32</v>
      </c>
      <c r="Q2559" t="s">
        <v>32</v>
      </c>
    </row>
    <row r="2560" spans="1:17" x14ac:dyDescent="0.25">
      <c r="A2560" t="s">
        <v>2677</v>
      </c>
      <c r="B2560" s="1">
        <v>45990</v>
      </c>
      <c r="C2560" t="s">
        <v>18</v>
      </c>
      <c r="D2560" t="s">
        <v>34</v>
      </c>
      <c r="E2560" t="s">
        <v>20</v>
      </c>
      <c r="F2560" t="s">
        <v>42</v>
      </c>
      <c r="G2560" t="s">
        <v>43</v>
      </c>
      <c r="H2560" t="s">
        <v>44</v>
      </c>
      <c r="I2560" t="s">
        <v>141</v>
      </c>
      <c r="J2560">
        <v>37</v>
      </c>
      <c r="K2560">
        <v>20130.55</v>
      </c>
      <c r="L2560">
        <v>744830.35</v>
      </c>
      <c r="M2560">
        <v>0</v>
      </c>
      <c r="N2560">
        <v>0</v>
      </c>
      <c r="O2560">
        <v>744830.35</v>
      </c>
      <c r="P2560" t="s">
        <v>31</v>
      </c>
      <c r="Q2560" t="s">
        <v>32</v>
      </c>
    </row>
    <row r="2561" spans="1:17" x14ac:dyDescent="0.25">
      <c r="A2561" t="s">
        <v>2678</v>
      </c>
      <c r="B2561" s="1">
        <v>46037</v>
      </c>
      <c r="C2561" t="s">
        <v>79</v>
      </c>
      <c r="D2561" t="s">
        <v>107</v>
      </c>
      <c r="E2561" t="s">
        <v>49</v>
      </c>
      <c r="F2561" t="s">
        <v>42</v>
      </c>
      <c r="G2561" t="s">
        <v>102</v>
      </c>
      <c r="H2561" t="s">
        <v>94</v>
      </c>
      <c r="I2561" t="s">
        <v>163</v>
      </c>
      <c r="J2561">
        <v>37</v>
      </c>
      <c r="K2561">
        <v>40876.379999999997</v>
      </c>
      <c r="L2561">
        <v>1512426.06</v>
      </c>
      <c r="M2561">
        <v>117727.75</v>
      </c>
      <c r="N2561">
        <v>0</v>
      </c>
      <c r="O2561">
        <v>1394698.31</v>
      </c>
      <c r="P2561" t="s">
        <v>31</v>
      </c>
      <c r="Q2561" t="s">
        <v>32</v>
      </c>
    </row>
    <row r="2562" spans="1:17" x14ac:dyDescent="0.25">
      <c r="A2562" t="s">
        <v>2679</v>
      </c>
      <c r="B2562" s="1">
        <v>45955</v>
      </c>
      <c r="C2562" t="s">
        <v>47</v>
      </c>
      <c r="D2562" t="s">
        <v>127</v>
      </c>
      <c r="E2562" t="s">
        <v>41</v>
      </c>
      <c r="F2562" t="s">
        <v>36</v>
      </c>
      <c r="G2562" t="s">
        <v>37</v>
      </c>
      <c r="H2562" t="s">
        <v>23</v>
      </c>
      <c r="I2562" t="s">
        <v>24</v>
      </c>
      <c r="J2562">
        <v>47</v>
      </c>
      <c r="K2562">
        <v>21200.83</v>
      </c>
      <c r="L2562">
        <v>996439.01</v>
      </c>
      <c r="M2562">
        <v>54950.09</v>
      </c>
      <c r="N2562">
        <v>0</v>
      </c>
      <c r="O2562">
        <v>941488.92</v>
      </c>
      <c r="P2562" t="s">
        <v>31</v>
      </c>
      <c r="Q2562" t="s">
        <v>32</v>
      </c>
    </row>
    <row r="2563" spans="1:17" x14ac:dyDescent="0.25">
      <c r="A2563" t="s">
        <v>2680</v>
      </c>
      <c r="B2563" s="1">
        <v>46002</v>
      </c>
      <c r="C2563" t="s">
        <v>54</v>
      </c>
      <c r="D2563" t="s">
        <v>133</v>
      </c>
      <c r="E2563" t="s">
        <v>41</v>
      </c>
      <c r="F2563" t="s">
        <v>42</v>
      </c>
      <c r="G2563" t="s">
        <v>89</v>
      </c>
      <c r="H2563" t="s">
        <v>67</v>
      </c>
      <c r="I2563" t="s">
        <v>201</v>
      </c>
      <c r="J2563">
        <v>26</v>
      </c>
      <c r="K2563">
        <v>7279.13</v>
      </c>
      <c r="L2563">
        <v>189257.38</v>
      </c>
      <c r="M2563">
        <v>34296.46</v>
      </c>
      <c r="N2563">
        <v>0</v>
      </c>
      <c r="O2563">
        <v>154960.92000000001</v>
      </c>
      <c r="P2563" t="s">
        <v>73</v>
      </c>
      <c r="Q2563" t="s">
        <v>32</v>
      </c>
    </row>
    <row r="2564" spans="1:17" x14ac:dyDescent="0.25">
      <c r="A2564" t="s">
        <v>2681</v>
      </c>
      <c r="B2564" s="1">
        <v>46039</v>
      </c>
      <c r="C2564" t="s">
        <v>18</v>
      </c>
      <c r="D2564" t="s">
        <v>34</v>
      </c>
      <c r="E2564" t="s">
        <v>20</v>
      </c>
      <c r="F2564" t="s">
        <v>42</v>
      </c>
      <c r="G2564" t="s">
        <v>138</v>
      </c>
      <c r="H2564" t="s">
        <v>94</v>
      </c>
      <c r="I2564" t="s">
        <v>163</v>
      </c>
      <c r="J2564">
        <v>42</v>
      </c>
      <c r="K2564">
        <v>27710.77</v>
      </c>
      <c r="L2564">
        <v>1163852.3400000001</v>
      </c>
      <c r="M2564">
        <v>0</v>
      </c>
      <c r="N2564">
        <v>0</v>
      </c>
      <c r="O2564">
        <v>1163852.3400000001</v>
      </c>
      <c r="P2564" t="s">
        <v>31</v>
      </c>
      <c r="Q2564" t="s">
        <v>32</v>
      </c>
    </row>
    <row r="2565" spans="1:17" x14ac:dyDescent="0.25">
      <c r="A2565" t="s">
        <v>2682</v>
      </c>
      <c r="B2565" s="1">
        <v>46009</v>
      </c>
      <c r="C2565" t="s">
        <v>47</v>
      </c>
      <c r="D2565" t="s">
        <v>48</v>
      </c>
      <c r="E2565" t="s">
        <v>35</v>
      </c>
      <c r="F2565" t="s">
        <v>62</v>
      </c>
      <c r="G2565" t="s">
        <v>66</v>
      </c>
      <c r="H2565" t="s">
        <v>57</v>
      </c>
      <c r="I2565" t="s">
        <v>160</v>
      </c>
      <c r="J2565">
        <v>13</v>
      </c>
      <c r="K2565">
        <v>29746.97</v>
      </c>
      <c r="L2565">
        <v>386710.61</v>
      </c>
      <c r="M2565">
        <v>0</v>
      </c>
      <c r="N2565">
        <v>0</v>
      </c>
      <c r="O2565">
        <v>386710.61</v>
      </c>
      <c r="P2565" t="s">
        <v>31</v>
      </c>
      <c r="Q2565" t="s">
        <v>32</v>
      </c>
    </row>
    <row r="2566" spans="1:17" x14ac:dyDescent="0.25">
      <c r="A2566" t="s">
        <v>2683</v>
      </c>
      <c r="B2566" s="1">
        <v>46025</v>
      </c>
      <c r="C2566" t="s">
        <v>60</v>
      </c>
      <c r="D2566" t="s">
        <v>123</v>
      </c>
      <c r="E2566" t="s">
        <v>41</v>
      </c>
      <c r="F2566" t="s">
        <v>36</v>
      </c>
      <c r="G2566" t="s">
        <v>138</v>
      </c>
      <c r="H2566" t="s">
        <v>44</v>
      </c>
      <c r="I2566" t="s">
        <v>135</v>
      </c>
      <c r="J2566">
        <v>3</v>
      </c>
      <c r="K2566">
        <v>35786.25</v>
      </c>
      <c r="L2566">
        <v>107358.75</v>
      </c>
      <c r="M2566">
        <v>2361.5100000000002</v>
      </c>
      <c r="N2566">
        <v>0</v>
      </c>
      <c r="O2566">
        <v>104997.24</v>
      </c>
      <c r="P2566" t="s">
        <v>73</v>
      </c>
      <c r="Q2566" t="s">
        <v>32</v>
      </c>
    </row>
    <row r="2567" spans="1:17" x14ac:dyDescent="0.25">
      <c r="A2567" t="s">
        <v>2684</v>
      </c>
      <c r="B2567" s="1">
        <v>45975</v>
      </c>
      <c r="C2567" t="s">
        <v>18</v>
      </c>
      <c r="D2567" t="s">
        <v>28</v>
      </c>
      <c r="E2567" t="s">
        <v>35</v>
      </c>
      <c r="F2567" t="s">
        <v>71</v>
      </c>
      <c r="G2567" t="s">
        <v>85</v>
      </c>
      <c r="H2567" t="s">
        <v>94</v>
      </c>
      <c r="I2567" t="s">
        <v>193</v>
      </c>
      <c r="J2567">
        <v>19</v>
      </c>
      <c r="K2567">
        <v>47404.18</v>
      </c>
      <c r="L2567">
        <v>900679.42</v>
      </c>
      <c r="M2567">
        <v>169617.94</v>
      </c>
      <c r="N2567">
        <v>0</v>
      </c>
      <c r="O2567">
        <v>731061.48</v>
      </c>
      <c r="P2567" t="s">
        <v>32</v>
      </c>
      <c r="Q2567" t="s">
        <v>32</v>
      </c>
    </row>
    <row r="2568" spans="1:17" x14ac:dyDescent="0.25">
      <c r="A2568" t="s">
        <v>2685</v>
      </c>
      <c r="B2568" s="1">
        <v>45959</v>
      </c>
      <c r="C2568" t="s">
        <v>18</v>
      </c>
      <c r="D2568" t="s">
        <v>75</v>
      </c>
      <c r="E2568" t="s">
        <v>41</v>
      </c>
      <c r="F2568" t="s">
        <v>105</v>
      </c>
      <c r="G2568" t="s">
        <v>43</v>
      </c>
      <c r="H2568" t="s">
        <v>23</v>
      </c>
      <c r="I2568" t="s">
        <v>24</v>
      </c>
      <c r="J2568">
        <v>23</v>
      </c>
      <c r="K2568">
        <v>8100.44</v>
      </c>
      <c r="L2568">
        <v>186310.12</v>
      </c>
      <c r="M2568">
        <v>10948.6</v>
      </c>
      <c r="N2568">
        <v>0</v>
      </c>
      <c r="O2568">
        <v>175361.52</v>
      </c>
      <c r="P2568" t="s">
        <v>25</v>
      </c>
      <c r="Q2568" t="s">
        <v>26</v>
      </c>
    </row>
    <row r="2569" spans="1:17" x14ac:dyDescent="0.25">
      <c r="A2569" t="s">
        <v>2686</v>
      </c>
      <c r="B2569" s="1">
        <v>45996</v>
      </c>
      <c r="C2569" t="s">
        <v>54</v>
      </c>
      <c r="D2569" t="s">
        <v>133</v>
      </c>
      <c r="E2569" t="s">
        <v>35</v>
      </c>
      <c r="F2569" t="s">
        <v>42</v>
      </c>
      <c r="G2569" t="s">
        <v>51</v>
      </c>
      <c r="H2569" t="s">
        <v>94</v>
      </c>
      <c r="I2569" t="s">
        <v>163</v>
      </c>
      <c r="J2569">
        <v>35</v>
      </c>
      <c r="K2569">
        <v>23018.5</v>
      </c>
      <c r="L2569">
        <v>805647.5</v>
      </c>
      <c r="M2569">
        <v>86375.33</v>
      </c>
      <c r="N2569">
        <v>0</v>
      </c>
      <c r="O2569">
        <v>719272.17</v>
      </c>
      <c r="P2569" t="s">
        <v>73</v>
      </c>
      <c r="Q2569" t="s">
        <v>32</v>
      </c>
    </row>
    <row r="2570" spans="1:17" x14ac:dyDescent="0.25">
      <c r="A2570" t="s">
        <v>2687</v>
      </c>
      <c r="B2570" s="1">
        <v>46009</v>
      </c>
      <c r="C2570" t="s">
        <v>18</v>
      </c>
      <c r="D2570" t="s">
        <v>28</v>
      </c>
      <c r="E2570" t="s">
        <v>41</v>
      </c>
      <c r="F2570" t="s">
        <v>36</v>
      </c>
      <c r="G2570" t="s">
        <v>43</v>
      </c>
      <c r="H2570" t="s">
        <v>38</v>
      </c>
      <c r="I2570" t="s">
        <v>39</v>
      </c>
      <c r="J2570">
        <v>24</v>
      </c>
      <c r="K2570">
        <v>37851.79</v>
      </c>
      <c r="L2570">
        <v>908442.96</v>
      </c>
      <c r="M2570">
        <v>166068</v>
      </c>
      <c r="N2570">
        <v>0</v>
      </c>
      <c r="O2570">
        <v>742374.96</v>
      </c>
      <c r="P2570" t="s">
        <v>73</v>
      </c>
      <c r="Q2570" t="s">
        <v>32</v>
      </c>
    </row>
    <row r="2571" spans="1:17" x14ac:dyDescent="0.25">
      <c r="A2571" t="s">
        <v>2688</v>
      </c>
      <c r="B2571" s="1">
        <v>46028</v>
      </c>
      <c r="C2571" t="s">
        <v>18</v>
      </c>
      <c r="D2571" t="s">
        <v>28</v>
      </c>
      <c r="E2571" t="s">
        <v>35</v>
      </c>
      <c r="F2571" t="s">
        <v>36</v>
      </c>
      <c r="G2571" t="s">
        <v>51</v>
      </c>
      <c r="H2571" t="s">
        <v>23</v>
      </c>
      <c r="I2571" t="s">
        <v>24</v>
      </c>
      <c r="J2571">
        <v>50</v>
      </c>
      <c r="K2571">
        <v>22828.82</v>
      </c>
      <c r="L2571">
        <v>1141441</v>
      </c>
      <c r="M2571">
        <v>0</v>
      </c>
      <c r="N2571">
        <v>295257.12</v>
      </c>
      <c r="O2571">
        <v>846183.88</v>
      </c>
      <c r="P2571" t="s">
        <v>73</v>
      </c>
      <c r="Q2571" t="s">
        <v>32</v>
      </c>
    </row>
    <row r="2572" spans="1:17" x14ac:dyDescent="0.25">
      <c r="A2572" t="s">
        <v>2689</v>
      </c>
      <c r="B2572" s="1">
        <v>45988</v>
      </c>
      <c r="C2572" t="s">
        <v>47</v>
      </c>
      <c r="D2572" t="s">
        <v>88</v>
      </c>
      <c r="E2572" t="s">
        <v>49</v>
      </c>
      <c r="F2572" t="s">
        <v>36</v>
      </c>
      <c r="G2572" t="s">
        <v>102</v>
      </c>
      <c r="H2572" t="s">
        <v>67</v>
      </c>
      <c r="I2572" t="s">
        <v>103</v>
      </c>
      <c r="J2572">
        <v>3</v>
      </c>
      <c r="K2572">
        <v>27047.21</v>
      </c>
      <c r="L2572">
        <v>81141.63</v>
      </c>
      <c r="M2572">
        <v>9014</v>
      </c>
      <c r="N2572">
        <v>0</v>
      </c>
      <c r="O2572">
        <v>72127.63</v>
      </c>
      <c r="P2572" t="s">
        <v>32</v>
      </c>
      <c r="Q2572" t="s">
        <v>32</v>
      </c>
    </row>
    <row r="2573" spans="1:17" x14ac:dyDescent="0.25">
      <c r="A2573" t="s">
        <v>2690</v>
      </c>
      <c r="B2573" s="1">
        <v>46045</v>
      </c>
      <c r="C2573" t="s">
        <v>18</v>
      </c>
      <c r="D2573" t="s">
        <v>75</v>
      </c>
      <c r="E2573" t="s">
        <v>41</v>
      </c>
      <c r="F2573" t="s">
        <v>137</v>
      </c>
      <c r="G2573" t="s">
        <v>22</v>
      </c>
      <c r="H2573" t="s">
        <v>44</v>
      </c>
      <c r="I2573" t="s">
        <v>141</v>
      </c>
      <c r="J2573">
        <v>50</v>
      </c>
      <c r="K2573">
        <v>46840.23</v>
      </c>
      <c r="L2573">
        <v>2342011.5</v>
      </c>
      <c r="M2573">
        <v>278061.94</v>
      </c>
      <c r="N2573">
        <v>0</v>
      </c>
      <c r="O2573">
        <v>2063949.56</v>
      </c>
      <c r="P2573" t="s">
        <v>31</v>
      </c>
      <c r="Q2573" t="s">
        <v>32</v>
      </c>
    </row>
    <row r="2574" spans="1:17" x14ac:dyDescent="0.25">
      <c r="A2574" t="s">
        <v>2691</v>
      </c>
      <c r="B2574" s="1">
        <v>46041</v>
      </c>
      <c r="C2574" t="s">
        <v>79</v>
      </c>
      <c r="D2574" t="s">
        <v>101</v>
      </c>
      <c r="E2574" t="s">
        <v>49</v>
      </c>
      <c r="F2574" t="s">
        <v>21</v>
      </c>
      <c r="G2574" t="s">
        <v>140</v>
      </c>
      <c r="H2574" t="s">
        <v>38</v>
      </c>
      <c r="I2574" t="s">
        <v>86</v>
      </c>
      <c r="J2574">
        <v>44</v>
      </c>
      <c r="K2574">
        <v>18668.849999999999</v>
      </c>
      <c r="L2574">
        <v>821429.4</v>
      </c>
      <c r="M2574">
        <v>111647.86</v>
      </c>
      <c r="N2574">
        <v>0</v>
      </c>
      <c r="O2574">
        <v>709781.54</v>
      </c>
      <c r="P2574" t="s">
        <v>32</v>
      </c>
      <c r="Q2574" t="s">
        <v>26</v>
      </c>
    </row>
    <row r="2575" spans="1:17" x14ac:dyDescent="0.25">
      <c r="A2575" t="s">
        <v>2692</v>
      </c>
      <c r="B2575" s="1">
        <v>46000</v>
      </c>
      <c r="C2575" t="s">
        <v>60</v>
      </c>
      <c r="D2575" t="s">
        <v>65</v>
      </c>
      <c r="E2575" t="s">
        <v>41</v>
      </c>
      <c r="F2575" t="s">
        <v>50</v>
      </c>
      <c r="G2575" t="s">
        <v>140</v>
      </c>
      <c r="H2575" t="s">
        <v>94</v>
      </c>
      <c r="I2575" t="s">
        <v>95</v>
      </c>
      <c r="J2575">
        <v>45</v>
      </c>
      <c r="K2575">
        <v>14701.27</v>
      </c>
      <c r="L2575">
        <v>661557.15</v>
      </c>
      <c r="M2575">
        <v>18050.02</v>
      </c>
      <c r="N2575">
        <v>0</v>
      </c>
      <c r="O2575">
        <v>643507.13</v>
      </c>
      <c r="P2575" t="s">
        <v>32</v>
      </c>
      <c r="Q2575" t="s">
        <v>32</v>
      </c>
    </row>
    <row r="2576" spans="1:17" x14ac:dyDescent="0.25">
      <c r="A2576" t="s">
        <v>2693</v>
      </c>
      <c r="B2576" s="1">
        <v>45983</v>
      </c>
      <c r="C2576" t="s">
        <v>60</v>
      </c>
      <c r="D2576" t="s">
        <v>123</v>
      </c>
      <c r="E2576" t="s">
        <v>20</v>
      </c>
      <c r="F2576" t="s">
        <v>105</v>
      </c>
      <c r="G2576" t="s">
        <v>98</v>
      </c>
      <c r="H2576" t="s">
        <v>44</v>
      </c>
      <c r="I2576" t="s">
        <v>281</v>
      </c>
      <c r="J2576">
        <v>49</v>
      </c>
      <c r="K2576">
        <v>18597.37</v>
      </c>
      <c r="L2576">
        <v>911271.13</v>
      </c>
      <c r="M2576">
        <v>60776.02</v>
      </c>
      <c r="N2576">
        <v>10991.64</v>
      </c>
      <c r="O2576">
        <v>839503.47</v>
      </c>
      <c r="P2576" t="s">
        <v>32</v>
      </c>
      <c r="Q2576" t="s">
        <v>26</v>
      </c>
    </row>
    <row r="2577" spans="1:17" x14ac:dyDescent="0.25">
      <c r="A2577" t="s">
        <v>2694</v>
      </c>
      <c r="B2577" s="1">
        <v>45990</v>
      </c>
      <c r="C2577" t="s">
        <v>18</v>
      </c>
      <c r="D2577" t="s">
        <v>19</v>
      </c>
      <c r="E2577" t="s">
        <v>20</v>
      </c>
      <c r="F2577" t="s">
        <v>42</v>
      </c>
      <c r="G2577" t="s">
        <v>43</v>
      </c>
      <c r="H2577" t="s">
        <v>44</v>
      </c>
      <c r="I2577" t="s">
        <v>152</v>
      </c>
      <c r="J2577">
        <v>49</v>
      </c>
      <c r="K2577">
        <v>27205.69</v>
      </c>
      <c r="L2577">
        <v>1333078.81</v>
      </c>
      <c r="M2577">
        <v>217368.17</v>
      </c>
      <c r="N2577">
        <v>0</v>
      </c>
      <c r="O2577">
        <v>1115710.6399999999</v>
      </c>
      <c r="P2577" t="s">
        <v>31</v>
      </c>
      <c r="Q2577" t="s">
        <v>32</v>
      </c>
    </row>
    <row r="2578" spans="1:17" x14ac:dyDescent="0.25">
      <c r="A2578" t="s">
        <v>2695</v>
      </c>
      <c r="B2578" s="1">
        <v>45980</v>
      </c>
      <c r="C2578" t="s">
        <v>60</v>
      </c>
      <c r="D2578" t="s">
        <v>123</v>
      </c>
      <c r="E2578" t="s">
        <v>20</v>
      </c>
      <c r="F2578" t="s">
        <v>62</v>
      </c>
      <c r="G2578" t="s">
        <v>102</v>
      </c>
      <c r="H2578" t="s">
        <v>94</v>
      </c>
      <c r="I2578" t="s">
        <v>115</v>
      </c>
      <c r="J2578">
        <v>24</v>
      </c>
      <c r="K2578">
        <v>3080.63</v>
      </c>
      <c r="L2578">
        <v>73935.12</v>
      </c>
      <c r="M2578">
        <v>0</v>
      </c>
      <c r="N2578">
        <v>0</v>
      </c>
      <c r="O2578">
        <v>73935.12</v>
      </c>
      <c r="P2578" t="s">
        <v>32</v>
      </c>
      <c r="Q2578" t="s">
        <v>32</v>
      </c>
    </row>
    <row r="2579" spans="1:17" x14ac:dyDescent="0.25">
      <c r="A2579" t="s">
        <v>2696</v>
      </c>
      <c r="B2579" s="1">
        <v>46026</v>
      </c>
      <c r="C2579" t="s">
        <v>47</v>
      </c>
      <c r="D2579" t="s">
        <v>114</v>
      </c>
      <c r="E2579" t="s">
        <v>20</v>
      </c>
      <c r="F2579" t="s">
        <v>50</v>
      </c>
      <c r="G2579" t="s">
        <v>43</v>
      </c>
      <c r="H2579" t="s">
        <v>44</v>
      </c>
      <c r="I2579" t="s">
        <v>135</v>
      </c>
      <c r="J2579">
        <v>2</v>
      </c>
      <c r="K2579">
        <v>40931.64</v>
      </c>
      <c r="L2579">
        <v>81863.28</v>
      </c>
      <c r="M2579">
        <v>12249.56</v>
      </c>
      <c r="N2579">
        <v>0</v>
      </c>
      <c r="O2579">
        <v>69613.72</v>
      </c>
      <c r="P2579" t="s">
        <v>25</v>
      </c>
      <c r="Q2579" t="s">
        <v>26</v>
      </c>
    </row>
    <row r="2580" spans="1:17" x14ac:dyDescent="0.25">
      <c r="A2580" t="s">
        <v>2697</v>
      </c>
      <c r="B2580" s="1">
        <v>45967</v>
      </c>
      <c r="C2580" t="s">
        <v>18</v>
      </c>
      <c r="D2580" t="s">
        <v>28</v>
      </c>
      <c r="E2580" t="s">
        <v>20</v>
      </c>
      <c r="F2580" t="s">
        <v>42</v>
      </c>
      <c r="G2580" t="s">
        <v>37</v>
      </c>
      <c r="H2580" t="s">
        <v>67</v>
      </c>
      <c r="I2580" t="s">
        <v>154</v>
      </c>
      <c r="J2580">
        <v>16</v>
      </c>
      <c r="K2580">
        <v>32461.74</v>
      </c>
      <c r="L2580">
        <v>519387.84</v>
      </c>
      <c r="M2580">
        <v>0</v>
      </c>
      <c r="N2580">
        <v>64119.67</v>
      </c>
      <c r="O2580">
        <v>455268.17</v>
      </c>
      <c r="P2580" t="s">
        <v>73</v>
      </c>
      <c r="Q2580" t="s">
        <v>26</v>
      </c>
    </row>
    <row r="2581" spans="1:17" x14ac:dyDescent="0.25">
      <c r="A2581" t="s">
        <v>2698</v>
      </c>
      <c r="B2581" s="1">
        <v>45997</v>
      </c>
      <c r="C2581" t="s">
        <v>79</v>
      </c>
      <c r="D2581" t="s">
        <v>107</v>
      </c>
      <c r="E2581" t="s">
        <v>20</v>
      </c>
      <c r="F2581" t="s">
        <v>21</v>
      </c>
      <c r="G2581" t="s">
        <v>29</v>
      </c>
      <c r="H2581" t="s">
        <v>57</v>
      </c>
      <c r="I2581" t="s">
        <v>148</v>
      </c>
      <c r="J2581">
        <v>9</v>
      </c>
      <c r="K2581">
        <v>40882.21</v>
      </c>
      <c r="L2581">
        <v>367939.89</v>
      </c>
      <c r="M2581">
        <v>64587.040000000001</v>
      </c>
      <c r="N2581">
        <v>0</v>
      </c>
      <c r="O2581">
        <v>303352.84999999998</v>
      </c>
      <c r="P2581" t="s">
        <v>25</v>
      </c>
      <c r="Q2581" t="s">
        <v>26</v>
      </c>
    </row>
    <row r="2582" spans="1:17" x14ac:dyDescent="0.25">
      <c r="A2582" t="s">
        <v>2699</v>
      </c>
      <c r="B2582" s="1">
        <v>45960</v>
      </c>
      <c r="C2582" t="s">
        <v>54</v>
      </c>
      <c r="D2582" t="s">
        <v>70</v>
      </c>
      <c r="E2582" t="s">
        <v>41</v>
      </c>
      <c r="F2582" t="s">
        <v>112</v>
      </c>
      <c r="G2582" t="s">
        <v>37</v>
      </c>
      <c r="H2582" t="s">
        <v>38</v>
      </c>
      <c r="I2582" t="s">
        <v>108</v>
      </c>
      <c r="J2582">
        <v>13</v>
      </c>
      <c r="K2582">
        <v>31335.88</v>
      </c>
      <c r="L2582">
        <v>407366.44</v>
      </c>
      <c r="M2582">
        <v>9994.27</v>
      </c>
      <c r="N2582">
        <v>0</v>
      </c>
      <c r="O2582">
        <v>397372.17</v>
      </c>
      <c r="P2582" t="s">
        <v>73</v>
      </c>
      <c r="Q2582" t="s">
        <v>32</v>
      </c>
    </row>
    <row r="2583" spans="1:17" x14ac:dyDescent="0.25">
      <c r="A2583" t="s">
        <v>2700</v>
      </c>
      <c r="B2583" s="1">
        <v>46031</v>
      </c>
      <c r="C2583" t="s">
        <v>54</v>
      </c>
      <c r="D2583" t="s">
        <v>133</v>
      </c>
      <c r="E2583" t="s">
        <v>41</v>
      </c>
      <c r="F2583" t="s">
        <v>21</v>
      </c>
      <c r="G2583" t="s">
        <v>51</v>
      </c>
      <c r="H2583" t="s">
        <v>67</v>
      </c>
      <c r="I2583" t="s">
        <v>103</v>
      </c>
      <c r="J2583">
        <v>15</v>
      </c>
      <c r="K2583">
        <v>19723</v>
      </c>
      <c r="L2583">
        <v>295845</v>
      </c>
      <c r="M2583">
        <v>37883.449999999997</v>
      </c>
      <c r="N2583">
        <v>0</v>
      </c>
      <c r="O2583">
        <v>257961.55</v>
      </c>
      <c r="P2583" t="s">
        <v>31</v>
      </c>
      <c r="Q2583" t="s">
        <v>32</v>
      </c>
    </row>
    <row r="2584" spans="1:17" x14ac:dyDescent="0.25">
      <c r="A2584" t="s">
        <v>2701</v>
      </c>
      <c r="B2584" s="1">
        <v>46013</v>
      </c>
      <c r="C2584" t="s">
        <v>18</v>
      </c>
      <c r="D2584" t="s">
        <v>75</v>
      </c>
      <c r="E2584" t="s">
        <v>41</v>
      </c>
      <c r="F2584" t="s">
        <v>42</v>
      </c>
      <c r="G2584" t="s">
        <v>29</v>
      </c>
      <c r="H2584" t="s">
        <v>23</v>
      </c>
      <c r="I2584" t="s">
        <v>24</v>
      </c>
      <c r="J2584">
        <v>33</v>
      </c>
      <c r="K2584">
        <v>2289.8200000000002</v>
      </c>
      <c r="L2584">
        <v>75564.06</v>
      </c>
      <c r="M2584">
        <v>93.49</v>
      </c>
      <c r="N2584">
        <v>0</v>
      </c>
      <c r="O2584">
        <v>75470.570000000007</v>
      </c>
      <c r="P2584" t="s">
        <v>73</v>
      </c>
      <c r="Q2584" t="s">
        <v>26</v>
      </c>
    </row>
    <row r="2585" spans="1:17" x14ac:dyDescent="0.25">
      <c r="A2585" t="s">
        <v>2702</v>
      </c>
      <c r="B2585" s="1">
        <v>46009</v>
      </c>
      <c r="C2585" t="s">
        <v>47</v>
      </c>
      <c r="D2585" t="s">
        <v>88</v>
      </c>
      <c r="E2585" t="s">
        <v>20</v>
      </c>
      <c r="F2585" t="s">
        <v>84</v>
      </c>
      <c r="G2585" t="s">
        <v>29</v>
      </c>
      <c r="H2585" t="s">
        <v>57</v>
      </c>
      <c r="I2585" t="s">
        <v>92</v>
      </c>
      <c r="J2585">
        <v>3</v>
      </c>
      <c r="K2585">
        <v>10053.56</v>
      </c>
      <c r="L2585">
        <v>30160.68</v>
      </c>
      <c r="M2585">
        <v>3216.9</v>
      </c>
      <c r="N2585">
        <v>0</v>
      </c>
      <c r="O2585">
        <v>26943.78</v>
      </c>
      <c r="P2585" t="s">
        <v>31</v>
      </c>
      <c r="Q2585" t="s">
        <v>32</v>
      </c>
    </row>
    <row r="2586" spans="1:17" x14ac:dyDescent="0.25">
      <c r="A2586" t="s">
        <v>2703</v>
      </c>
      <c r="B2586" s="1">
        <v>45965</v>
      </c>
      <c r="C2586" t="s">
        <v>79</v>
      </c>
      <c r="D2586" t="s">
        <v>80</v>
      </c>
      <c r="E2586" t="s">
        <v>20</v>
      </c>
      <c r="F2586" t="s">
        <v>71</v>
      </c>
      <c r="G2586" t="s">
        <v>51</v>
      </c>
      <c r="H2586" t="s">
        <v>44</v>
      </c>
      <c r="I2586" t="s">
        <v>141</v>
      </c>
      <c r="J2586">
        <v>34</v>
      </c>
      <c r="K2586">
        <v>25349.99</v>
      </c>
      <c r="L2586">
        <v>861899.66</v>
      </c>
      <c r="M2586">
        <v>26914.85</v>
      </c>
      <c r="N2586">
        <v>0</v>
      </c>
      <c r="O2586">
        <v>834984.81</v>
      </c>
      <c r="P2586" t="s">
        <v>25</v>
      </c>
      <c r="Q2586" t="s">
        <v>26</v>
      </c>
    </row>
    <row r="2587" spans="1:17" x14ac:dyDescent="0.25">
      <c r="A2587" t="s">
        <v>2704</v>
      </c>
      <c r="B2587" s="1">
        <v>45999</v>
      </c>
      <c r="C2587" t="s">
        <v>18</v>
      </c>
      <c r="D2587" t="s">
        <v>19</v>
      </c>
      <c r="E2587" t="s">
        <v>41</v>
      </c>
      <c r="F2587" t="s">
        <v>50</v>
      </c>
      <c r="G2587" t="s">
        <v>85</v>
      </c>
      <c r="H2587" t="s">
        <v>44</v>
      </c>
      <c r="I2587" t="s">
        <v>124</v>
      </c>
      <c r="J2587">
        <v>32</v>
      </c>
      <c r="K2587">
        <v>28880.65</v>
      </c>
      <c r="L2587">
        <v>924180.8</v>
      </c>
      <c r="M2587">
        <v>50227.05</v>
      </c>
      <c r="N2587">
        <v>0</v>
      </c>
      <c r="O2587">
        <v>873953.75</v>
      </c>
      <c r="P2587" t="s">
        <v>73</v>
      </c>
      <c r="Q2587" t="s">
        <v>32</v>
      </c>
    </row>
    <row r="2588" spans="1:17" x14ac:dyDescent="0.25">
      <c r="A2588" t="s">
        <v>2705</v>
      </c>
      <c r="B2588" s="1">
        <v>46042</v>
      </c>
      <c r="C2588" t="s">
        <v>18</v>
      </c>
      <c r="D2588" t="s">
        <v>34</v>
      </c>
      <c r="E2588" t="s">
        <v>41</v>
      </c>
      <c r="F2588" t="s">
        <v>42</v>
      </c>
      <c r="G2588" t="s">
        <v>140</v>
      </c>
      <c r="H2588" t="s">
        <v>57</v>
      </c>
      <c r="I2588" t="s">
        <v>118</v>
      </c>
      <c r="J2588">
        <v>31</v>
      </c>
      <c r="K2588">
        <v>1540.65</v>
      </c>
      <c r="L2588">
        <v>47760.15</v>
      </c>
      <c r="M2588">
        <v>0</v>
      </c>
      <c r="N2588">
        <v>0</v>
      </c>
      <c r="O2588">
        <v>47760.15</v>
      </c>
      <c r="P2588" t="s">
        <v>32</v>
      </c>
      <c r="Q2588" t="s">
        <v>26</v>
      </c>
    </row>
    <row r="2589" spans="1:17" x14ac:dyDescent="0.25">
      <c r="A2589" t="s">
        <v>2706</v>
      </c>
      <c r="B2589" s="1">
        <v>46005</v>
      </c>
      <c r="C2589" t="s">
        <v>79</v>
      </c>
      <c r="D2589" t="s">
        <v>80</v>
      </c>
      <c r="E2589" t="s">
        <v>20</v>
      </c>
      <c r="F2589" t="s">
        <v>21</v>
      </c>
      <c r="G2589" t="s">
        <v>98</v>
      </c>
      <c r="H2589" t="s">
        <v>44</v>
      </c>
      <c r="I2589" t="s">
        <v>124</v>
      </c>
      <c r="J2589">
        <v>49</v>
      </c>
      <c r="K2589">
        <v>24048.67</v>
      </c>
      <c r="L2589">
        <v>1178384.83</v>
      </c>
      <c r="M2589">
        <v>109656.23</v>
      </c>
      <c r="N2589">
        <v>0</v>
      </c>
      <c r="O2589">
        <v>1068728.6000000001</v>
      </c>
      <c r="P2589" t="s">
        <v>32</v>
      </c>
      <c r="Q2589" t="s">
        <v>32</v>
      </c>
    </row>
    <row r="2590" spans="1:17" x14ac:dyDescent="0.25">
      <c r="A2590" t="s">
        <v>2707</v>
      </c>
      <c r="B2590" s="1">
        <v>45990</v>
      </c>
      <c r="C2590" t="s">
        <v>18</v>
      </c>
      <c r="D2590" t="s">
        <v>75</v>
      </c>
      <c r="E2590" t="s">
        <v>35</v>
      </c>
      <c r="F2590" t="s">
        <v>137</v>
      </c>
      <c r="G2590" t="s">
        <v>51</v>
      </c>
      <c r="H2590" t="s">
        <v>57</v>
      </c>
      <c r="I2590" t="s">
        <v>148</v>
      </c>
      <c r="J2590">
        <v>19</v>
      </c>
      <c r="K2590">
        <v>4108.12</v>
      </c>
      <c r="L2590">
        <v>78054.28</v>
      </c>
      <c r="M2590">
        <v>8382</v>
      </c>
      <c r="N2590">
        <v>0</v>
      </c>
      <c r="O2590">
        <v>69672.28</v>
      </c>
      <c r="P2590" t="s">
        <v>32</v>
      </c>
      <c r="Q2590" t="s">
        <v>26</v>
      </c>
    </row>
    <row r="2591" spans="1:17" x14ac:dyDescent="0.25">
      <c r="A2591" t="s">
        <v>2708</v>
      </c>
      <c r="B2591" s="1">
        <v>46000</v>
      </c>
      <c r="C2591" t="s">
        <v>54</v>
      </c>
      <c r="D2591" t="s">
        <v>133</v>
      </c>
      <c r="E2591" t="s">
        <v>20</v>
      </c>
      <c r="F2591" t="s">
        <v>50</v>
      </c>
      <c r="G2591" t="s">
        <v>51</v>
      </c>
      <c r="H2591" t="s">
        <v>94</v>
      </c>
      <c r="I2591" t="s">
        <v>163</v>
      </c>
      <c r="J2591">
        <v>42</v>
      </c>
      <c r="K2591">
        <v>11322.22</v>
      </c>
      <c r="L2591">
        <v>475533.24</v>
      </c>
      <c r="M2591">
        <v>74991.45</v>
      </c>
      <c r="N2591">
        <v>0</v>
      </c>
      <c r="O2591">
        <v>400541.79</v>
      </c>
      <c r="P2591" t="s">
        <v>25</v>
      </c>
      <c r="Q2591" t="s">
        <v>26</v>
      </c>
    </row>
    <row r="2592" spans="1:17" x14ac:dyDescent="0.25">
      <c r="A2592" t="s">
        <v>2709</v>
      </c>
      <c r="B2592" s="1">
        <v>46026</v>
      </c>
      <c r="C2592" t="s">
        <v>47</v>
      </c>
      <c r="D2592" t="s">
        <v>48</v>
      </c>
      <c r="E2592" t="s">
        <v>35</v>
      </c>
      <c r="F2592" t="s">
        <v>21</v>
      </c>
      <c r="G2592" t="s">
        <v>22</v>
      </c>
      <c r="H2592" t="s">
        <v>38</v>
      </c>
      <c r="I2592" t="s">
        <v>39</v>
      </c>
      <c r="J2592">
        <v>42</v>
      </c>
      <c r="K2592">
        <v>45897.11</v>
      </c>
      <c r="L2592">
        <v>1927678.62</v>
      </c>
      <c r="M2592">
        <v>380295.59</v>
      </c>
      <c r="N2592">
        <v>0</v>
      </c>
      <c r="O2592">
        <v>1547383.03</v>
      </c>
      <c r="P2592" t="s">
        <v>31</v>
      </c>
      <c r="Q2592" t="s">
        <v>32</v>
      </c>
    </row>
    <row r="2593" spans="1:17" x14ac:dyDescent="0.25">
      <c r="A2593" t="s">
        <v>2710</v>
      </c>
      <c r="B2593" s="1">
        <v>46044</v>
      </c>
      <c r="C2593" t="s">
        <v>60</v>
      </c>
      <c r="D2593" t="s">
        <v>123</v>
      </c>
      <c r="E2593" t="s">
        <v>49</v>
      </c>
      <c r="F2593" t="s">
        <v>50</v>
      </c>
      <c r="G2593" t="s">
        <v>22</v>
      </c>
      <c r="H2593" t="s">
        <v>67</v>
      </c>
      <c r="I2593" t="s">
        <v>201</v>
      </c>
      <c r="J2593">
        <v>5</v>
      </c>
      <c r="K2593">
        <v>25526.25</v>
      </c>
      <c r="L2593">
        <v>127631.25</v>
      </c>
      <c r="M2593">
        <v>0</v>
      </c>
      <c r="N2593">
        <v>0</v>
      </c>
      <c r="O2593">
        <v>127631.25</v>
      </c>
      <c r="P2593" t="s">
        <v>25</v>
      </c>
      <c r="Q2593" t="s">
        <v>26</v>
      </c>
    </row>
    <row r="2594" spans="1:17" x14ac:dyDescent="0.25">
      <c r="A2594" t="s">
        <v>2711</v>
      </c>
      <c r="B2594" s="1">
        <v>45986</v>
      </c>
      <c r="C2594" t="s">
        <v>54</v>
      </c>
      <c r="D2594" t="s">
        <v>133</v>
      </c>
      <c r="E2594" t="s">
        <v>35</v>
      </c>
      <c r="F2594" t="s">
        <v>137</v>
      </c>
      <c r="G2594" t="s">
        <v>138</v>
      </c>
      <c r="H2594" t="s">
        <v>57</v>
      </c>
      <c r="I2594" t="s">
        <v>92</v>
      </c>
      <c r="J2594">
        <v>48</v>
      </c>
      <c r="K2594">
        <v>20433</v>
      </c>
      <c r="L2594">
        <v>980784</v>
      </c>
      <c r="M2594">
        <v>75419.5</v>
      </c>
      <c r="N2594">
        <v>0</v>
      </c>
      <c r="O2594">
        <v>905364.5</v>
      </c>
      <c r="P2594" t="s">
        <v>73</v>
      </c>
      <c r="Q2594" t="s">
        <v>32</v>
      </c>
    </row>
    <row r="2595" spans="1:17" x14ac:dyDescent="0.25">
      <c r="A2595" t="s">
        <v>2712</v>
      </c>
      <c r="B2595" s="1">
        <v>45992</v>
      </c>
      <c r="C2595" t="s">
        <v>79</v>
      </c>
      <c r="D2595" t="s">
        <v>101</v>
      </c>
      <c r="E2595" t="s">
        <v>35</v>
      </c>
      <c r="F2595" t="s">
        <v>71</v>
      </c>
      <c r="G2595" t="s">
        <v>51</v>
      </c>
      <c r="H2595" t="s">
        <v>57</v>
      </c>
      <c r="I2595" t="s">
        <v>160</v>
      </c>
      <c r="J2595">
        <v>35</v>
      </c>
      <c r="K2595">
        <v>32990.39</v>
      </c>
      <c r="L2595">
        <v>1154663.6499999999</v>
      </c>
      <c r="M2595">
        <v>0</v>
      </c>
      <c r="N2595">
        <v>343147.66</v>
      </c>
      <c r="O2595">
        <v>811515.99</v>
      </c>
      <c r="P2595" t="s">
        <v>73</v>
      </c>
      <c r="Q2595" t="s">
        <v>32</v>
      </c>
    </row>
    <row r="2596" spans="1:17" x14ac:dyDescent="0.25">
      <c r="A2596" t="s">
        <v>2713</v>
      </c>
      <c r="B2596" s="1">
        <v>45986</v>
      </c>
      <c r="C2596" t="s">
        <v>18</v>
      </c>
      <c r="D2596" t="s">
        <v>28</v>
      </c>
      <c r="E2596" t="s">
        <v>49</v>
      </c>
      <c r="F2596" t="s">
        <v>137</v>
      </c>
      <c r="G2596" t="s">
        <v>37</v>
      </c>
      <c r="H2596" t="s">
        <v>44</v>
      </c>
      <c r="I2596" t="s">
        <v>124</v>
      </c>
      <c r="J2596">
        <v>4</v>
      </c>
      <c r="K2596">
        <v>14268.59</v>
      </c>
      <c r="L2596">
        <v>57074.36</v>
      </c>
      <c r="M2596">
        <v>0</v>
      </c>
      <c r="N2596">
        <v>0</v>
      </c>
      <c r="O2596">
        <v>57074.36</v>
      </c>
      <c r="P2596" t="s">
        <v>31</v>
      </c>
      <c r="Q2596" t="s">
        <v>32</v>
      </c>
    </row>
    <row r="2597" spans="1:17" x14ac:dyDescent="0.25">
      <c r="A2597" t="s">
        <v>2714</v>
      </c>
      <c r="B2597" s="1">
        <v>45961</v>
      </c>
      <c r="C2597" t="s">
        <v>60</v>
      </c>
      <c r="D2597" t="s">
        <v>65</v>
      </c>
      <c r="E2597" t="s">
        <v>20</v>
      </c>
      <c r="F2597" t="s">
        <v>50</v>
      </c>
      <c r="G2597" t="s">
        <v>81</v>
      </c>
      <c r="H2597" t="s">
        <v>67</v>
      </c>
      <c r="I2597" t="s">
        <v>103</v>
      </c>
      <c r="J2597">
        <v>1</v>
      </c>
      <c r="K2597">
        <v>1998.86</v>
      </c>
      <c r="L2597">
        <v>1998.86</v>
      </c>
      <c r="M2597">
        <v>262.83</v>
      </c>
      <c r="N2597">
        <v>0</v>
      </c>
      <c r="O2597">
        <v>1736.03</v>
      </c>
      <c r="P2597" t="s">
        <v>32</v>
      </c>
      <c r="Q2597" t="s">
        <v>32</v>
      </c>
    </row>
    <row r="2598" spans="1:17" x14ac:dyDescent="0.25">
      <c r="A2598" t="s">
        <v>2715</v>
      </c>
      <c r="B2598" s="1">
        <v>45989</v>
      </c>
      <c r="C2598" t="s">
        <v>18</v>
      </c>
      <c r="D2598" t="s">
        <v>34</v>
      </c>
      <c r="E2598" t="s">
        <v>49</v>
      </c>
      <c r="F2598" t="s">
        <v>71</v>
      </c>
      <c r="G2598" t="s">
        <v>138</v>
      </c>
      <c r="H2598" t="s">
        <v>44</v>
      </c>
      <c r="I2598" t="s">
        <v>141</v>
      </c>
      <c r="J2598">
        <v>34</v>
      </c>
      <c r="K2598">
        <v>37058.93</v>
      </c>
      <c r="L2598">
        <v>1260003.6200000001</v>
      </c>
      <c r="M2598">
        <v>0</v>
      </c>
      <c r="N2598">
        <v>0</v>
      </c>
      <c r="O2598">
        <v>1260003.6200000001</v>
      </c>
      <c r="P2598" t="s">
        <v>32</v>
      </c>
      <c r="Q2598" t="s">
        <v>32</v>
      </c>
    </row>
    <row r="2599" spans="1:17" x14ac:dyDescent="0.25">
      <c r="A2599" t="s">
        <v>2716</v>
      </c>
      <c r="B2599" s="1">
        <v>46043</v>
      </c>
      <c r="C2599" t="s">
        <v>79</v>
      </c>
      <c r="D2599" t="s">
        <v>101</v>
      </c>
      <c r="E2599" t="s">
        <v>49</v>
      </c>
      <c r="F2599" t="s">
        <v>112</v>
      </c>
      <c r="G2599" t="s">
        <v>81</v>
      </c>
      <c r="H2599" t="s">
        <v>23</v>
      </c>
      <c r="I2599" t="s">
        <v>99</v>
      </c>
      <c r="J2599">
        <v>24</v>
      </c>
      <c r="K2599">
        <v>13537.69</v>
      </c>
      <c r="L2599">
        <v>324904.56</v>
      </c>
      <c r="M2599">
        <v>53823.88</v>
      </c>
      <c r="N2599">
        <v>0</v>
      </c>
      <c r="O2599">
        <v>271080.68</v>
      </c>
      <c r="P2599" t="s">
        <v>73</v>
      </c>
      <c r="Q2599" t="s">
        <v>32</v>
      </c>
    </row>
    <row r="2600" spans="1:17" x14ac:dyDescent="0.25">
      <c r="A2600" t="s">
        <v>2717</v>
      </c>
      <c r="B2600" s="1">
        <v>45972</v>
      </c>
      <c r="C2600" t="s">
        <v>54</v>
      </c>
      <c r="D2600" t="s">
        <v>133</v>
      </c>
      <c r="E2600" t="s">
        <v>49</v>
      </c>
      <c r="F2600" t="s">
        <v>36</v>
      </c>
      <c r="G2600" t="s">
        <v>43</v>
      </c>
      <c r="H2600" t="s">
        <v>23</v>
      </c>
      <c r="I2600" t="s">
        <v>110</v>
      </c>
      <c r="J2600">
        <v>41</v>
      </c>
      <c r="K2600">
        <v>40103.949999999997</v>
      </c>
      <c r="L2600">
        <v>1644261.95</v>
      </c>
      <c r="M2600">
        <v>216833.45</v>
      </c>
      <c r="N2600">
        <v>487227.25</v>
      </c>
      <c r="O2600">
        <v>940201.25</v>
      </c>
      <c r="P2600" t="s">
        <v>73</v>
      </c>
      <c r="Q2600" t="s">
        <v>32</v>
      </c>
    </row>
    <row r="2601" spans="1:17" x14ac:dyDescent="0.25">
      <c r="A2601" t="s">
        <v>2718</v>
      </c>
      <c r="B2601" s="1">
        <v>45956</v>
      </c>
      <c r="C2601" t="s">
        <v>79</v>
      </c>
      <c r="D2601" t="s">
        <v>80</v>
      </c>
      <c r="E2601" t="s">
        <v>49</v>
      </c>
      <c r="F2601" t="s">
        <v>112</v>
      </c>
      <c r="G2601" t="s">
        <v>140</v>
      </c>
      <c r="H2601" t="s">
        <v>67</v>
      </c>
      <c r="I2601" t="s">
        <v>154</v>
      </c>
      <c r="J2601">
        <v>11</v>
      </c>
      <c r="K2601">
        <v>46741.88</v>
      </c>
      <c r="L2601">
        <v>514160.68</v>
      </c>
      <c r="M2601">
        <v>0</v>
      </c>
      <c r="N2601">
        <v>0</v>
      </c>
      <c r="O2601">
        <v>514160.68</v>
      </c>
      <c r="P2601" t="s">
        <v>25</v>
      </c>
      <c r="Q2601" t="s">
        <v>26</v>
      </c>
    </row>
    <row r="2602" spans="1:17" x14ac:dyDescent="0.25">
      <c r="A2602" t="s">
        <v>2719</v>
      </c>
      <c r="B2602" s="1">
        <v>45990</v>
      </c>
      <c r="C2602" t="s">
        <v>47</v>
      </c>
      <c r="D2602" t="s">
        <v>114</v>
      </c>
      <c r="E2602" t="s">
        <v>41</v>
      </c>
      <c r="F2602" t="s">
        <v>42</v>
      </c>
      <c r="G2602" t="s">
        <v>56</v>
      </c>
      <c r="H2602" t="s">
        <v>57</v>
      </c>
      <c r="I2602" t="s">
        <v>148</v>
      </c>
      <c r="J2602">
        <v>41</v>
      </c>
      <c r="K2602">
        <v>16832.62</v>
      </c>
      <c r="L2602">
        <v>690137.42</v>
      </c>
      <c r="M2602">
        <v>58758.07</v>
      </c>
      <c r="N2602">
        <v>0</v>
      </c>
      <c r="O2602">
        <v>631379.35</v>
      </c>
      <c r="P2602" t="s">
        <v>31</v>
      </c>
      <c r="Q2602" t="s">
        <v>32</v>
      </c>
    </row>
    <row r="2603" spans="1:17" x14ac:dyDescent="0.25">
      <c r="A2603" t="s">
        <v>2720</v>
      </c>
      <c r="B2603" s="1">
        <v>46006</v>
      </c>
      <c r="C2603" t="s">
        <v>60</v>
      </c>
      <c r="D2603" t="s">
        <v>65</v>
      </c>
      <c r="E2603" t="s">
        <v>35</v>
      </c>
      <c r="F2603" t="s">
        <v>50</v>
      </c>
      <c r="G2603" t="s">
        <v>22</v>
      </c>
      <c r="H2603" t="s">
        <v>38</v>
      </c>
      <c r="I2603" t="s">
        <v>175</v>
      </c>
      <c r="J2603">
        <v>47</v>
      </c>
      <c r="K2603">
        <v>11142.2</v>
      </c>
      <c r="L2603">
        <v>523683.4</v>
      </c>
      <c r="M2603">
        <v>62990.26</v>
      </c>
      <c r="N2603">
        <v>0</v>
      </c>
      <c r="O2603">
        <v>460693.14</v>
      </c>
      <c r="P2603" t="s">
        <v>32</v>
      </c>
      <c r="Q2603" t="s">
        <v>32</v>
      </c>
    </row>
    <row r="2604" spans="1:17" x14ac:dyDescent="0.25">
      <c r="A2604" t="s">
        <v>2721</v>
      </c>
      <c r="B2604" s="1">
        <v>45985</v>
      </c>
      <c r="C2604" t="s">
        <v>60</v>
      </c>
      <c r="D2604" t="s">
        <v>123</v>
      </c>
      <c r="E2604" t="s">
        <v>49</v>
      </c>
      <c r="F2604" t="s">
        <v>42</v>
      </c>
      <c r="G2604" t="s">
        <v>102</v>
      </c>
      <c r="H2604" t="s">
        <v>94</v>
      </c>
      <c r="I2604" t="s">
        <v>144</v>
      </c>
      <c r="J2604">
        <v>29</v>
      </c>
      <c r="K2604">
        <v>28413.99</v>
      </c>
      <c r="L2604">
        <v>824005.71</v>
      </c>
      <c r="M2604">
        <v>45703.26</v>
      </c>
      <c r="N2604">
        <v>5509.76</v>
      </c>
      <c r="O2604">
        <v>772792.69</v>
      </c>
      <c r="P2604" t="s">
        <v>25</v>
      </c>
      <c r="Q2604" t="s">
        <v>26</v>
      </c>
    </row>
    <row r="2605" spans="1:17" x14ac:dyDescent="0.25">
      <c r="A2605" t="s">
        <v>2722</v>
      </c>
      <c r="B2605" s="1">
        <v>46044</v>
      </c>
      <c r="C2605" t="s">
        <v>79</v>
      </c>
      <c r="D2605" t="s">
        <v>107</v>
      </c>
      <c r="E2605" t="s">
        <v>41</v>
      </c>
      <c r="F2605" t="s">
        <v>112</v>
      </c>
      <c r="G2605" t="s">
        <v>37</v>
      </c>
      <c r="H2605" t="s">
        <v>44</v>
      </c>
      <c r="I2605" t="s">
        <v>124</v>
      </c>
      <c r="J2605">
        <v>39</v>
      </c>
      <c r="K2605">
        <v>14683.92</v>
      </c>
      <c r="L2605">
        <v>572672.88</v>
      </c>
      <c r="M2605">
        <v>110344.57</v>
      </c>
      <c r="N2605">
        <v>0</v>
      </c>
      <c r="O2605">
        <v>462328.31</v>
      </c>
      <c r="P2605" t="s">
        <v>32</v>
      </c>
      <c r="Q2605" t="s">
        <v>32</v>
      </c>
    </row>
    <row r="2606" spans="1:17" x14ac:dyDescent="0.25">
      <c r="A2606" t="s">
        <v>2723</v>
      </c>
      <c r="B2606" s="1">
        <v>45977</v>
      </c>
      <c r="C2606" t="s">
        <v>60</v>
      </c>
      <c r="D2606" t="s">
        <v>123</v>
      </c>
      <c r="E2606" t="s">
        <v>41</v>
      </c>
      <c r="F2606" t="s">
        <v>137</v>
      </c>
      <c r="G2606" t="s">
        <v>85</v>
      </c>
      <c r="H2606" t="s">
        <v>38</v>
      </c>
      <c r="I2606" t="s">
        <v>108</v>
      </c>
      <c r="J2606">
        <v>25</v>
      </c>
      <c r="K2606">
        <v>8282.14</v>
      </c>
      <c r="L2606">
        <v>207053.5</v>
      </c>
      <c r="M2606">
        <v>29320</v>
      </c>
      <c r="N2606">
        <v>0</v>
      </c>
      <c r="O2606">
        <v>177733.5</v>
      </c>
      <c r="P2606" t="s">
        <v>32</v>
      </c>
      <c r="Q2606" t="s">
        <v>26</v>
      </c>
    </row>
    <row r="2607" spans="1:17" x14ac:dyDescent="0.25">
      <c r="A2607" t="s">
        <v>2724</v>
      </c>
      <c r="B2607" s="1">
        <v>46004</v>
      </c>
      <c r="C2607" t="s">
        <v>18</v>
      </c>
      <c r="D2607" t="s">
        <v>75</v>
      </c>
      <c r="E2607" t="s">
        <v>20</v>
      </c>
      <c r="F2607" t="s">
        <v>71</v>
      </c>
      <c r="G2607" t="s">
        <v>43</v>
      </c>
      <c r="H2607" t="s">
        <v>94</v>
      </c>
      <c r="I2607" t="s">
        <v>115</v>
      </c>
      <c r="J2607">
        <v>45</v>
      </c>
      <c r="K2607">
        <v>26599.9</v>
      </c>
      <c r="L2607">
        <v>1196995.5</v>
      </c>
      <c r="M2607">
        <v>0</v>
      </c>
      <c r="N2607">
        <v>0</v>
      </c>
      <c r="O2607">
        <v>1196995.5</v>
      </c>
      <c r="P2607" t="s">
        <v>32</v>
      </c>
      <c r="Q2607" t="s">
        <v>26</v>
      </c>
    </row>
    <row r="2608" spans="1:17" x14ac:dyDescent="0.25">
      <c r="A2608" t="s">
        <v>2725</v>
      </c>
      <c r="B2608" s="1">
        <v>46025</v>
      </c>
      <c r="C2608" t="s">
        <v>47</v>
      </c>
      <c r="D2608" t="s">
        <v>88</v>
      </c>
      <c r="E2608" t="s">
        <v>35</v>
      </c>
      <c r="F2608" t="s">
        <v>62</v>
      </c>
      <c r="G2608" t="s">
        <v>89</v>
      </c>
      <c r="H2608" t="s">
        <v>44</v>
      </c>
      <c r="I2608" t="s">
        <v>135</v>
      </c>
      <c r="J2608">
        <v>23</v>
      </c>
      <c r="K2608">
        <v>32459.64</v>
      </c>
      <c r="L2608">
        <v>746571.72</v>
      </c>
      <c r="M2608">
        <v>127853.62</v>
      </c>
      <c r="N2608">
        <v>169611.11</v>
      </c>
      <c r="O2608">
        <v>449106.99</v>
      </c>
      <c r="P2608" t="s">
        <v>25</v>
      </c>
      <c r="Q2608" t="s">
        <v>26</v>
      </c>
    </row>
    <row r="2609" spans="1:17" x14ac:dyDescent="0.25">
      <c r="A2609" t="s">
        <v>2726</v>
      </c>
      <c r="B2609" s="1">
        <v>46017</v>
      </c>
      <c r="C2609" t="s">
        <v>79</v>
      </c>
      <c r="D2609" t="s">
        <v>91</v>
      </c>
      <c r="E2609" t="s">
        <v>35</v>
      </c>
      <c r="F2609" t="s">
        <v>84</v>
      </c>
      <c r="G2609" t="s">
        <v>63</v>
      </c>
      <c r="H2609" t="s">
        <v>67</v>
      </c>
      <c r="I2609" t="s">
        <v>68</v>
      </c>
      <c r="J2609">
        <v>24</v>
      </c>
      <c r="K2609">
        <v>18410.39</v>
      </c>
      <c r="L2609">
        <v>441849.36</v>
      </c>
      <c r="M2609">
        <v>87008.33</v>
      </c>
      <c r="N2609">
        <v>0</v>
      </c>
      <c r="O2609">
        <v>354841.03</v>
      </c>
      <c r="P2609" t="s">
        <v>32</v>
      </c>
      <c r="Q2609" t="s">
        <v>32</v>
      </c>
    </row>
    <row r="2610" spans="1:17" x14ac:dyDescent="0.25">
      <c r="A2610" t="s">
        <v>2727</v>
      </c>
      <c r="B2610" s="1">
        <v>46029</v>
      </c>
      <c r="C2610" t="s">
        <v>54</v>
      </c>
      <c r="D2610" t="s">
        <v>133</v>
      </c>
      <c r="E2610" t="s">
        <v>41</v>
      </c>
      <c r="F2610" t="s">
        <v>50</v>
      </c>
      <c r="G2610" t="s">
        <v>98</v>
      </c>
      <c r="H2610" t="s">
        <v>38</v>
      </c>
      <c r="I2610" t="s">
        <v>86</v>
      </c>
      <c r="J2610">
        <v>49</v>
      </c>
      <c r="K2610">
        <v>23760.51</v>
      </c>
      <c r="L2610">
        <v>1164264.99</v>
      </c>
      <c r="M2610">
        <v>114444.01</v>
      </c>
      <c r="N2610">
        <v>0</v>
      </c>
      <c r="O2610">
        <v>1049820.98</v>
      </c>
      <c r="P2610" t="s">
        <v>25</v>
      </c>
      <c r="Q2610" t="s">
        <v>26</v>
      </c>
    </row>
    <row r="2611" spans="1:17" x14ac:dyDescent="0.25">
      <c r="A2611" t="s">
        <v>2728</v>
      </c>
      <c r="B2611" s="1">
        <v>46031</v>
      </c>
      <c r="C2611" t="s">
        <v>47</v>
      </c>
      <c r="D2611" t="s">
        <v>114</v>
      </c>
      <c r="E2611" t="s">
        <v>20</v>
      </c>
      <c r="F2611" t="s">
        <v>36</v>
      </c>
      <c r="G2611" t="s">
        <v>22</v>
      </c>
      <c r="H2611" t="s">
        <v>94</v>
      </c>
      <c r="I2611" t="s">
        <v>95</v>
      </c>
      <c r="J2611">
        <v>35</v>
      </c>
      <c r="K2611">
        <v>46785.98</v>
      </c>
      <c r="L2611">
        <v>1637509.3</v>
      </c>
      <c r="M2611">
        <v>211463.4</v>
      </c>
      <c r="N2611">
        <v>0</v>
      </c>
      <c r="O2611">
        <v>1426045.9</v>
      </c>
      <c r="P2611" t="s">
        <v>31</v>
      </c>
      <c r="Q2611" t="s">
        <v>32</v>
      </c>
    </row>
    <row r="2612" spans="1:17" x14ac:dyDescent="0.25">
      <c r="A2612" t="s">
        <v>2729</v>
      </c>
      <c r="B2612" s="1">
        <v>46040</v>
      </c>
      <c r="C2612" t="s">
        <v>54</v>
      </c>
      <c r="D2612" t="s">
        <v>70</v>
      </c>
      <c r="E2612" t="s">
        <v>49</v>
      </c>
      <c r="F2612" t="s">
        <v>42</v>
      </c>
      <c r="G2612" t="s">
        <v>51</v>
      </c>
      <c r="H2612" t="s">
        <v>94</v>
      </c>
      <c r="I2612" t="s">
        <v>115</v>
      </c>
      <c r="J2612">
        <v>47</v>
      </c>
      <c r="K2612">
        <v>11480.86</v>
      </c>
      <c r="L2612">
        <v>539600.42000000004</v>
      </c>
      <c r="M2612">
        <v>94146.82</v>
      </c>
      <c r="N2612">
        <v>0</v>
      </c>
      <c r="O2612">
        <v>445453.6</v>
      </c>
      <c r="P2612" t="s">
        <v>32</v>
      </c>
      <c r="Q2612" t="s">
        <v>26</v>
      </c>
    </row>
    <row r="2613" spans="1:17" x14ac:dyDescent="0.25">
      <c r="A2613" t="s">
        <v>2730</v>
      </c>
      <c r="B2613" s="1">
        <v>45956</v>
      </c>
      <c r="C2613" t="s">
        <v>54</v>
      </c>
      <c r="D2613" t="s">
        <v>133</v>
      </c>
      <c r="E2613" t="s">
        <v>49</v>
      </c>
      <c r="F2613" t="s">
        <v>50</v>
      </c>
      <c r="G2613" t="s">
        <v>43</v>
      </c>
      <c r="H2613" t="s">
        <v>57</v>
      </c>
      <c r="I2613" t="s">
        <v>92</v>
      </c>
      <c r="J2613">
        <v>36</v>
      </c>
      <c r="K2613">
        <v>19813.939999999999</v>
      </c>
      <c r="L2613">
        <v>713301.84</v>
      </c>
      <c r="M2613">
        <v>0</v>
      </c>
      <c r="N2613">
        <v>0</v>
      </c>
      <c r="O2613">
        <v>713301.84</v>
      </c>
      <c r="P2613" t="s">
        <v>31</v>
      </c>
      <c r="Q2613" t="s">
        <v>32</v>
      </c>
    </row>
    <row r="2614" spans="1:17" x14ac:dyDescent="0.25">
      <c r="A2614" t="s">
        <v>2731</v>
      </c>
      <c r="B2614" s="1">
        <v>45956</v>
      </c>
      <c r="C2614" t="s">
        <v>18</v>
      </c>
      <c r="D2614" t="s">
        <v>28</v>
      </c>
      <c r="E2614" t="s">
        <v>49</v>
      </c>
      <c r="F2614" t="s">
        <v>105</v>
      </c>
      <c r="G2614" t="s">
        <v>51</v>
      </c>
      <c r="H2614" t="s">
        <v>94</v>
      </c>
      <c r="I2614" t="s">
        <v>115</v>
      </c>
      <c r="J2614">
        <v>24</v>
      </c>
      <c r="K2614">
        <v>34580.720000000001</v>
      </c>
      <c r="L2614">
        <v>829937.28</v>
      </c>
      <c r="M2614">
        <v>0</v>
      </c>
      <c r="N2614">
        <v>0</v>
      </c>
      <c r="O2614">
        <v>829937.28</v>
      </c>
      <c r="P2614" t="s">
        <v>25</v>
      </c>
      <c r="Q2614" t="s">
        <v>26</v>
      </c>
    </row>
    <row r="2615" spans="1:17" x14ac:dyDescent="0.25">
      <c r="A2615" t="s">
        <v>2732</v>
      </c>
      <c r="B2615" s="1">
        <v>46037</v>
      </c>
      <c r="C2615" t="s">
        <v>47</v>
      </c>
      <c r="D2615" t="s">
        <v>114</v>
      </c>
      <c r="E2615" t="s">
        <v>20</v>
      </c>
      <c r="F2615" t="s">
        <v>36</v>
      </c>
      <c r="G2615" t="s">
        <v>51</v>
      </c>
      <c r="H2615" t="s">
        <v>94</v>
      </c>
      <c r="I2615" t="s">
        <v>144</v>
      </c>
      <c r="J2615">
        <v>11</v>
      </c>
      <c r="K2615">
        <v>45958.12</v>
      </c>
      <c r="L2615">
        <v>505539.32</v>
      </c>
      <c r="M2615">
        <v>45500.49</v>
      </c>
      <c r="N2615">
        <v>0</v>
      </c>
      <c r="O2615">
        <v>460038.83</v>
      </c>
      <c r="P2615" t="s">
        <v>73</v>
      </c>
      <c r="Q2615" t="s">
        <v>26</v>
      </c>
    </row>
    <row r="2616" spans="1:17" x14ac:dyDescent="0.25">
      <c r="A2616" t="s">
        <v>2733</v>
      </c>
      <c r="B2616" s="1">
        <v>46027</v>
      </c>
      <c r="C2616" t="s">
        <v>54</v>
      </c>
      <c r="D2616" t="s">
        <v>133</v>
      </c>
      <c r="E2616" t="s">
        <v>41</v>
      </c>
      <c r="F2616" t="s">
        <v>112</v>
      </c>
      <c r="G2616" t="s">
        <v>85</v>
      </c>
      <c r="H2616" t="s">
        <v>67</v>
      </c>
      <c r="I2616" t="s">
        <v>68</v>
      </c>
      <c r="J2616">
        <v>30</v>
      </c>
      <c r="K2616">
        <v>12777.56</v>
      </c>
      <c r="L2616">
        <v>383326.8</v>
      </c>
      <c r="M2616">
        <v>0</v>
      </c>
      <c r="N2616">
        <v>0</v>
      </c>
      <c r="O2616">
        <v>383326.8</v>
      </c>
      <c r="P2616" t="s">
        <v>25</v>
      </c>
      <c r="Q2616" t="s">
        <v>26</v>
      </c>
    </row>
    <row r="2617" spans="1:17" x14ac:dyDescent="0.25">
      <c r="A2617" t="s">
        <v>2734</v>
      </c>
      <c r="B2617" s="1">
        <v>45967</v>
      </c>
      <c r="C2617" t="s">
        <v>79</v>
      </c>
      <c r="D2617" t="s">
        <v>107</v>
      </c>
      <c r="E2617" t="s">
        <v>49</v>
      </c>
      <c r="F2617" t="s">
        <v>84</v>
      </c>
      <c r="G2617" t="s">
        <v>66</v>
      </c>
      <c r="H2617" t="s">
        <v>38</v>
      </c>
      <c r="I2617" t="s">
        <v>82</v>
      </c>
      <c r="J2617">
        <v>35</v>
      </c>
      <c r="K2617">
        <v>13238.3</v>
      </c>
      <c r="L2617">
        <v>463340.5</v>
      </c>
      <c r="M2617">
        <v>0</v>
      </c>
      <c r="N2617">
        <v>0</v>
      </c>
      <c r="O2617">
        <v>463340.5</v>
      </c>
      <c r="P2617" t="s">
        <v>32</v>
      </c>
      <c r="Q2617" t="s">
        <v>26</v>
      </c>
    </row>
    <row r="2618" spans="1:17" x14ac:dyDescent="0.25">
      <c r="A2618" t="s">
        <v>2735</v>
      </c>
      <c r="B2618" s="1">
        <v>45995</v>
      </c>
      <c r="C2618" t="s">
        <v>47</v>
      </c>
      <c r="D2618" t="s">
        <v>48</v>
      </c>
      <c r="E2618" t="s">
        <v>41</v>
      </c>
      <c r="F2618" t="s">
        <v>62</v>
      </c>
      <c r="G2618" t="s">
        <v>63</v>
      </c>
      <c r="H2618" t="s">
        <v>23</v>
      </c>
      <c r="I2618" t="s">
        <v>131</v>
      </c>
      <c r="J2618">
        <v>37</v>
      </c>
      <c r="K2618">
        <v>34158.57</v>
      </c>
      <c r="L2618">
        <v>1263867.0900000001</v>
      </c>
      <c r="M2618">
        <v>207839.43</v>
      </c>
      <c r="N2618">
        <v>283650.34000000003</v>
      </c>
      <c r="O2618">
        <v>772377.32</v>
      </c>
      <c r="P2618" t="s">
        <v>25</v>
      </c>
      <c r="Q2618" t="s">
        <v>26</v>
      </c>
    </row>
    <row r="2619" spans="1:17" x14ac:dyDescent="0.25">
      <c r="A2619" t="s">
        <v>2736</v>
      </c>
      <c r="B2619" s="1">
        <v>46000</v>
      </c>
      <c r="C2619" t="s">
        <v>47</v>
      </c>
      <c r="D2619" t="s">
        <v>48</v>
      </c>
      <c r="E2619" t="s">
        <v>41</v>
      </c>
      <c r="F2619" t="s">
        <v>36</v>
      </c>
      <c r="G2619" t="s">
        <v>29</v>
      </c>
      <c r="H2619" t="s">
        <v>23</v>
      </c>
      <c r="I2619" t="s">
        <v>30</v>
      </c>
      <c r="J2619">
        <v>24</v>
      </c>
      <c r="K2619">
        <v>34692.629999999997</v>
      </c>
      <c r="L2619">
        <v>832623.12</v>
      </c>
      <c r="M2619">
        <v>85537.64</v>
      </c>
      <c r="N2619">
        <v>174821.23</v>
      </c>
      <c r="O2619">
        <v>572264.25</v>
      </c>
      <c r="P2619" t="s">
        <v>25</v>
      </c>
      <c r="Q2619" t="s">
        <v>26</v>
      </c>
    </row>
    <row r="2620" spans="1:17" x14ac:dyDescent="0.25">
      <c r="A2620" t="s">
        <v>2737</v>
      </c>
      <c r="B2620" s="1">
        <v>45982</v>
      </c>
      <c r="C2620" t="s">
        <v>54</v>
      </c>
      <c r="D2620" t="s">
        <v>133</v>
      </c>
      <c r="E2620" t="s">
        <v>35</v>
      </c>
      <c r="F2620" t="s">
        <v>105</v>
      </c>
      <c r="G2620" t="s">
        <v>85</v>
      </c>
      <c r="H2620" t="s">
        <v>57</v>
      </c>
      <c r="I2620" t="s">
        <v>118</v>
      </c>
      <c r="J2620">
        <v>37</v>
      </c>
      <c r="K2620">
        <v>29752.84</v>
      </c>
      <c r="L2620">
        <v>1100855.08</v>
      </c>
      <c r="M2620">
        <v>0</v>
      </c>
      <c r="N2620">
        <v>0</v>
      </c>
      <c r="O2620">
        <v>1100855.08</v>
      </c>
      <c r="P2620" t="s">
        <v>31</v>
      </c>
      <c r="Q2620" t="s">
        <v>32</v>
      </c>
    </row>
    <row r="2621" spans="1:17" x14ac:dyDescent="0.25">
      <c r="A2621" t="s">
        <v>2738</v>
      </c>
      <c r="B2621" s="1">
        <v>46014</v>
      </c>
      <c r="C2621" t="s">
        <v>18</v>
      </c>
      <c r="D2621" t="s">
        <v>19</v>
      </c>
      <c r="E2621" t="s">
        <v>20</v>
      </c>
      <c r="F2621" t="s">
        <v>137</v>
      </c>
      <c r="G2621" t="s">
        <v>29</v>
      </c>
      <c r="H2621" t="s">
        <v>94</v>
      </c>
      <c r="I2621" t="s">
        <v>177</v>
      </c>
      <c r="J2621">
        <v>36</v>
      </c>
      <c r="K2621">
        <v>11457.63</v>
      </c>
      <c r="L2621">
        <v>412474.68</v>
      </c>
      <c r="M2621">
        <v>6587.01</v>
      </c>
      <c r="N2621">
        <v>0</v>
      </c>
      <c r="O2621">
        <v>405887.67</v>
      </c>
      <c r="P2621" t="s">
        <v>73</v>
      </c>
      <c r="Q2621" t="s">
        <v>32</v>
      </c>
    </row>
    <row r="2622" spans="1:17" x14ac:dyDescent="0.25">
      <c r="A2622" t="s">
        <v>2739</v>
      </c>
      <c r="B2622" s="1">
        <v>46045</v>
      </c>
      <c r="C2622" t="s">
        <v>79</v>
      </c>
      <c r="D2622" t="s">
        <v>101</v>
      </c>
      <c r="E2622" t="s">
        <v>41</v>
      </c>
      <c r="F2622" t="s">
        <v>50</v>
      </c>
      <c r="G2622" t="s">
        <v>29</v>
      </c>
      <c r="H2622" t="s">
        <v>94</v>
      </c>
      <c r="I2622" t="s">
        <v>193</v>
      </c>
      <c r="J2622">
        <v>13</v>
      </c>
      <c r="K2622">
        <v>28690.67</v>
      </c>
      <c r="L2622">
        <v>372978.71</v>
      </c>
      <c r="M2622">
        <v>19541.57</v>
      </c>
      <c r="N2622">
        <v>0</v>
      </c>
      <c r="O2622">
        <v>353437.14</v>
      </c>
      <c r="P2622" t="s">
        <v>73</v>
      </c>
      <c r="Q2622" t="s">
        <v>26</v>
      </c>
    </row>
    <row r="2623" spans="1:17" x14ac:dyDescent="0.25">
      <c r="A2623" t="s">
        <v>2740</v>
      </c>
      <c r="B2623" s="1">
        <v>46030</v>
      </c>
      <c r="C2623" t="s">
        <v>47</v>
      </c>
      <c r="D2623" t="s">
        <v>114</v>
      </c>
      <c r="E2623" t="s">
        <v>41</v>
      </c>
      <c r="F2623" t="s">
        <v>21</v>
      </c>
      <c r="G2623" t="s">
        <v>89</v>
      </c>
      <c r="H2623" t="s">
        <v>67</v>
      </c>
      <c r="I2623" t="s">
        <v>68</v>
      </c>
      <c r="J2623">
        <v>2</v>
      </c>
      <c r="K2623">
        <v>12263.03</v>
      </c>
      <c r="L2623">
        <v>24526.06</v>
      </c>
      <c r="M2623">
        <v>0</v>
      </c>
      <c r="N2623">
        <v>0</v>
      </c>
      <c r="O2623">
        <v>24526.06</v>
      </c>
      <c r="P2623" t="s">
        <v>32</v>
      </c>
      <c r="Q2623" t="s">
        <v>32</v>
      </c>
    </row>
    <row r="2624" spans="1:17" x14ac:dyDescent="0.25">
      <c r="A2624" t="s">
        <v>2741</v>
      </c>
      <c r="B2624" s="1">
        <v>45997</v>
      </c>
      <c r="C2624" t="s">
        <v>60</v>
      </c>
      <c r="D2624" t="s">
        <v>123</v>
      </c>
      <c r="E2624" t="s">
        <v>41</v>
      </c>
      <c r="F2624" t="s">
        <v>84</v>
      </c>
      <c r="G2624" t="s">
        <v>138</v>
      </c>
      <c r="H2624" t="s">
        <v>57</v>
      </c>
      <c r="I2624" t="s">
        <v>148</v>
      </c>
      <c r="J2624">
        <v>48</v>
      </c>
      <c r="K2624">
        <v>15781.11</v>
      </c>
      <c r="L2624">
        <v>757493.28</v>
      </c>
      <c r="M2624">
        <v>0</v>
      </c>
      <c r="N2624">
        <v>0</v>
      </c>
      <c r="O2624">
        <v>757493.28</v>
      </c>
      <c r="P2624" t="s">
        <v>25</v>
      </c>
      <c r="Q2624" t="s">
        <v>26</v>
      </c>
    </row>
    <row r="2625" spans="1:17" x14ac:dyDescent="0.25">
      <c r="A2625" t="s">
        <v>2742</v>
      </c>
      <c r="B2625" s="1">
        <v>45972</v>
      </c>
      <c r="C2625" t="s">
        <v>60</v>
      </c>
      <c r="D2625" t="s">
        <v>61</v>
      </c>
      <c r="E2625" t="s">
        <v>49</v>
      </c>
      <c r="F2625" t="s">
        <v>50</v>
      </c>
      <c r="G2625" t="s">
        <v>66</v>
      </c>
      <c r="H2625" t="s">
        <v>23</v>
      </c>
      <c r="I2625" t="s">
        <v>99</v>
      </c>
      <c r="J2625">
        <v>39</v>
      </c>
      <c r="K2625">
        <v>735.53</v>
      </c>
      <c r="L2625">
        <v>28685.67</v>
      </c>
      <c r="M2625">
        <v>1776.66</v>
      </c>
      <c r="N2625">
        <v>0</v>
      </c>
      <c r="O2625">
        <v>26909.01</v>
      </c>
      <c r="P2625" t="s">
        <v>25</v>
      </c>
      <c r="Q2625" t="s">
        <v>26</v>
      </c>
    </row>
    <row r="2626" spans="1:17" x14ac:dyDescent="0.25">
      <c r="A2626" t="s">
        <v>2743</v>
      </c>
      <c r="B2626" s="1">
        <v>46032</v>
      </c>
      <c r="C2626" t="s">
        <v>47</v>
      </c>
      <c r="D2626" t="s">
        <v>127</v>
      </c>
      <c r="E2626" t="s">
        <v>41</v>
      </c>
      <c r="F2626" t="s">
        <v>42</v>
      </c>
      <c r="G2626" t="s">
        <v>43</v>
      </c>
      <c r="H2626" t="s">
        <v>57</v>
      </c>
      <c r="I2626" t="s">
        <v>118</v>
      </c>
      <c r="J2626">
        <v>23</v>
      </c>
      <c r="K2626">
        <v>49793.15</v>
      </c>
      <c r="L2626">
        <v>1145242.45</v>
      </c>
      <c r="M2626">
        <v>93767.06</v>
      </c>
      <c r="N2626">
        <v>0</v>
      </c>
      <c r="O2626">
        <v>1051475.3899999999</v>
      </c>
      <c r="P2626" t="s">
        <v>25</v>
      </c>
      <c r="Q2626" t="s">
        <v>26</v>
      </c>
    </row>
    <row r="2627" spans="1:17" x14ac:dyDescent="0.25">
      <c r="A2627" t="s">
        <v>2744</v>
      </c>
      <c r="B2627" s="1">
        <v>46009</v>
      </c>
      <c r="C2627" t="s">
        <v>79</v>
      </c>
      <c r="D2627" t="s">
        <v>101</v>
      </c>
      <c r="E2627" t="s">
        <v>41</v>
      </c>
      <c r="F2627" t="s">
        <v>42</v>
      </c>
      <c r="G2627" t="s">
        <v>102</v>
      </c>
      <c r="H2627" t="s">
        <v>44</v>
      </c>
      <c r="I2627" t="s">
        <v>141</v>
      </c>
      <c r="J2627">
        <v>49</v>
      </c>
      <c r="K2627">
        <v>19867.3</v>
      </c>
      <c r="L2627">
        <v>973497.7</v>
      </c>
      <c r="M2627">
        <v>0</v>
      </c>
      <c r="N2627">
        <v>0</v>
      </c>
      <c r="O2627">
        <v>973497.7</v>
      </c>
      <c r="P2627" t="s">
        <v>73</v>
      </c>
      <c r="Q2627" t="s">
        <v>32</v>
      </c>
    </row>
    <row r="2628" spans="1:17" x14ac:dyDescent="0.25">
      <c r="A2628" t="s">
        <v>2745</v>
      </c>
      <c r="B2628" s="1">
        <v>46042</v>
      </c>
      <c r="C2628" t="s">
        <v>79</v>
      </c>
      <c r="D2628" t="s">
        <v>80</v>
      </c>
      <c r="E2628" t="s">
        <v>20</v>
      </c>
      <c r="F2628" t="s">
        <v>42</v>
      </c>
      <c r="G2628" t="s">
        <v>37</v>
      </c>
      <c r="H2628" t="s">
        <v>67</v>
      </c>
      <c r="I2628" t="s">
        <v>201</v>
      </c>
      <c r="J2628">
        <v>4</v>
      </c>
      <c r="K2628">
        <v>47731.3</v>
      </c>
      <c r="L2628">
        <v>190925.2</v>
      </c>
      <c r="M2628">
        <v>31670.45</v>
      </c>
      <c r="N2628">
        <v>25537.17</v>
      </c>
      <c r="O2628">
        <v>133717.57999999999</v>
      </c>
      <c r="P2628" t="s">
        <v>32</v>
      </c>
      <c r="Q2628" t="s">
        <v>32</v>
      </c>
    </row>
    <row r="2629" spans="1:17" x14ac:dyDescent="0.25">
      <c r="A2629" t="s">
        <v>2746</v>
      </c>
      <c r="B2629" s="1">
        <v>45956</v>
      </c>
      <c r="C2629" t="s">
        <v>60</v>
      </c>
      <c r="D2629" t="s">
        <v>123</v>
      </c>
      <c r="E2629" t="s">
        <v>49</v>
      </c>
      <c r="F2629" t="s">
        <v>50</v>
      </c>
      <c r="G2629" t="s">
        <v>22</v>
      </c>
      <c r="H2629" t="s">
        <v>67</v>
      </c>
      <c r="I2629" t="s">
        <v>77</v>
      </c>
      <c r="J2629">
        <v>31</v>
      </c>
      <c r="K2629">
        <v>36128.83</v>
      </c>
      <c r="L2629">
        <v>1119993.73</v>
      </c>
      <c r="M2629">
        <v>123059.4</v>
      </c>
      <c r="N2629">
        <v>0</v>
      </c>
      <c r="O2629">
        <v>996934.33</v>
      </c>
      <c r="P2629" t="s">
        <v>73</v>
      </c>
      <c r="Q2629" t="s">
        <v>32</v>
      </c>
    </row>
    <row r="2630" spans="1:17" x14ac:dyDescent="0.25">
      <c r="A2630" t="s">
        <v>2747</v>
      </c>
      <c r="B2630" s="1">
        <v>45955</v>
      </c>
      <c r="C2630" t="s">
        <v>54</v>
      </c>
      <c r="D2630" t="s">
        <v>133</v>
      </c>
      <c r="E2630" t="s">
        <v>35</v>
      </c>
      <c r="F2630" t="s">
        <v>36</v>
      </c>
      <c r="G2630" t="s">
        <v>66</v>
      </c>
      <c r="H2630" t="s">
        <v>38</v>
      </c>
      <c r="I2630" t="s">
        <v>39</v>
      </c>
      <c r="J2630">
        <v>19</v>
      </c>
      <c r="K2630">
        <v>10482.129999999999</v>
      </c>
      <c r="L2630">
        <v>199160.47</v>
      </c>
      <c r="M2630">
        <v>0</v>
      </c>
      <c r="N2630">
        <v>0</v>
      </c>
      <c r="O2630">
        <v>199160.47</v>
      </c>
      <c r="P2630" t="s">
        <v>73</v>
      </c>
      <c r="Q2630" t="s">
        <v>32</v>
      </c>
    </row>
    <row r="2631" spans="1:17" x14ac:dyDescent="0.25">
      <c r="A2631" t="s">
        <v>2748</v>
      </c>
      <c r="B2631" s="1">
        <v>46002</v>
      </c>
      <c r="C2631" t="s">
        <v>60</v>
      </c>
      <c r="D2631" t="s">
        <v>151</v>
      </c>
      <c r="E2631" t="s">
        <v>20</v>
      </c>
      <c r="F2631" t="s">
        <v>62</v>
      </c>
      <c r="G2631" t="s">
        <v>51</v>
      </c>
      <c r="H2631" t="s">
        <v>38</v>
      </c>
      <c r="I2631" t="s">
        <v>120</v>
      </c>
      <c r="J2631">
        <v>11</v>
      </c>
      <c r="K2631">
        <v>12833.26</v>
      </c>
      <c r="L2631">
        <v>141165.85999999999</v>
      </c>
      <c r="M2631">
        <v>26105.58</v>
      </c>
      <c r="N2631">
        <v>0</v>
      </c>
      <c r="O2631">
        <v>115060.28</v>
      </c>
      <c r="P2631" t="s">
        <v>25</v>
      </c>
      <c r="Q2631" t="s">
        <v>32</v>
      </c>
    </row>
    <row r="2632" spans="1:17" x14ac:dyDescent="0.25">
      <c r="A2632" t="s">
        <v>2749</v>
      </c>
      <c r="B2632" s="1">
        <v>45981</v>
      </c>
      <c r="C2632" t="s">
        <v>54</v>
      </c>
      <c r="D2632" t="s">
        <v>97</v>
      </c>
      <c r="E2632" t="s">
        <v>35</v>
      </c>
      <c r="F2632" t="s">
        <v>137</v>
      </c>
      <c r="G2632" t="s">
        <v>37</v>
      </c>
      <c r="H2632" t="s">
        <v>94</v>
      </c>
      <c r="I2632" t="s">
        <v>177</v>
      </c>
      <c r="J2632">
        <v>19</v>
      </c>
      <c r="K2632">
        <v>5137.34</v>
      </c>
      <c r="L2632">
        <v>97609.46</v>
      </c>
      <c r="M2632">
        <v>0</v>
      </c>
      <c r="N2632">
        <v>0</v>
      </c>
      <c r="O2632">
        <v>97609.46</v>
      </c>
      <c r="P2632" t="s">
        <v>31</v>
      </c>
      <c r="Q2632" t="s">
        <v>32</v>
      </c>
    </row>
    <row r="2633" spans="1:17" x14ac:dyDescent="0.25">
      <c r="A2633" t="s">
        <v>2750</v>
      </c>
      <c r="B2633" s="1">
        <v>45998</v>
      </c>
      <c r="C2633" t="s">
        <v>79</v>
      </c>
      <c r="D2633" t="s">
        <v>101</v>
      </c>
      <c r="E2633" t="s">
        <v>20</v>
      </c>
      <c r="F2633" t="s">
        <v>105</v>
      </c>
      <c r="G2633" t="s">
        <v>89</v>
      </c>
      <c r="H2633" t="s">
        <v>38</v>
      </c>
      <c r="I2633" t="s">
        <v>39</v>
      </c>
      <c r="J2633">
        <v>29</v>
      </c>
      <c r="K2633">
        <v>20992.59</v>
      </c>
      <c r="L2633">
        <v>608785.11</v>
      </c>
      <c r="M2633">
        <v>0</v>
      </c>
      <c r="N2633">
        <v>52945.99</v>
      </c>
      <c r="O2633">
        <v>555839.12</v>
      </c>
      <c r="P2633" t="s">
        <v>31</v>
      </c>
      <c r="Q2633" t="s">
        <v>32</v>
      </c>
    </row>
    <row r="2634" spans="1:17" x14ac:dyDescent="0.25">
      <c r="A2634" t="s">
        <v>2751</v>
      </c>
      <c r="B2634" s="1">
        <v>45971</v>
      </c>
      <c r="C2634" t="s">
        <v>47</v>
      </c>
      <c r="D2634" t="s">
        <v>88</v>
      </c>
      <c r="E2634" t="s">
        <v>49</v>
      </c>
      <c r="F2634" t="s">
        <v>84</v>
      </c>
      <c r="G2634" t="s">
        <v>140</v>
      </c>
      <c r="H2634" t="s">
        <v>57</v>
      </c>
      <c r="I2634" t="s">
        <v>160</v>
      </c>
      <c r="J2634">
        <v>32</v>
      </c>
      <c r="K2634">
        <v>29847.06</v>
      </c>
      <c r="L2634">
        <v>955105.92</v>
      </c>
      <c r="M2634">
        <v>0</v>
      </c>
      <c r="N2634">
        <v>0</v>
      </c>
      <c r="O2634">
        <v>955105.92</v>
      </c>
      <c r="P2634" t="s">
        <v>32</v>
      </c>
      <c r="Q2634" t="s">
        <v>32</v>
      </c>
    </row>
    <row r="2635" spans="1:17" x14ac:dyDescent="0.25">
      <c r="A2635" t="s">
        <v>2752</v>
      </c>
      <c r="B2635" s="1">
        <v>45972</v>
      </c>
      <c r="C2635" t="s">
        <v>60</v>
      </c>
      <c r="D2635" t="s">
        <v>123</v>
      </c>
      <c r="E2635" t="s">
        <v>41</v>
      </c>
      <c r="F2635" t="s">
        <v>42</v>
      </c>
      <c r="G2635" t="s">
        <v>22</v>
      </c>
      <c r="H2635" t="s">
        <v>57</v>
      </c>
      <c r="I2635" t="s">
        <v>148</v>
      </c>
      <c r="J2635">
        <v>39</v>
      </c>
      <c r="K2635">
        <v>45356.47</v>
      </c>
      <c r="L2635">
        <v>1768902.33</v>
      </c>
      <c r="M2635">
        <v>0</v>
      </c>
      <c r="N2635">
        <v>0</v>
      </c>
      <c r="O2635">
        <v>1768902.33</v>
      </c>
      <c r="P2635" t="s">
        <v>31</v>
      </c>
      <c r="Q2635" t="s">
        <v>32</v>
      </c>
    </row>
    <row r="2636" spans="1:17" x14ac:dyDescent="0.25">
      <c r="A2636" t="s">
        <v>2753</v>
      </c>
      <c r="B2636" s="1">
        <v>45973</v>
      </c>
      <c r="C2636" t="s">
        <v>54</v>
      </c>
      <c r="D2636" t="s">
        <v>55</v>
      </c>
      <c r="E2636" t="s">
        <v>35</v>
      </c>
      <c r="F2636" t="s">
        <v>36</v>
      </c>
      <c r="G2636" t="s">
        <v>85</v>
      </c>
      <c r="H2636" t="s">
        <v>67</v>
      </c>
      <c r="I2636" t="s">
        <v>68</v>
      </c>
      <c r="J2636">
        <v>11</v>
      </c>
      <c r="K2636">
        <v>47981.49</v>
      </c>
      <c r="L2636">
        <v>527796.39</v>
      </c>
      <c r="M2636">
        <v>0</v>
      </c>
      <c r="N2636">
        <v>127103.84</v>
      </c>
      <c r="O2636">
        <v>400692.55</v>
      </c>
      <c r="P2636" t="s">
        <v>31</v>
      </c>
      <c r="Q2636" t="s">
        <v>32</v>
      </c>
    </row>
    <row r="2637" spans="1:17" x14ac:dyDescent="0.25">
      <c r="A2637" t="s">
        <v>2754</v>
      </c>
      <c r="B2637" s="1">
        <v>46001</v>
      </c>
      <c r="C2637" t="s">
        <v>18</v>
      </c>
      <c r="D2637" t="s">
        <v>75</v>
      </c>
      <c r="E2637" t="s">
        <v>35</v>
      </c>
      <c r="F2637" t="s">
        <v>84</v>
      </c>
      <c r="G2637" t="s">
        <v>43</v>
      </c>
      <c r="H2637" t="s">
        <v>94</v>
      </c>
      <c r="I2637" t="s">
        <v>177</v>
      </c>
      <c r="J2637">
        <v>17</v>
      </c>
      <c r="K2637">
        <v>6657.66</v>
      </c>
      <c r="L2637">
        <v>113180.22</v>
      </c>
      <c r="M2637">
        <v>0</v>
      </c>
      <c r="N2637">
        <v>0</v>
      </c>
      <c r="O2637">
        <v>113180.22</v>
      </c>
      <c r="P2637" t="s">
        <v>25</v>
      </c>
      <c r="Q2637" t="s">
        <v>26</v>
      </c>
    </row>
    <row r="2638" spans="1:17" x14ac:dyDescent="0.25">
      <c r="A2638" t="s">
        <v>2755</v>
      </c>
      <c r="B2638" s="1">
        <v>45955</v>
      </c>
      <c r="C2638" t="s">
        <v>54</v>
      </c>
      <c r="D2638" t="s">
        <v>97</v>
      </c>
      <c r="E2638" t="s">
        <v>49</v>
      </c>
      <c r="F2638" t="s">
        <v>62</v>
      </c>
      <c r="G2638" t="s">
        <v>51</v>
      </c>
      <c r="H2638" t="s">
        <v>67</v>
      </c>
      <c r="I2638" t="s">
        <v>201</v>
      </c>
      <c r="J2638">
        <v>42</v>
      </c>
      <c r="K2638">
        <v>6568.37</v>
      </c>
      <c r="L2638">
        <v>275871.53999999998</v>
      </c>
      <c r="M2638">
        <v>52186.05</v>
      </c>
      <c r="N2638">
        <v>55890.07</v>
      </c>
      <c r="O2638">
        <v>167795.42</v>
      </c>
      <c r="P2638" t="s">
        <v>25</v>
      </c>
      <c r="Q2638" t="s">
        <v>26</v>
      </c>
    </row>
    <row r="2639" spans="1:17" x14ac:dyDescent="0.25">
      <c r="A2639" t="s">
        <v>2756</v>
      </c>
      <c r="B2639" s="1">
        <v>45981</v>
      </c>
      <c r="C2639" t="s">
        <v>79</v>
      </c>
      <c r="D2639" t="s">
        <v>91</v>
      </c>
      <c r="E2639" t="s">
        <v>20</v>
      </c>
      <c r="F2639" t="s">
        <v>42</v>
      </c>
      <c r="G2639" t="s">
        <v>138</v>
      </c>
      <c r="H2639" t="s">
        <v>67</v>
      </c>
      <c r="I2639" t="s">
        <v>77</v>
      </c>
      <c r="J2639">
        <v>6</v>
      </c>
      <c r="K2639">
        <v>12361.82</v>
      </c>
      <c r="L2639">
        <v>74170.92</v>
      </c>
      <c r="M2639">
        <v>7319.81</v>
      </c>
      <c r="N2639">
        <v>0</v>
      </c>
      <c r="O2639">
        <v>66851.11</v>
      </c>
      <c r="P2639" t="s">
        <v>73</v>
      </c>
      <c r="Q2639" t="s">
        <v>32</v>
      </c>
    </row>
    <row r="2640" spans="1:17" x14ac:dyDescent="0.25">
      <c r="A2640" t="s">
        <v>2757</v>
      </c>
      <c r="B2640" s="1">
        <v>45986</v>
      </c>
      <c r="C2640" t="s">
        <v>47</v>
      </c>
      <c r="D2640" t="s">
        <v>48</v>
      </c>
      <c r="E2640" t="s">
        <v>49</v>
      </c>
      <c r="F2640" t="s">
        <v>62</v>
      </c>
      <c r="G2640" t="s">
        <v>89</v>
      </c>
      <c r="H2640" t="s">
        <v>67</v>
      </c>
      <c r="I2640" t="s">
        <v>154</v>
      </c>
      <c r="J2640">
        <v>10</v>
      </c>
      <c r="K2640">
        <v>35722.76</v>
      </c>
      <c r="L2640">
        <v>357227.6</v>
      </c>
      <c r="M2640">
        <v>0</v>
      </c>
      <c r="N2640">
        <v>0</v>
      </c>
      <c r="O2640">
        <v>357227.6</v>
      </c>
      <c r="P2640" t="s">
        <v>25</v>
      </c>
      <c r="Q2640" t="s">
        <v>26</v>
      </c>
    </row>
    <row r="2641" spans="1:17" x14ac:dyDescent="0.25">
      <c r="A2641" t="s">
        <v>2758</v>
      </c>
      <c r="B2641" s="1">
        <v>45976</v>
      </c>
      <c r="C2641" t="s">
        <v>79</v>
      </c>
      <c r="D2641" t="s">
        <v>80</v>
      </c>
      <c r="E2641" t="s">
        <v>49</v>
      </c>
      <c r="F2641" t="s">
        <v>105</v>
      </c>
      <c r="G2641" t="s">
        <v>37</v>
      </c>
      <c r="H2641" t="s">
        <v>44</v>
      </c>
      <c r="I2641" t="s">
        <v>45</v>
      </c>
      <c r="J2641">
        <v>25</v>
      </c>
      <c r="K2641">
        <v>31218.5</v>
      </c>
      <c r="L2641">
        <v>780462.5</v>
      </c>
      <c r="M2641">
        <v>132869.79999999999</v>
      </c>
      <c r="N2641">
        <v>0</v>
      </c>
      <c r="O2641">
        <v>647592.69999999995</v>
      </c>
      <c r="P2641" t="s">
        <v>73</v>
      </c>
      <c r="Q2641" t="s">
        <v>32</v>
      </c>
    </row>
    <row r="2642" spans="1:17" x14ac:dyDescent="0.25">
      <c r="A2642" t="s">
        <v>2759</v>
      </c>
      <c r="B2642" s="1">
        <v>45985</v>
      </c>
      <c r="C2642" t="s">
        <v>18</v>
      </c>
      <c r="D2642" t="s">
        <v>34</v>
      </c>
      <c r="E2642" t="s">
        <v>41</v>
      </c>
      <c r="F2642" t="s">
        <v>62</v>
      </c>
      <c r="G2642" t="s">
        <v>85</v>
      </c>
      <c r="H2642" t="s">
        <v>67</v>
      </c>
      <c r="I2642" t="s">
        <v>68</v>
      </c>
      <c r="J2642">
        <v>20</v>
      </c>
      <c r="K2642">
        <v>44296.22</v>
      </c>
      <c r="L2642">
        <v>885924.4</v>
      </c>
      <c r="M2642">
        <v>0</v>
      </c>
      <c r="N2642">
        <v>0</v>
      </c>
      <c r="O2642">
        <v>885924.4</v>
      </c>
      <c r="P2642" t="s">
        <v>25</v>
      </c>
      <c r="Q2642" t="s">
        <v>26</v>
      </c>
    </row>
    <row r="2643" spans="1:17" x14ac:dyDescent="0.25">
      <c r="A2643" t="s">
        <v>2760</v>
      </c>
      <c r="B2643" s="1">
        <v>46024</v>
      </c>
      <c r="C2643" t="s">
        <v>54</v>
      </c>
      <c r="D2643" t="s">
        <v>133</v>
      </c>
      <c r="E2643" t="s">
        <v>35</v>
      </c>
      <c r="F2643" t="s">
        <v>105</v>
      </c>
      <c r="G2643" t="s">
        <v>56</v>
      </c>
      <c r="H2643" t="s">
        <v>57</v>
      </c>
      <c r="I2643" t="s">
        <v>72</v>
      </c>
      <c r="J2643">
        <v>20</v>
      </c>
      <c r="K2643">
        <v>38589.24</v>
      </c>
      <c r="L2643">
        <v>771784.8</v>
      </c>
      <c r="M2643">
        <v>20776.54</v>
      </c>
      <c r="N2643">
        <v>0</v>
      </c>
      <c r="O2643">
        <v>751008.26</v>
      </c>
      <c r="P2643" t="s">
        <v>73</v>
      </c>
      <c r="Q2643" t="s">
        <v>32</v>
      </c>
    </row>
    <row r="2644" spans="1:17" x14ac:dyDescent="0.25">
      <c r="A2644" t="s">
        <v>2761</v>
      </c>
      <c r="B2644" s="1">
        <v>46045</v>
      </c>
      <c r="C2644" t="s">
        <v>60</v>
      </c>
      <c r="D2644" t="s">
        <v>151</v>
      </c>
      <c r="E2644" t="s">
        <v>41</v>
      </c>
      <c r="F2644" t="s">
        <v>84</v>
      </c>
      <c r="G2644" t="s">
        <v>89</v>
      </c>
      <c r="H2644" t="s">
        <v>67</v>
      </c>
      <c r="I2644" t="s">
        <v>201</v>
      </c>
      <c r="J2644">
        <v>4</v>
      </c>
      <c r="K2644">
        <v>28524.560000000001</v>
      </c>
      <c r="L2644">
        <v>114098.24000000001</v>
      </c>
      <c r="M2644">
        <v>10974.15</v>
      </c>
      <c r="N2644">
        <v>0</v>
      </c>
      <c r="O2644">
        <v>103124.09</v>
      </c>
      <c r="P2644" t="s">
        <v>32</v>
      </c>
      <c r="Q2644" t="s">
        <v>32</v>
      </c>
    </row>
    <row r="2645" spans="1:17" x14ac:dyDescent="0.25">
      <c r="A2645" t="s">
        <v>2762</v>
      </c>
      <c r="B2645" s="1">
        <v>46036</v>
      </c>
      <c r="C2645" t="s">
        <v>18</v>
      </c>
      <c r="D2645" t="s">
        <v>28</v>
      </c>
      <c r="E2645" t="s">
        <v>49</v>
      </c>
      <c r="F2645" t="s">
        <v>105</v>
      </c>
      <c r="G2645" t="s">
        <v>22</v>
      </c>
      <c r="H2645" t="s">
        <v>94</v>
      </c>
      <c r="I2645" t="s">
        <v>193</v>
      </c>
      <c r="J2645">
        <v>41</v>
      </c>
      <c r="K2645">
        <v>19705.689999999999</v>
      </c>
      <c r="L2645">
        <v>807933.29</v>
      </c>
      <c r="M2645">
        <v>134186.99</v>
      </c>
      <c r="N2645">
        <v>136044.16</v>
      </c>
      <c r="O2645">
        <v>537702.14</v>
      </c>
      <c r="P2645" t="s">
        <v>31</v>
      </c>
      <c r="Q2645" t="s">
        <v>32</v>
      </c>
    </row>
    <row r="2646" spans="1:17" x14ac:dyDescent="0.25">
      <c r="A2646" t="s">
        <v>2763</v>
      </c>
      <c r="B2646" s="1">
        <v>46040</v>
      </c>
      <c r="C2646" t="s">
        <v>79</v>
      </c>
      <c r="D2646" t="s">
        <v>101</v>
      </c>
      <c r="E2646" t="s">
        <v>49</v>
      </c>
      <c r="F2646" t="s">
        <v>62</v>
      </c>
      <c r="G2646" t="s">
        <v>29</v>
      </c>
      <c r="H2646" t="s">
        <v>67</v>
      </c>
      <c r="I2646" t="s">
        <v>154</v>
      </c>
      <c r="J2646">
        <v>28</v>
      </c>
      <c r="K2646">
        <v>16692.43</v>
      </c>
      <c r="L2646">
        <v>467388.04</v>
      </c>
      <c r="M2646">
        <v>0</v>
      </c>
      <c r="N2646">
        <v>128182.83</v>
      </c>
      <c r="O2646">
        <v>339205.21</v>
      </c>
      <c r="P2646" t="s">
        <v>25</v>
      </c>
      <c r="Q2646" t="s">
        <v>26</v>
      </c>
    </row>
    <row r="2647" spans="1:17" x14ac:dyDescent="0.25">
      <c r="A2647" t="s">
        <v>2764</v>
      </c>
      <c r="B2647" s="1">
        <v>46023</v>
      </c>
      <c r="C2647" t="s">
        <v>18</v>
      </c>
      <c r="D2647" t="s">
        <v>75</v>
      </c>
      <c r="E2647" t="s">
        <v>41</v>
      </c>
      <c r="F2647" t="s">
        <v>21</v>
      </c>
      <c r="G2647" t="s">
        <v>98</v>
      </c>
      <c r="H2647" t="s">
        <v>57</v>
      </c>
      <c r="I2647" t="s">
        <v>148</v>
      </c>
      <c r="J2647">
        <v>9</v>
      </c>
      <c r="K2647">
        <v>21425.1</v>
      </c>
      <c r="L2647">
        <v>192825.9</v>
      </c>
      <c r="M2647">
        <v>14382.53</v>
      </c>
      <c r="N2647">
        <v>0</v>
      </c>
      <c r="O2647">
        <v>178443.37</v>
      </c>
      <c r="P2647" t="s">
        <v>73</v>
      </c>
      <c r="Q2647" t="s">
        <v>32</v>
      </c>
    </row>
    <row r="2648" spans="1:17" x14ac:dyDescent="0.25">
      <c r="A2648" t="s">
        <v>2765</v>
      </c>
      <c r="B2648" s="1">
        <v>46038</v>
      </c>
      <c r="C2648" t="s">
        <v>54</v>
      </c>
      <c r="D2648" t="s">
        <v>97</v>
      </c>
      <c r="E2648" t="s">
        <v>41</v>
      </c>
      <c r="F2648" t="s">
        <v>50</v>
      </c>
      <c r="G2648" t="s">
        <v>29</v>
      </c>
      <c r="H2648" t="s">
        <v>38</v>
      </c>
      <c r="I2648" t="s">
        <v>120</v>
      </c>
      <c r="J2648">
        <v>20</v>
      </c>
      <c r="K2648">
        <v>21792</v>
      </c>
      <c r="L2648">
        <v>435840</v>
      </c>
      <c r="M2648">
        <v>547.58000000000004</v>
      </c>
      <c r="N2648">
        <v>0</v>
      </c>
      <c r="O2648">
        <v>435292.42</v>
      </c>
      <c r="P2648" t="s">
        <v>32</v>
      </c>
      <c r="Q2648" t="s">
        <v>26</v>
      </c>
    </row>
    <row r="2649" spans="1:17" x14ac:dyDescent="0.25">
      <c r="A2649" t="s">
        <v>2766</v>
      </c>
      <c r="B2649" s="1">
        <v>46027</v>
      </c>
      <c r="C2649" t="s">
        <v>79</v>
      </c>
      <c r="D2649" t="s">
        <v>101</v>
      </c>
      <c r="E2649" t="s">
        <v>41</v>
      </c>
      <c r="F2649" t="s">
        <v>21</v>
      </c>
      <c r="G2649" t="s">
        <v>56</v>
      </c>
      <c r="H2649" t="s">
        <v>23</v>
      </c>
      <c r="I2649" t="s">
        <v>24</v>
      </c>
      <c r="J2649">
        <v>26</v>
      </c>
      <c r="K2649">
        <v>1986.91</v>
      </c>
      <c r="L2649">
        <v>51659.66</v>
      </c>
      <c r="M2649">
        <v>1400.44</v>
      </c>
      <c r="N2649">
        <v>0</v>
      </c>
      <c r="O2649">
        <v>50259.22</v>
      </c>
      <c r="P2649" t="s">
        <v>32</v>
      </c>
      <c r="Q2649" t="s">
        <v>32</v>
      </c>
    </row>
    <row r="2650" spans="1:17" x14ac:dyDescent="0.25">
      <c r="A2650" t="s">
        <v>2767</v>
      </c>
      <c r="B2650" s="1">
        <v>45989</v>
      </c>
      <c r="C2650" t="s">
        <v>54</v>
      </c>
      <c r="D2650" t="s">
        <v>97</v>
      </c>
      <c r="E2650" t="s">
        <v>20</v>
      </c>
      <c r="F2650" t="s">
        <v>137</v>
      </c>
      <c r="G2650" t="s">
        <v>63</v>
      </c>
      <c r="H2650" t="s">
        <v>44</v>
      </c>
      <c r="I2650" t="s">
        <v>281</v>
      </c>
      <c r="J2650">
        <v>26</v>
      </c>
      <c r="K2650">
        <v>18209.02</v>
      </c>
      <c r="L2650">
        <v>473434.52</v>
      </c>
      <c r="M2650">
        <v>0</v>
      </c>
      <c r="N2650">
        <v>80565.289999999994</v>
      </c>
      <c r="O2650">
        <v>392869.23</v>
      </c>
      <c r="P2650" t="s">
        <v>25</v>
      </c>
      <c r="Q2650" t="s">
        <v>32</v>
      </c>
    </row>
    <row r="2651" spans="1:17" x14ac:dyDescent="0.25">
      <c r="A2651" t="s">
        <v>2768</v>
      </c>
      <c r="B2651" s="1">
        <v>46026</v>
      </c>
      <c r="C2651" t="s">
        <v>54</v>
      </c>
      <c r="D2651" t="s">
        <v>55</v>
      </c>
      <c r="E2651" t="s">
        <v>35</v>
      </c>
      <c r="F2651" t="s">
        <v>71</v>
      </c>
      <c r="G2651" t="s">
        <v>102</v>
      </c>
      <c r="H2651" t="s">
        <v>94</v>
      </c>
      <c r="I2651" t="s">
        <v>115</v>
      </c>
      <c r="J2651">
        <v>9</v>
      </c>
      <c r="K2651">
        <v>41041.160000000003</v>
      </c>
      <c r="L2651">
        <v>369370.44</v>
      </c>
      <c r="M2651">
        <v>22626.81</v>
      </c>
      <c r="N2651">
        <v>0</v>
      </c>
      <c r="O2651">
        <v>346743.63</v>
      </c>
      <c r="P2651" t="s">
        <v>73</v>
      </c>
      <c r="Q2651" t="s">
        <v>26</v>
      </c>
    </row>
    <row r="2652" spans="1:17" x14ac:dyDescent="0.25">
      <c r="A2652" t="s">
        <v>2769</v>
      </c>
      <c r="B2652" s="1">
        <v>45979</v>
      </c>
      <c r="C2652" t="s">
        <v>47</v>
      </c>
      <c r="D2652" t="s">
        <v>114</v>
      </c>
      <c r="E2652" t="s">
        <v>20</v>
      </c>
      <c r="F2652" t="s">
        <v>50</v>
      </c>
      <c r="G2652" t="s">
        <v>51</v>
      </c>
      <c r="H2652" t="s">
        <v>67</v>
      </c>
      <c r="I2652" t="s">
        <v>154</v>
      </c>
      <c r="J2652">
        <v>37</v>
      </c>
      <c r="K2652">
        <v>8524.32</v>
      </c>
      <c r="L2652">
        <v>315399.84000000003</v>
      </c>
      <c r="M2652">
        <v>33046.269999999997</v>
      </c>
      <c r="N2652">
        <v>0</v>
      </c>
      <c r="O2652">
        <v>282353.57</v>
      </c>
      <c r="P2652" t="s">
        <v>73</v>
      </c>
      <c r="Q2652" t="s">
        <v>32</v>
      </c>
    </row>
    <row r="2653" spans="1:17" x14ac:dyDescent="0.25">
      <c r="A2653" t="s">
        <v>2770</v>
      </c>
      <c r="B2653" s="1">
        <v>45998</v>
      </c>
      <c r="C2653" t="s">
        <v>60</v>
      </c>
      <c r="D2653" t="s">
        <v>61</v>
      </c>
      <c r="E2653" t="s">
        <v>41</v>
      </c>
      <c r="F2653" t="s">
        <v>112</v>
      </c>
      <c r="G2653" t="s">
        <v>66</v>
      </c>
      <c r="H2653" t="s">
        <v>44</v>
      </c>
      <c r="I2653" t="s">
        <v>141</v>
      </c>
      <c r="J2653">
        <v>15</v>
      </c>
      <c r="K2653">
        <v>38215.42</v>
      </c>
      <c r="L2653">
        <v>573231.30000000005</v>
      </c>
      <c r="M2653">
        <v>75766.66</v>
      </c>
      <c r="N2653">
        <v>0</v>
      </c>
      <c r="O2653">
        <v>497464.64</v>
      </c>
      <c r="P2653" t="s">
        <v>32</v>
      </c>
      <c r="Q2653" t="s">
        <v>32</v>
      </c>
    </row>
    <row r="2654" spans="1:17" x14ac:dyDescent="0.25">
      <c r="A2654" t="s">
        <v>2771</v>
      </c>
      <c r="B2654" s="1">
        <v>46031</v>
      </c>
      <c r="C2654" t="s">
        <v>60</v>
      </c>
      <c r="D2654" t="s">
        <v>65</v>
      </c>
      <c r="E2654" t="s">
        <v>20</v>
      </c>
      <c r="F2654" t="s">
        <v>84</v>
      </c>
      <c r="G2654" t="s">
        <v>98</v>
      </c>
      <c r="H2654" t="s">
        <v>38</v>
      </c>
      <c r="I2654" t="s">
        <v>120</v>
      </c>
      <c r="J2654">
        <v>34</v>
      </c>
      <c r="K2654">
        <v>38739.69</v>
      </c>
      <c r="L2654">
        <v>1317149.46</v>
      </c>
      <c r="M2654">
        <v>0</v>
      </c>
      <c r="N2654">
        <v>0</v>
      </c>
      <c r="O2654">
        <v>1317149.46</v>
      </c>
      <c r="P2654" t="s">
        <v>31</v>
      </c>
      <c r="Q2654" t="s">
        <v>32</v>
      </c>
    </row>
    <row r="2655" spans="1:17" x14ac:dyDescent="0.25">
      <c r="A2655" t="s">
        <v>2772</v>
      </c>
      <c r="B2655" s="1">
        <v>45991</v>
      </c>
      <c r="C2655" t="s">
        <v>54</v>
      </c>
      <c r="D2655" t="s">
        <v>55</v>
      </c>
      <c r="E2655" t="s">
        <v>35</v>
      </c>
      <c r="F2655" t="s">
        <v>105</v>
      </c>
      <c r="G2655" t="s">
        <v>29</v>
      </c>
      <c r="H2655" t="s">
        <v>94</v>
      </c>
      <c r="I2655" t="s">
        <v>144</v>
      </c>
      <c r="J2655">
        <v>39</v>
      </c>
      <c r="K2655">
        <v>37277.97</v>
      </c>
      <c r="L2655">
        <v>1453840.83</v>
      </c>
      <c r="M2655">
        <v>0</v>
      </c>
      <c r="N2655">
        <v>0</v>
      </c>
      <c r="O2655">
        <v>1453840.83</v>
      </c>
      <c r="P2655" t="s">
        <v>25</v>
      </c>
      <c r="Q2655" t="s">
        <v>26</v>
      </c>
    </row>
    <row r="2656" spans="1:17" x14ac:dyDescent="0.25">
      <c r="A2656" t="s">
        <v>2773</v>
      </c>
      <c r="B2656" s="1">
        <v>46029</v>
      </c>
      <c r="C2656" t="s">
        <v>47</v>
      </c>
      <c r="D2656" t="s">
        <v>48</v>
      </c>
      <c r="E2656" t="s">
        <v>49</v>
      </c>
      <c r="F2656" t="s">
        <v>71</v>
      </c>
      <c r="G2656" t="s">
        <v>63</v>
      </c>
      <c r="H2656" t="s">
        <v>23</v>
      </c>
      <c r="I2656" t="s">
        <v>52</v>
      </c>
      <c r="J2656">
        <v>34</v>
      </c>
      <c r="K2656">
        <v>44705.03</v>
      </c>
      <c r="L2656">
        <v>1519971.02</v>
      </c>
      <c r="M2656">
        <v>0</v>
      </c>
      <c r="N2656">
        <v>0</v>
      </c>
      <c r="O2656">
        <v>1519971.02</v>
      </c>
      <c r="P2656" t="s">
        <v>25</v>
      </c>
      <c r="Q2656" t="s">
        <v>26</v>
      </c>
    </row>
    <row r="2657" spans="1:17" x14ac:dyDescent="0.25">
      <c r="A2657" t="s">
        <v>2774</v>
      </c>
      <c r="B2657" s="1">
        <v>46008</v>
      </c>
      <c r="C2657" t="s">
        <v>47</v>
      </c>
      <c r="D2657" t="s">
        <v>88</v>
      </c>
      <c r="E2657" t="s">
        <v>49</v>
      </c>
      <c r="F2657" t="s">
        <v>50</v>
      </c>
      <c r="G2657" t="s">
        <v>140</v>
      </c>
      <c r="H2657" t="s">
        <v>94</v>
      </c>
      <c r="I2657" t="s">
        <v>193</v>
      </c>
      <c r="J2657">
        <v>2</v>
      </c>
      <c r="K2657">
        <v>50340.97</v>
      </c>
      <c r="L2657">
        <v>100681.94</v>
      </c>
      <c r="M2657">
        <v>16037.51</v>
      </c>
      <c r="N2657">
        <v>0</v>
      </c>
      <c r="O2657">
        <v>84644.43</v>
      </c>
      <c r="P2657" t="s">
        <v>25</v>
      </c>
      <c r="Q2657" t="s">
        <v>26</v>
      </c>
    </row>
    <row r="2658" spans="1:17" x14ac:dyDescent="0.25">
      <c r="A2658" t="s">
        <v>2775</v>
      </c>
      <c r="B2658" s="1">
        <v>45984</v>
      </c>
      <c r="C2658" t="s">
        <v>18</v>
      </c>
      <c r="D2658" t="s">
        <v>28</v>
      </c>
      <c r="E2658" t="s">
        <v>35</v>
      </c>
      <c r="F2658" t="s">
        <v>42</v>
      </c>
      <c r="G2658" t="s">
        <v>89</v>
      </c>
      <c r="H2658" t="s">
        <v>23</v>
      </c>
      <c r="I2658" t="s">
        <v>24</v>
      </c>
      <c r="J2658">
        <v>23</v>
      </c>
      <c r="K2658">
        <v>28304.43</v>
      </c>
      <c r="L2658">
        <v>651001.89</v>
      </c>
      <c r="M2658">
        <v>95665.89</v>
      </c>
      <c r="N2658">
        <v>152990.13</v>
      </c>
      <c r="O2658">
        <v>402345.87</v>
      </c>
      <c r="P2658" t="s">
        <v>32</v>
      </c>
      <c r="Q2658" t="s">
        <v>26</v>
      </c>
    </row>
    <row r="2659" spans="1:17" x14ac:dyDescent="0.25">
      <c r="A2659" t="s">
        <v>2776</v>
      </c>
      <c r="B2659" s="1">
        <v>45961</v>
      </c>
      <c r="C2659" t="s">
        <v>18</v>
      </c>
      <c r="D2659" t="s">
        <v>19</v>
      </c>
      <c r="E2659" t="s">
        <v>49</v>
      </c>
      <c r="F2659" t="s">
        <v>105</v>
      </c>
      <c r="G2659" t="s">
        <v>102</v>
      </c>
      <c r="H2659" t="s">
        <v>57</v>
      </c>
      <c r="I2659" t="s">
        <v>118</v>
      </c>
      <c r="J2659">
        <v>35</v>
      </c>
      <c r="K2659">
        <v>22392.34</v>
      </c>
      <c r="L2659">
        <v>783731.9</v>
      </c>
      <c r="M2659">
        <v>0</v>
      </c>
      <c r="N2659">
        <v>17012.310000000001</v>
      </c>
      <c r="O2659">
        <v>766719.59</v>
      </c>
      <c r="P2659" t="s">
        <v>25</v>
      </c>
      <c r="Q2659" t="s">
        <v>26</v>
      </c>
    </row>
    <row r="2660" spans="1:17" x14ac:dyDescent="0.25">
      <c r="A2660" t="s">
        <v>2777</v>
      </c>
      <c r="B2660" s="1">
        <v>45965</v>
      </c>
      <c r="C2660" t="s">
        <v>54</v>
      </c>
      <c r="D2660" t="s">
        <v>55</v>
      </c>
      <c r="E2660" t="s">
        <v>20</v>
      </c>
      <c r="F2660" t="s">
        <v>50</v>
      </c>
      <c r="G2660" t="s">
        <v>66</v>
      </c>
      <c r="H2660" t="s">
        <v>67</v>
      </c>
      <c r="I2660" t="s">
        <v>103</v>
      </c>
      <c r="J2660">
        <v>15</v>
      </c>
      <c r="K2660">
        <v>14631.33</v>
      </c>
      <c r="L2660">
        <v>219469.95</v>
      </c>
      <c r="M2660">
        <v>29197.26</v>
      </c>
      <c r="N2660">
        <v>0</v>
      </c>
      <c r="O2660">
        <v>190272.69</v>
      </c>
      <c r="P2660" t="s">
        <v>32</v>
      </c>
      <c r="Q2660" t="s">
        <v>32</v>
      </c>
    </row>
    <row r="2661" spans="1:17" x14ac:dyDescent="0.25">
      <c r="A2661" t="s">
        <v>2778</v>
      </c>
      <c r="B2661" s="1">
        <v>46026</v>
      </c>
      <c r="C2661" t="s">
        <v>18</v>
      </c>
      <c r="D2661" t="s">
        <v>75</v>
      </c>
      <c r="E2661" t="s">
        <v>49</v>
      </c>
      <c r="F2661" t="s">
        <v>137</v>
      </c>
      <c r="G2661" t="s">
        <v>85</v>
      </c>
      <c r="H2661" t="s">
        <v>94</v>
      </c>
      <c r="I2661" t="s">
        <v>95</v>
      </c>
      <c r="J2661">
        <v>6</v>
      </c>
      <c r="K2661">
        <v>33696.81</v>
      </c>
      <c r="L2661">
        <v>202180.86</v>
      </c>
      <c r="M2661">
        <v>0</v>
      </c>
      <c r="N2661">
        <v>0</v>
      </c>
      <c r="O2661">
        <v>202180.86</v>
      </c>
      <c r="P2661" t="s">
        <v>73</v>
      </c>
      <c r="Q2661" t="s">
        <v>32</v>
      </c>
    </row>
    <row r="2662" spans="1:17" x14ac:dyDescent="0.25">
      <c r="A2662" t="s">
        <v>2779</v>
      </c>
      <c r="B2662" s="1">
        <v>45984</v>
      </c>
      <c r="C2662" t="s">
        <v>54</v>
      </c>
      <c r="D2662" t="s">
        <v>133</v>
      </c>
      <c r="E2662" t="s">
        <v>41</v>
      </c>
      <c r="F2662" t="s">
        <v>137</v>
      </c>
      <c r="G2662" t="s">
        <v>43</v>
      </c>
      <c r="H2662" t="s">
        <v>57</v>
      </c>
      <c r="I2662" t="s">
        <v>118</v>
      </c>
      <c r="J2662">
        <v>20</v>
      </c>
      <c r="K2662">
        <v>13370.72</v>
      </c>
      <c r="L2662">
        <v>267414.40000000002</v>
      </c>
      <c r="M2662">
        <v>28766.84</v>
      </c>
      <c r="N2662">
        <v>30175.51</v>
      </c>
      <c r="O2662">
        <v>208472.05</v>
      </c>
      <c r="P2662" t="s">
        <v>25</v>
      </c>
      <c r="Q2662" t="s">
        <v>26</v>
      </c>
    </row>
    <row r="2663" spans="1:17" x14ac:dyDescent="0.25">
      <c r="A2663" t="s">
        <v>2780</v>
      </c>
      <c r="B2663" s="1">
        <v>46017</v>
      </c>
      <c r="C2663" t="s">
        <v>54</v>
      </c>
      <c r="D2663" t="s">
        <v>55</v>
      </c>
      <c r="E2663" t="s">
        <v>35</v>
      </c>
      <c r="F2663" t="s">
        <v>42</v>
      </c>
      <c r="G2663" t="s">
        <v>29</v>
      </c>
      <c r="H2663" t="s">
        <v>57</v>
      </c>
      <c r="I2663" t="s">
        <v>72</v>
      </c>
      <c r="J2663">
        <v>17</v>
      </c>
      <c r="K2663">
        <v>36837.839999999997</v>
      </c>
      <c r="L2663">
        <v>626243.28</v>
      </c>
      <c r="M2663">
        <v>0</v>
      </c>
      <c r="N2663">
        <v>8577.93</v>
      </c>
      <c r="O2663">
        <v>617665.35</v>
      </c>
      <c r="P2663" t="s">
        <v>31</v>
      </c>
      <c r="Q2663" t="s">
        <v>32</v>
      </c>
    </row>
    <row r="2664" spans="1:17" x14ac:dyDescent="0.25">
      <c r="A2664" t="s">
        <v>2781</v>
      </c>
      <c r="B2664" s="1">
        <v>46028</v>
      </c>
      <c r="C2664" t="s">
        <v>60</v>
      </c>
      <c r="D2664" t="s">
        <v>65</v>
      </c>
      <c r="E2664" t="s">
        <v>20</v>
      </c>
      <c r="F2664" t="s">
        <v>84</v>
      </c>
      <c r="G2664" t="s">
        <v>81</v>
      </c>
      <c r="H2664" t="s">
        <v>57</v>
      </c>
      <c r="I2664" t="s">
        <v>118</v>
      </c>
      <c r="J2664">
        <v>29</v>
      </c>
      <c r="K2664">
        <v>2290.8000000000002</v>
      </c>
      <c r="L2664">
        <v>66433.2</v>
      </c>
      <c r="M2664">
        <v>0</v>
      </c>
      <c r="N2664">
        <v>0</v>
      </c>
      <c r="O2664">
        <v>66433.2</v>
      </c>
      <c r="P2664" t="s">
        <v>32</v>
      </c>
      <c r="Q2664" t="s">
        <v>32</v>
      </c>
    </row>
    <row r="2665" spans="1:17" x14ac:dyDescent="0.25">
      <c r="A2665" t="s">
        <v>2782</v>
      </c>
      <c r="B2665" s="1">
        <v>46029</v>
      </c>
      <c r="C2665" t="s">
        <v>54</v>
      </c>
      <c r="D2665" t="s">
        <v>55</v>
      </c>
      <c r="E2665" t="s">
        <v>49</v>
      </c>
      <c r="F2665" t="s">
        <v>36</v>
      </c>
      <c r="G2665" t="s">
        <v>37</v>
      </c>
      <c r="H2665" t="s">
        <v>44</v>
      </c>
      <c r="I2665" t="s">
        <v>141</v>
      </c>
      <c r="J2665">
        <v>17</v>
      </c>
      <c r="K2665">
        <v>4052.14</v>
      </c>
      <c r="L2665">
        <v>68886.38</v>
      </c>
      <c r="M2665">
        <v>0</v>
      </c>
      <c r="N2665">
        <v>0</v>
      </c>
      <c r="O2665">
        <v>68886.38</v>
      </c>
      <c r="P2665" t="s">
        <v>73</v>
      </c>
      <c r="Q2665" t="s">
        <v>32</v>
      </c>
    </row>
    <row r="2666" spans="1:17" x14ac:dyDescent="0.25">
      <c r="A2666" t="s">
        <v>2783</v>
      </c>
      <c r="B2666" s="1">
        <v>46021</v>
      </c>
      <c r="C2666" t="s">
        <v>18</v>
      </c>
      <c r="D2666" t="s">
        <v>28</v>
      </c>
      <c r="E2666" t="s">
        <v>20</v>
      </c>
      <c r="F2666" t="s">
        <v>21</v>
      </c>
      <c r="G2666" t="s">
        <v>29</v>
      </c>
      <c r="H2666" t="s">
        <v>44</v>
      </c>
      <c r="I2666" t="s">
        <v>45</v>
      </c>
      <c r="J2666">
        <v>49</v>
      </c>
      <c r="K2666">
        <v>19615.939999999999</v>
      </c>
      <c r="L2666">
        <v>961181.06</v>
      </c>
      <c r="M2666">
        <v>0</v>
      </c>
      <c r="N2666">
        <v>0</v>
      </c>
      <c r="O2666">
        <v>961181.06</v>
      </c>
      <c r="P2666" t="s">
        <v>25</v>
      </c>
      <c r="Q2666" t="s">
        <v>26</v>
      </c>
    </row>
    <row r="2667" spans="1:17" x14ac:dyDescent="0.25">
      <c r="A2667" t="s">
        <v>2784</v>
      </c>
      <c r="B2667" s="1">
        <v>46008</v>
      </c>
      <c r="C2667" t="s">
        <v>18</v>
      </c>
      <c r="D2667" t="s">
        <v>19</v>
      </c>
      <c r="E2667" t="s">
        <v>35</v>
      </c>
      <c r="F2667" t="s">
        <v>71</v>
      </c>
      <c r="G2667" t="s">
        <v>89</v>
      </c>
      <c r="H2667" t="s">
        <v>23</v>
      </c>
      <c r="I2667" t="s">
        <v>110</v>
      </c>
      <c r="J2667">
        <v>41</v>
      </c>
      <c r="K2667">
        <v>28165.41</v>
      </c>
      <c r="L2667">
        <v>1154781.81</v>
      </c>
      <c r="M2667">
        <v>132789.64000000001</v>
      </c>
      <c r="N2667">
        <v>0</v>
      </c>
      <c r="O2667">
        <v>1021992.17</v>
      </c>
      <c r="P2667" t="s">
        <v>25</v>
      </c>
      <c r="Q2667" t="s">
        <v>26</v>
      </c>
    </row>
    <row r="2668" spans="1:17" x14ac:dyDescent="0.25">
      <c r="A2668" t="s">
        <v>2785</v>
      </c>
      <c r="B2668" s="1">
        <v>45992</v>
      </c>
      <c r="C2668" t="s">
        <v>54</v>
      </c>
      <c r="D2668" t="s">
        <v>55</v>
      </c>
      <c r="E2668" t="s">
        <v>20</v>
      </c>
      <c r="F2668" t="s">
        <v>105</v>
      </c>
      <c r="G2668" t="s">
        <v>29</v>
      </c>
      <c r="H2668" t="s">
        <v>38</v>
      </c>
      <c r="I2668" t="s">
        <v>175</v>
      </c>
      <c r="J2668">
        <v>45</v>
      </c>
      <c r="K2668">
        <v>20931.990000000002</v>
      </c>
      <c r="L2668">
        <v>941939.55</v>
      </c>
      <c r="M2668">
        <v>0</v>
      </c>
      <c r="N2668">
        <v>188424.78</v>
      </c>
      <c r="O2668">
        <v>753514.77</v>
      </c>
      <c r="P2668" t="s">
        <v>32</v>
      </c>
      <c r="Q2668" t="s">
        <v>32</v>
      </c>
    </row>
    <row r="2669" spans="1:17" x14ac:dyDescent="0.25">
      <c r="A2669" t="s">
        <v>2786</v>
      </c>
      <c r="B2669" s="1">
        <v>46000</v>
      </c>
      <c r="C2669" t="s">
        <v>18</v>
      </c>
      <c r="D2669" t="s">
        <v>28</v>
      </c>
      <c r="E2669" t="s">
        <v>35</v>
      </c>
      <c r="F2669" t="s">
        <v>105</v>
      </c>
      <c r="G2669" t="s">
        <v>56</v>
      </c>
      <c r="H2669" t="s">
        <v>94</v>
      </c>
      <c r="I2669" t="s">
        <v>144</v>
      </c>
      <c r="J2669">
        <v>39</v>
      </c>
      <c r="K2669">
        <v>9632.5400000000009</v>
      </c>
      <c r="L2669">
        <v>375669.06</v>
      </c>
      <c r="M2669">
        <v>0</v>
      </c>
      <c r="N2669">
        <v>31477.66</v>
      </c>
      <c r="O2669">
        <v>344191.4</v>
      </c>
      <c r="P2669" t="s">
        <v>73</v>
      </c>
      <c r="Q2669" t="s">
        <v>32</v>
      </c>
    </row>
    <row r="2670" spans="1:17" x14ac:dyDescent="0.25">
      <c r="A2670" t="s">
        <v>2787</v>
      </c>
      <c r="B2670" s="1">
        <v>45985</v>
      </c>
      <c r="C2670" t="s">
        <v>18</v>
      </c>
      <c r="D2670" t="s">
        <v>75</v>
      </c>
      <c r="E2670" t="s">
        <v>35</v>
      </c>
      <c r="F2670" t="s">
        <v>105</v>
      </c>
      <c r="G2670" t="s">
        <v>29</v>
      </c>
      <c r="H2670" t="s">
        <v>44</v>
      </c>
      <c r="I2670" t="s">
        <v>281</v>
      </c>
      <c r="J2670">
        <v>36</v>
      </c>
      <c r="K2670">
        <v>44044.800000000003</v>
      </c>
      <c r="L2670">
        <v>1585612.8</v>
      </c>
      <c r="M2670">
        <v>0</v>
      </c>
      <c r="N2670">
        <v>0</v>
      </c>
      <c r="O2670">
        <v>1585612.8</v>
      </c>
      <c r="P2670" t="s">
        <v>32</v>
      </c>
      <c r="Q2670" t="s">
        <v>32</v>
      </c>
    </row>
    <row r="2671" spans="1:17" x14ac:dyDescent="0.25">
      <c r="A2671" t="s">
        <v>2788</v>
      </c>
      <c r="B2671" s="1">
        <v>45954</v>
      </c>
      <c r="C2671" t="s">
        <v>18</v>
      </c>
      <c r="D2671" t="s">
        <v>34</v>
      </c>
      <c r="E2671" t="s">
        <v>35</v>
      </c>
      <c r="F2671" t="s">
        <v>42</v>
      </c>
      <c r="G2671" t="s">
        <v>98</v>
      </c>
      <c r="H2671" t="s">
        <v>44</v>
      </c>
      <c r="I2671" t="s">
        <v>141</v>
      </c>
      <c r="J2671">
        <v>5</v>
      </c>
      <c r="K2671">
        <v>18877.86</v>
      </c>
      <c r="L2671">
        <v>94389.3</v>
      </c>
      <c r="M2671">
        <v>0</v>
      </c>
      <c r="N2671">
        <v>0</v>
      </c>
      <c r="O2671">
        <v>94389.3</v>
      </c>
      <c r="P2671" t="s">
        <v>73</v>
      </c>
      <c r="Q2671" t="s">
        <v>26</v>
      </c>
    </row>
    <row r="2672" spans="1:17" x14ac:dyDescent="0.25">
      <c r="A2672" t="s">
        <v>2789</v>
      </c>
      <c r="B2672" s="1">
        <v>45974</v>
      </c>
      <c r="C2672" t="s">
        <v>60</v>
      </c>
      <c r="D2672" t="s">
        <v>151</v>
      </c>
      <c r="E2672" t="s">
        <v>41</v>
      </c>
      <c r="F2672" t="s">
        <v>105</v>
      </c>
      <c r="G2672" t="s">
        <v>22</v>
      </c>
      <c r="H2672" t="s">
        <v>23</v>
      </c>
      <c r="I2672" t="s">
        <v>24</v>
      </c>
      <c r="J2672">
        <v>29</v>
      </c>
      <c r="K2672">
        <v>25801.16</v>
      </c>
      <c r="L2672">
        <v>748233.64</v>
      </c>
      <c r="M2672">
        <v>99057.01</v>
      </c>
      <c r="N2672">
        <v>0</v>
      </c>
      <c r="O2672">
        <v>649176.63</v>
      </c>
      <c r="P2672" t="s">
        <v>73</v>
      </c>
      <c r="Q2672" t="s">
        <v>32</v>
      </c>
    </row>
    <row r="2673" spans="1:17" x14ac:dyDescent="0.25">
      <c r="A2673" t="s">
        <v>2790</v>
      </c>
      <c r="B2673" s="1">
        <v>45962</v>
      </c>
      <c r="C2673" t="s">
        <v>47</v>
      </c>
      <c r="D2673" t="s">
        <v>114</v>
      </c>
      <c r="E2673" t="s">
        <v>49</v>
      </c>
      <c r="F2673" t="s">
        <v>105</v>
      </c>
      <c r="G2673" t="s">
        <v>56</v>
      </c>
      <c r="H2673" t="s">
        <v>57</v>
      </c>
      <c r="I2673" t="s">
        <v>58</v>
      </c>
      <c r="J2673">
        <v>27</v>
      </c>
      <c r="K2673">
        <v>44563.63</v>
      </c>
      <c r="L2673">
        <v>1203218.01</v>
      </c>
      <c r="M2673">
        <v>0</v>
      </c>
      <c r="N2673">
        <v>360902.8</v>
      </c>
      <c r="O2673">
        <v>842315.21</v>
      </c>
      <c r="P2673" t="s">
        <v>32</v>
      </c>
      <c r="Q2673" t="s">
        <v>32</v>
      </c>
    </row>
    <row r="2674" spans="1:17" x14ac:dyDescent="0.25">
      <c r="A2674" t="s">
        <v>2791</v>
      </c>
      <c r="B2674" s="1">
        <v>46006</v>
      </c>
      <c r="C2674" t="s">
        <v>79</v>
      </c>
      <c r="D2674" t="s">
        <v>80</v>
      </c>
      <c r="E2674" t="s">
        <v>35</v>
      </c>
      <c r="F2674" t="s">
        <v>21</v>
      </c>
      <c r="G2674" t="s">
        <v>140</v>
      </c>
      <c r="H2674" t="s">
        <v>94</v>
      </c>
      <c r="I2674" t="s">
        <v>144</v>
      </c>
      <c r="J2674">
        <v>30</v>
      </c>
      <c r="K2674">
        <v>16637.740000000002</v>
      </c>
      <c r="L2674">
        <v>499132.2</v>
      </c>
      <c r="M2674">
        <v>0</v>
      </c>
      <c r="N2674">
        <v>32388.400000000001</v>
      </c>
      <c r="O2674">
        <v>466743.8</v>
      </c>
      <c r="P2674" t="s">
        <v>31</v>
      </c>
      <c r="Q2674" t="s">
        <v>32</v>
      </c>
    </row>
    <row r="2675" spans="1:17" x14ac:dyDescent="0.25">
      <c r="A2675" t="s">
        <v>2792</v>
      </c>
      <c r="B2675" s="1">
        <v>46020</v>
      </c>
      <c r="C2675" t="s">
        <v>47</v>
      </c>
      <c r="D2675" t="s">
        <v>88</v>
      </c>
      <c r="E2675" t="s">
        <v>49</v>
      </c>
      <c r="F2675" t="s">
        <v>21</v>
      </c>
      <c r="G2675" t="s">
        <v>63</v>
      </c>
      <c r="H2675" t="s">
        <v>67</v>
      </c>
      <c r="I2675" t="s">
        <v>201</v>
      </c>
      <c r="J2675">
        <v>25</v>
      </c>
      <c r="K2675">
        <v>13880.91</v>
      </c>
      <c r="L2675">
        <v>347022.75</v>
      </c>
      <c r="M2675">
        <v>0</v>
      </c>
      <c r="N2675">
        <v>0</v>
      </c>
      <c r="O2675">
        <v>347022.75</v>
      </c>
      <c r="P2675" t="s">
        <v>25</v>
      </c>
      <c r="Q2675" t="s">
        <v>26</v>
      </c>
    </row>
    <row r="2676" spans="1:17" x14ac:dyDescent="0.25">
      <c r="A2676" t="s">
        <v>2793</v>
      </c>
      <c r="B2676" s="1">
        <v>45961</v>
      </c>
      <c r="C2676" t="s">
        <v>79</v>
      </c>
      <c r="D2676" t="s">
        <v>80</v>
      </c>
      <c r="E2676" t="s">
        <v>41</v>
      </c>
      <c r="F2676" t="s">
        <v>50</v>
      </c>
      <c r="G2676" t="s">
        <v>43</v>
      </c>
      <c r="H2676" t="s">
        <v>57</v>
      </c>
      <c r="I2676" t="s">
        <v>160</v>
      </c>
      <c r="J2676">
        <v>21</v>
      </c>
      <c r="K2676">
        <v>11208.49</v>
      </c>
      <c r="L2676">
        <v>235378.29</v>
      </c>
      <c r="M2676">
        <v>0</v>
      </c>
      <c r="N2676">
        <v>51393.87</v>
      </c>
      <c r="O2676">
        <v>183984.42</v>
      </c>
      <c r="P2676" t="s">
        <v>31</v>
      </c>
      <c r="Q2676" t="s">
        <v>32</v>
      </c>
    </row>
    <row r="2677" spans="1:17" x14ac:dyDescent="0.25">
      <c r="A2677" t="s">
        <v>2794</v>
      </c>
      <c r="B2677" s="1">
        <v>45961</v>
      </c>
      <c r="C2677" t="s">
        <v>18</v>
      </c>
      <c r="D2677" t="s">
        <v>75</v>
      </c>
      <c r="E2677" t="s">
        <v>35</v>
      </c>
      <c r="F2677" t="s">
        <v>36</v>
      </c>
      <c r="G2677" t="s">
        <v>85</v>
      </c>
      <c r="H2677" t="s">
        <v>38</v>
      </c>
      <c r="I2677" t="s">
        <v>120</v>
      </c>
      <c r="J2677">
        <v>19</v>
      </c>
      <c r="K2677">
        <v>2692.11</v>
      </c>
      <c r="L2677">
        <v>51150.09</v>
      </c>
      <c r="M2677">
        <v>7372.39</v>
      </c>
      <c r="N2677">
        <v>0</v>
      </c>
      <c r="O2677">
        <v>43777.7</v>
      </c>
      <c r="P2677" t="s">
        <v>32</v>
      </c>
      <c r="Q2677" t="s">
        <v>26</v>
      </c>
    </row>
    <row r="2678" spans="1:17" x14ac:dyDescent="0.25">
      <c r="A2678" t="s">
        <v>2795</v>
      </c>
      <c r="B2678" s="1">
        <v>45978</v>
      </c>
      <c r="C2678" t="s">
        <v>18</v>
      </c>
      <c r="D2678" t="s">
        <v>75</v>
      </c>
      <c r="E2678" t="s">
        <v>20</v>
      </c>
      <c r="F2678" t="s">
        <v>71</v>
      </c>
      <c r="G2678" t="s">
        <v>85</v>
      </c>
      <c r="H2678" t="s">
        <v>67</v>
      </c>
      <c r="I2678" t="s">
        <v>154</v>
      </c>
      <c r="J2678">
        <v>48</v>
      </c>
      <c r="K2678">
        <v>31111</v>
      </c>
      <c r="L2678">
        <v>1493328</v>
      </c>
      <c r="M2678">
        <v>242528.78</v>
      </c>
      <c r="N2678">
        <v>0</v>
      </c>
      <c r="O2678">
        <v>1250799.22</v>
      </c>
      <c r="P2678" t="s">
        <v>31</v>
      </c>
      <c r="Q2678" t="s">
        <v>32</v>
      </c>
    </row>
    <row r="2679" spans="1:17" x14ac:dyDescent="0.25">
      <c r="A2679" t="s">
        <v>2796</v>
      </c>
      <c r="B2679" s="1">
        <v>46031</v>
      </c>
      <c r="C2679" t="s">
        <v>18</v>
      </c>
      <c r="D2679" t="s">
        <v>28</v>
      </c>
      <c r="E2679" t="s">
        <v>49</v>
      </c>
      <c r="F2679" t="s">
        <v>62</v>
      </c>
      <c r="G2679" t="s">
        <v>66</v>
      </c>
      <c r="H2679" t="s">
        <v>57</v>
      </c>
      <c r="I2679" t="s">
        <v>118</v>
      </c>
      <c r="J2679">
        <v>34</v>
      </c>
      <c r="K2679">
        <v>27037.77</v>
      </c>
      <c r="L2679">
        <v>919284.18</v>
      </c>
      <c r="M2679">
        <v>0</v>
      </c>
      <c r="N2679">
        <v>0</v>
      </c>
      <c r="O2679">
        <v>919284.18</v>
      </c>
      <c r="P2679" t="s">
        <v>25</v>
      </c>
      <c r="Q2679" t="s">
        <v>26</v>
      </c>
    </row>
    <row r="2680" spans="1:17" x14ac:dyDescent="0.25">
      <c r="A2680" t="s">
        <v>2797</v>
      </c>
      <c r="B2680" s="1">
        <v>45962</v>
      </c>
      <c r="C2680" t="s">
        <v>60</v>
      </c>
      <c r="D2680" t="s">
        <v>123</v>
      </c>
      <c r="E2680" t="s">
        <v>35</v>
      </c>
      <c r="F2680" t="s">
        <v>84</v>
      </c>
      <c r="G2680" t="s">
        <v>29</v>
      </c>
      <c r="H2680" t="s">
        <v>44</v>
      </c>
      <c r="I2680" t="s">
        <v>141</v>
      </c>
      <c r="J2680">
        <v>17</v>
      </c>
      <c r="K2680">
        <v>38409.269999999997</v>
      </c>
      <c r="L2680">
        <v>652957.59</v>
      </c>
      <c r="M2680">
        <v>1600.34</v>
      </c>
      <c r="N2680">
        <v>0</v>
      </c>
      <c r="O2680">
        <v>651357.25</v>
      </c>
      <c r="P2680" t="s">
        <v>32</v>
      </c>
      <c r="Q2680" t="s">
        <v>32</v>
      </c>
    </row>
    <row r="2681" spans="1:17" x14ac:dyDescent="0.25">
      <c r="A2681" t="s">
        <v>2798</v>
      </c>
      <c r="B2681" s="1">
        <v>46043</v>
      </c>
      <c r="C2681" t="s">
        <v>54</v>
      </c>
      <c r="D2681" t="s">
        <v>55</v>
      </c>
      <c r="E2681" t="s">
        <v>41</v>
      </c>
      <c r="F2681" t="s">
        <v>137</v>
      </c>
      <c r="G2681" t="s">
        <v>56</v>
      </c>
      <c r="H2681" t="s">
        <v>38</v>
      </c>
      <c r="I2681" t="s">
        <v>82</v>
      </c>
      <c r="J2681">
        <v>26</v>
      </c>
      <c r="K2681">
        <v>4031.94</v>
      </c>
      <c r="L2681">
        <v>104830.44</v>
      </c>
      <c r="M2681">
        <v>6640.79</v>
      </c>
      <c r="N2681">
        <v>0</v>
      </c>
      <c r="O2681">
        <v>98189.65</v>
      </c>
      <c r="P2681" t="s">
        <v>25</v>
      </c>
      <c r="Q2681" t="s">
        <v>26</v>
      </c>
    </row>
    <row r="2682" spans="1:17" x14ac:dyDescent="0.25">
      <c r="A2682" t="s">
        <v>2799</v>
      </c>
      <c r="B2682" s="1">
        <v>46002</v>
      </c>
      <c r="C2682" t="s">
        <v>60</v>
      </c>
      <c r="D2682" t="s">
        <v>61</v>
      </c>
      <c r="E2682" t="s">
        <v>35</v>
      </c>
      <c r="F2682" t="s">
        <v>36</v>
      </c>
      <c r="G2682" t="s">
        <v>56</v>
      </c>
      <c r="H2682" t="s">
        <v>57</v>
      </c>
      <c r="I2682" t="s">
        <v>72</v>
      </c>
      <c r="J2682">
        <v>13</v>
      </c>
      <c r="K2682">
        <v>40598.74</v>
      </c>
      <c r="L2682">
        <v>527783.62</v>
      </c>
      <c r="M2682">
        <v>67049.06</v>
      </c>
      <c r="N2682">
        <v>0</v>
      </c>
      <c r="O2682">
        <v>460734.56</v>
      </c>
      <c r="P2682" t="s">
        <v>73</v>
      </c>
      <c r="Q2682" t="s">
        <v>32</v>
      </c>
    </row>
    <row r="2683" spans="1:17" x14ac:dyDescent="0.25">
      <c r="A2683" t="s">
        <v>2800</v>
      </c>
      <c r="B2683" s="1">
        <v>45957</v>
      </c>
      <c r="C2683" t="s">
        <v>60</v>
      </c>
      <c r="D2683" t="s">
        <v>151</v>
      </c>
      <c r="E2683" t="s">
        <v>49</v>
      </c>
      <c r="F2683" t="s">
        <v>71</v>
      </c>
      <c r="G2683" t="s">
        <v>140</v>
      </c>
      <c r="H2683" t="s">
        <v>38</v>
      </c>
      <c r="I2683" t="s">
        <v>82</v>
      </c>
      <c r="J2683">
        <v>28</v>
      </c>
      <c r="K2683">
        <v>3708.76</v>
      </c>
      <c r="L2683">
        <v>103845.28</v>
      </c>
      <c r="M2683">
        <v>15595.25</v>
      </c>
      <c r="N2683">
        <v>0</v>
      </c>
      <c r="O2683">
        <v>88250.03</v>
      </c>
      <c r="P2683" t="s">
        <v>25</v>
      </c>
      <c r="Q2683" t="s">
        <v>26</v>
      </c>
    </row>
    <row r="2684" spans="1:17" x14ac:dyDescent="0.25">
      <c r="A2684" t="s">
        <v>2801</v>
      </c>
      <c r="B2684" s="1">
        <v>45964</v>
      </c>
      <c r="C2684" t="s">
        <v>47</v>
      </c>
      <c r="D2684" t="s">
        <v>88</v>
      </c>
      <c r="E2684" t="s">
        <v>49</v>
      </c>
      <c r="F2684" t="s">
        <v>71</v>
      </c>
      <c r="G2684" t="s">
        <v>37</v>
      </c>
      <c r="H2684" t="s">
        <v>44</v>
      </c>
      <c r="I2684" t="s">
        <v>45</v>
      </c>
      <c r="J2684">
        <v>3</v>
      </c>
      <c r="K2684">
        <v>1730.49</v>
      </c>
      <c r="L2684">
        <v>5191.47</v>
      </c>
      <c r="M2684">
        <v>0</v>
      </c>
      <c r="N2684">
        <v>0</v>
      </c>
      <c r="O2684">
        <v>5191.47</v>
      </c>
      <c r="P2684" t="s">
        <v>73</v>
      </c>
      <c r="Q2684" t="s">
        <v>32</v>
      </c>
    </row>
    <row r="2685" spans="1:17" x14ac:dyDescent="0.25">
      <c r="A2685" t="s">
        <v>2802</v>
      </c>
      <c r="B2685" s="1">
        <v>46044</v>
      </c>
      <c r="C2685" t="s">
        <v>47</v>
      </c>
      <c r="D2685" t="s">
        <v>114</v>
      </c>
      <c r="E2685" t="s">
        <v>41</v>
      </c>
      <c r="F2685" t="s">
        <v>36</v>
      </c>
      <c r="G2685" t="s">
        <v>138</v>
      </c>
      <c r="H2685" t="s">
        <v>94</v>
      </c>
      <c r="I2685" t="s">
        <v>177</v>
      </c>
      <c r="J2685">
        <v>22</v>
      </c>
      <c r="K2685">
        <v>45133.65</v>
      </c>
      <c r="L2685">
        <v>992940.3</v>
      </c>
      <c r="M2685">
        <v>63889.25</v>
      </c>
      <c r="N2685">
        <v>0</v>
      </c>
      <c r="O2685">
        <v>929051.05</v>
      </c>
      <c r="P2685" t="s">
        <v>32</v>
      </c>
      <c r="Q2685" t="s">
        <v>26</v>
      </c>
    </row>
    <row r="2686" spans="1:17" x14ac:dyDescent="0.25">
      <c r="A2686" t="s">
        <v>2803</v>
      </c>
      <c r="B2686" s="1">
        <v>45956</v>
      </c>
      <c r="C2686" t="s">
        <v>47</v>
      </c>
      <c r="D2686" t="s">
        <v>48</v>
      </c>
      <c r="E2686" t="s">
        <v>49</v>
      </c>
      <c r="F2686" t="s">
        <v>62</v>
      </c>
      <c r="G2686" t="s">
        <v>140</v>
      </c>
      <c r="H2686" t="s">
        <v>94</v>
      </c>
      <c r="I2686" t="s">
        <v>95</v>
      </c>
      <c r="J2686">
        <v>4</v>
      </c>
      <c r="K2686">
        <v>44793.34</v>
      </c>
      <c r="L2686">
        <v>179173.36</v>
      </c>
      <c r="M2686">
        <v>16470.98</v>
      </c>
      <c r="N2686">
        <v>19448.68</v>
      </c>
      <c r="O2686">
        <v>143253.70000000001</v>
      </c>
      <c r="P2686" t="s">
        <v>73</v>
      </c>
      <c r="Q2686" t="s">
        <v>32</v>
      </c>
    </row>
    <row r="2687" spans="1:17" x14ac:dyDescent="0.25">
      <c r="A2687" t="s">
        <v>2804</v>
      </c>
      <c r="B2687" s="1">
        <v>45967</v>
      </c>
      <c r="C2687" t="s">
        <v>60</v>
      </c>
      <c r="D2687" t="s">
        <v>65</v>
      </c>
      <c r="E2687" t="s">
        <v>20</v>
      </c>
      <c r="F2687" t="s">
        <v>84</v>
      </c>
      <c r="G2687" t="s">
        <v>102</v>
      </c>
      <c r="H2687" t="s">
        <v>57</v>
      </c>
      <c r="I2687" t="s">
        <v>72</v>
      </c>
      <c r="J2687">
        <v>24</v>
      </c>
      <c r="K2687">
        <v>33199.440000000002</v>
      </c>
      <c r="L2687">
        <v>796786.56</v>
      </c>
      <c r="M2687">
        <v>101968.01</v>
      </c>
      <c r="N2687">
        <v>0</v>
      </c>
      <c r="O2687">
        <v>694818.55</v>
      </c>
      <c r="P2687" t="s">
        <v>32</v>
      </c>
      <c r="Q2687" t="s">
        <v>32</v>
      </c>
    </row>
    <row r="2688" spans="1:17" x14ac:dyDescent="0.25">
      <c r="A2688" t="s">
        <v>2805</v>
      </c>
      <c r="B2688" s="1">
        <v>45976</v>
      </c>
      <c r="C2688" t="s">
        <v>79</v>
      </c>
      <c r="D2688" t="s">
        <v>80</v>
      </c>
      <c r="E2688" t="s">
        <v>35</v>
      </c>
      <c r="F2688" t="s">
        <v>50</v>
      </c>
      <c r="G2688" t="s">
        <v>51</v>
      </c>
      <c r="H2688" t="s">
        <v>67</v>
      </c>
      <c r="I2688" t="s">
        <v>154</v>
      </c>
      <c r="J2688">
        <v>47</v>
      </c>
      <c r="K2688">
        <v>4203.37</v>
      </c>
      <c r="L2688">
        <v>197558.39</v>
      </c>
      <c r="M2688">
        <v>0</v>
      </c>
      <c r="N2688">
        <v>0</v>
      </c>
      <c r="O2688">
        <v>197558.39</v>
      </c>
      <c r="P2688" t="s">
        <v>32</v>
      </c>
      <c r="Q2688" t="s">
        <v>26</v>
      </c>
    </row>
    <row r="2689" spans="1:17" x14ac:dyDescent="0.25">
      <c r="A2689" t="s">
        <v>2806</v>
      </c>
      <c r="B2689" s="1">
        <v>46016</v>
      </c>
      <c r="C2689" t="s">
        <v>60</v>
      </c>
      <c r="D2689" t="s">
        <v>123</v>
      </c>
      <c r="E2689" t="s">
        <v>41</v>
      </c>
      <c r="F2689" t="s">
        <v>62</v>
      </c>
      <c r="G2689" t="s">
        <v>51</v>
      </c>
      <c r="H2689" t="s">
        <v>38</v>
      </c>
      <c r="I2689" t="s">
        <v>120</v>
      </c>
      <c r="J2689">
        <v>11</v>
      </c>
      <c r="K2689">
        <v>26408.26</v>
      </c>
      <c r="L2689">
        <v>290490.86</v>
      </c>
      <c r="M2689">
        <v>0</v>
      </c>
      <c r="N2689">
        <v>0</v>
      </c>
      <c r="O2689">
        <v>290490.86</v>
      </c>
      <c r="P2689" t="s">
        <v>32</v>
      </c>
      <c r="Q2689" t="s">
        <v>26</v>
      </c>
    </row>
    <row r="2690" spans="1:17" x14ac:dyDescent="0.25">
      <c r="A2690" t="s">
        <v>2807</v>
      </c>
      <c r="B2690" s="1">
        <v>46033</v>
      </c>
      <c r="C2690" t="s">
        <v>79</v>
      </c>
      <c r="D2690" t="s">
        <v>80</v>
      </c>
      <c r="E2690" t="s">
        <v>41</v>
      </c>
      <c r="F2690" t="s">
        <v>112</v>
      </c>
      <c r="G2690" t="s">
        <v>81</v>
      </c>
      <c r="H2690" t="s">
        <v>57</v>
      </c>
      <c r="I2690" t="s">
        <v>72</v>
      </c>
      <c r="J2690">
        <v>16</v>
      </c>
      <c r="K2690">
        <v>30580.61</v>
      </c>
      <c r="L2690">
        <v>489289.76</v>
      </c>
      <c r="M2690">
        <v>90857.77</v>
      </c>
      <c r="N2690">
        <v>0</v>
      </c>
      <c r="O2690">
        <v>398431.99</v>
      </c>
      <c r="P2690" t="s">
        <v>32</v>
      </c>
      <c r="Q2690" t="s">
        <v>32</v>
      </c>
    </row>
    <row r="2691" spans="1:17" x14ac:dyDescent="0.25">
      <c r="A2691" t="s">
        <v>2808</v>
      </c>
      <c r="B2691" s="1">
        <v>45981</v>
      </c>
      <c r="C2691" t="s">
        <v>47</v>
      </c>
      <c r="D2691" t="s">
        <v>88</v>
      </c>
      <c r="E2691" t="s">
        <v>20</v>
      </c>
      <c r="F2691" t="s">
        <v>42</v>
      </c>
      <c r="G2691" t="s">
        <v>29</v>
      </c>
      <c r="H2691" t="s">
        <v>23</v>
      </c>
      <c r="I2691" t="s">
        <v>52</v>
      </c>
      <c r="J2691">
        <v>40</v>
      </c>
      <c r="K2691">
        <v>11471.7</v>
      </c>
      <c r="L2691">
        <v>458868</v>
      </c>
      <c r="M2691">
        <v>76117.990000000005</v>
      </c>
      <c r="N2691">
        <v>0</v>
      </c>
      <c r="O2691">
        <v>382750.01</v>
      </c>
      <c r="P2691" t="s">
        <v>31</v>
      </c>
      <c r="Q2691" t="s">
        <v>32</v>
      </c>
    </row>
    <row r="2692" spans="1:17" x14ac:dyDescent="0.25">
      <c r="A2692" t="s">
        <v>2809</v>
      </c>
      <c r="B2692" s="1">
        <v>46010</v>
      </c>
      <c r="C2692" t="s">
        <v>47</v>
      </c>
      <c r="D2692" t="s">
        <v>88</v>
      </c>
      <c r="E2692" t="s">
        <v>35</v>
      </c>
      <c r="F2692" t="s">
        <v>137</v>
      </c>
      <c r="G2692" t="s">
        <v>56</v>
      </c>
      <c r="H2692" t="s">
        <v>44</v>
      </c>
      <c r="I2692" t="s">
        <v>135</v>
      </c>
      <c r="J2692">
        <v>37</v>
      </c>
      <c r="K2692">
        <v>37398.800000000003</v>
      </c>
      <c r="L2692">
        <v>1383755.6</v>
      </c>
      <c r="M2692">
        <v>84167.83</v>
      </c>
      <c r="N2692">
        <v>0</v>
      </c>
      <c r="O2692">
        <v>1299587.77</v>
      </c>
      <c r="P2692" t="s">
        <v>31</v>
      </c>
      <c r="Q2692" t="s">
        <v>32</v>
      </c>
    </row>
    <row r="2693" spans="1:17" x14ac:dyDescent="0.25">
      <c r="A2693" t="s">
        <v>2810</v>
      </c>
      <c r="B2693" s="1">
        <v>45971</v>
      </c>
      <c r="C2693" t="s">
        <v>79</v>
      </c>
      <c r="D2693" t="s">
        <v>80</v>
      </c>
      <c r="E2693" t="s">
        <v>49</v>
      </c>
      <c r="F2693" t="s">
        <v>21</v>
      </c>
      <c r="G2693" t="s">
        <v>81</v>
      </c>
      <c r="H2693" t="s">
        <v>38</v>
      </c>
      <c r="I2693" t="s">
        <v>82</v>
      </c>
      <c r="J2693">
        <v>30</v>
      </c>
      <c r="K2693">
        <v>11640.18</v>
      </c>
      <c r="L2693">
        <v>349205.4</v>
      </c>
      <c r="M2693">
        <v>1245.4000000000001</v>
      </c>
      <c r="N2693">
        <v>0</v>
      </c>
      <c r="O2693">
        <v>347960</v>
      </c>
      <c r="P2693" t="s">
        <v>73</v>
      </c>
      <c r="Q2693" t="s">
        <v>32</v>
      </c>
    </row>
    <row r="2694" spans="1:17" x14ac:dyDescent="0.25">
      <c r="A2694" t="s">
        <v>2811</v>
      </c>
      <c r="B2694" s="1">
        <v>45984</v>
      </c>
      <c r="C2694" t="s">
        <v>79</v>
      </c>
      <c r="D2694" t="s">
        <v>107</v>
      </c>
      <c r="E2694" t="s">
        <v>20</v>
      </c>
      <c r="F2694" t="s">
        <v>21</v>
      </c>
      <c r="G2694" t="s">
        <v>51</v>
      </c>
      <c r="H2694" t="s">
        <v>94</v>
      </c>
      <c r="I2694" t="s">
        <v>144</v>
      </c>
      <c r="J2694">
        <v>41</v>
      </c>
      <c r="K2694">
        <v>23604.26</v>
      </c>
      <c r="L2694">
        <v>967774.66</v>
      </c>
      <c r="M2694">
        <v>0</v>
      </c>
      <c r="N2694">
        <v>0</v>
      </c>
      <c r="O2694">
        <v>967774.66</v>
      </c>
      <c r="P2694" t="s">
        <v>73</v>
      </c>
      <c r="Q2694" t="s">
        <v>32</v>
      </c>
    </row>
    <row r="2695" spans="1:17" x14ac:dyDescent="0.25">
      <c r="A2695" t="s">
        <v>2812</v>
      </c>
      <c r="B2695" s="1">
        <v>46040</v>
      </c>
      <c r="C2695" t="s">
        <v>47</v>
      </c>
      <c r="D2695" t="s">
        <v>114</v>
      </c>
      <c r="E2695" t="s">
        <v>35</v>
      </c>
      <c r="F2695" t="s">
        <v>137</v>
      </c>
      <c r="G2695" t="s">
        <v>63</v>
      </c>
      <c r="H2695" t="s">
        <v>57</v>
      </c>
      <c r="I2695" t="s">
        <v>148</v>
      </c>
      <c r="J2695">
        <v>35</v>
      </c>
      <c r="K2695">
        <v>15752.51</v>
      </c>
      <c r="L2695">
        <v>551337.85</v>
      </c>
      <c r="M2695">
        <v>0</v>
      </c>
      <c r="N2695">
        <v>0</v>
      </c>
      <c r="O2695">
        <v>551337.85</v>
      </c>
      <c r="P2695" t="s">
        <v>73</v>
      </c>
      <c r="Q2695" t="s">
        <v>32</v>
      </c>
    </row>
    <row r="2696" spans="1:17" x14ac:dyDescent="0.25">
      <c r="A2696" t="s">
        <v>2813</v>
      </c>
      <c r="B2696" s="1">
        <v>46034</v>
      </c>
      <c r="C2696" t="s">
        <v>79</v>
      </c>
      <c r="D2696" t="s">
        <v>80</v>
      </c>
      <c r="E2696" t="s">
        <v>20</v>
      </c>
      <c r="F2696" t="s">
        <v>112</v>
      </c>
      <c r="G2696" t="s">
        <v>81</v>
      </c>
      <c r="H2696" t="s">
        <v>67</v>
      </c>
      <c r="I2696" t="s">
        <v>68</v>
      </c>
      <c r="J2696">
        <v>40</v>
      </c>
      <c r="K2696">
        <v>5139.67</v>
      </c>
      <c r="L2696">
        <v>205586.8</v>
      </c>
      <c r="M2696">
        <v>0</v>
      </c>
      <c r="N2696">
        <v>0</v>
      </c>
      <c r="O2696">
        <v>205586.8</v>
      </c>
      <c r="P2696" t="s">
        <v>25</v>
      </c>
      <c r="Q2696" t="s">
        <v>26</v>
      </c>
    </row>
    <row r="2697" spans="1:17" x14ac:dyDescent="0.25">
      <c r="A2697" t="s">
        <v>2814</v>
      </c>
      <c r="B2697" s="1">
        <v>45987</v>
      </c>
      <c r="C2697" t="s">
        <v>47</v>
      </c>
      <c r="D2697" t="s">
        <v>48</v>
      </c>
      <c r="E2697" t="s">
        <v>35</v>
      </c>
      <c r="F2697" t="s">
        <v>112</v>
      </c>
      <c r="G2697" t="s">
        <v>89</v>
      </c>
      <c r="H2697" t="s">
        <v>57</v>
      </c>
      <c r="I2697" t="s">
        <v>118</v>
      </c>
      <c r="J2697">
        <v>17</v>
      </c>
      <c r="K2697">
        <v>15432.58</v>
      </c>
      <c r="L2697">
        <v>262353.86</v>
      </c>
      <c r="M2697">
        <v>17201.330000000002</v>
      </c>
      <c r="N2697">
        <v>0</v>
      </c>
      <c r="O2697">
        <v>245152.53</v>
      </c>
      <c r="P2697" t="s">
        <v>32</v>
      </c>
      <c r="Q2697" t="s">
        <v>32</v>
      </c>
    </row>
    <row r="2698" spans="1:17" x14ac:dyDescent="0.25">
      <c r="A2698" t="s">
        <v>2815</v>
      </c>
      <c r="B2698" s="1">
        <v>46036</v>
      </c>
      <c r="C2698" t="s">
        <v>18</v>
      </c>
      <c r="D2698" t="s">
        <v>34</v>
      </c>
      <c r="E2698" t="s">
        <v>35</v>
      </c>
      <c r="F2698" t="s">
        <v>50</v>
      </c>
      <c r="G2698" t="s">
        <v>43</v>
      </c>
      <c r="H2698" t="s">
        <v>44</v>
      </c>
      <c r="I2698" t="s">
        <v>141</v>
      </c>
      <c r="J2698">
        <v>10</v>
      </c>
      <c r="K2698">
        <v>28280.71</v>
      </c>
      <c r="L2698">
        <v>282807.09999999998</v>
      </c>
      <c r="M2698">
        <v>44292.87</v>
      </c>
      <c r="N2698">
        <v>0</v>
      </c>
      <c r="O2698">
        <v>238514.23</v>
      </c>
      <c r="P2698" t="s">
        <v>32</v>
      </c>
      <c r="Q2698" t="s">
        <v>26</v>
      </c>
    </row>
    <row r="2699" spans="1:17" x14ac:dyDescent="0.25">
      <c r="A2699" t="s">
        <v>2816</v>
      </c>
      <c r="B2699" s="1">
        <v>46001</v>
      </c>
      <c r="C2699" t="s">
        <v>54</v>
      </c>
      <c r="D2699" t="s">
        <v>133</v>
      </c>
      <c r="E2699" t="s">
        <v>20</v>
      </c>
      <c r="F2699" t="s">
        <v>84</v>
      </c>
      <c r="G2699" t="s">
        <v>138</v>
      </c>
      <c r="H2699" t="s">
        <v>38</v>
      </c>
      <c r="I2699" t="s">
        <v>82</v>
      </c>
      <c r="J2699">
        <v>46</v>
      </c>
      <c r="K2699">
        <v>38809.64</v>
      </c>
      <c r="L2699">
        <v>1785243.44</v>
      </c>
      <c r="M2699">
        <v>59446.74</v>
      </c>
      <c r="N2699">
        <v>0</v>
      </c>
      <c r="O2699">
        <v>1725796.7</v>
      </c>
      <c r="P2699" t="s">
        <v>73</v>
      </c>
      <c r="Q2699" t="s">
        <v>26</v>
      </c>
    </row>
    <row r="2700" spans="1:17" x14ac:dyDescent="0.25">
      <c r="A2700" t="s">
        <v>2817</v>
      </c>
      <c r="B2700" s="1">
        <v>46039</v>
      </c>
      <c r="C2700" t="s">
        <v>47</v>
      </c>
      <c r="D2700" t="s">
        <v>114</v>
      </c>
      <c r="E2700" t="s">
        <v>49</v>
      </c>
      <c r="F2700" t="s">
        <v>36</v>
      </c>
      <c r="G2700" t="s">
        <v>51</v>
      </c>
      <c r="H2700" t="s">
        <v>44</v>
      </c>
      <c r="I2700" t="s">
        <v>141</v>
      </c>
      <c r="J2700">
        <v>16</v>
      </c>
      <c r="K2700">
        <v>47915.13</v>
      </c>
      <c r="L2700">
        <v>766642.08</v>
      </c>
      <c r="M2700">
        <v>106825.29</v>
      </c>
      <c r="N2700">
        <v>0</v>
      </c>
      <c r="O2700">
        <v>659816.79</v>
      </c>
      <c r="P2700" t="s">
        <v>31</v>
      </c>
      <c r="Q2700" t="s">
        <v>32</v>
      </c>
    </row>
    <row r="2701" spans="1:17" x14ac:dyDescent="0.25">
      <c r="A2701" t="s">
        <v>2818</v>
      </c>
      <c r="B2701" s="1">
        <v>46018</v>
      </c>
      <c r="C2701" t="s">
        <v>18</v>
      </c>
      <c r="D2701" t="s">
        <v>19</v>
      </c>
      <c r="E2701" t="s">
        <v>20</v>
      </c>
      <c r="F2701" t="s">
        <v>42</v>
      </c>
      <c r="G2701" t="s">
        <v>22</v>
      </c>
      <c r="H2701" t="s">
        <v>67</v>
      </c>
      <c r="I2701" t="s">
        <v>154</v>
      </c>
      <c r="J2701">
        <v>28</v>
      </c>
      <c r="K2701">
        <v>3638.34</v>
      </c>
      <c r="L2701">
        <v>101873.52</v>
      </c>
      <c r="M2701">
        <v>0</v>
      </c>
      <c r="N2701">
        <v>0</v>
      </c>
      <c r="O2701">
        <v>101873.52</v>
      </c>
      <c r="P2701" t="s">
        <v>31</v>
      </c>
      <c r="Q2701" t="s">
        <v>32</v>
      </c>
    </row>
    <row r="2702" spans="1:17" x14ac:dyDescent="0.25">
      <c r="A2702" t="s">
        <v>2819</v>
      </c>
      <c r="B2702" s="1">
        <v>45954</v>
      </c>
      <c r="C2702" t="s">
        <v>54</v>
      </c>
      <c r="D2702" t="s">
        <v>97</v>
      </c>
      <c r="E2702" t="s">
        <v>20</v>
      </c>
      <c r="F2702" t="s">
        <v>50</v>
      </c>
      <c r="G2702" t="s">
        <v>29</v>
      </c>
      <c r="H2702" t="s">
        <v>94</v>
      </c>
      <c r="I2702" t="s">
        <v>95</v>
      </c>
      <c r="J2702">
        <v>35</v>
      </c>
      <c r="K2702">
        <v>44285.84</v>
      </c>
      <c r="L2702">
        <v>1550004.4</v>
      </c>
      <c r="M2702">
        <v>0</v>
      </c>
      <c r="N2702">
        <v>0</v>
      </c>
      <c r="O2702">
        <v>1550004.4</v>
      </c>
      <c r="P2702" t="s">
        <v>32</v>
      </c>
      <c r="Q2702" t="s">
        <v>26</v>
      </c>
    </row>
    <row r="2703" spans="1:17" x14ac:dyDescent="0.25">
      <c r="A2703" t="s">
        <v>2820</v>
      </c>
      <c r="B2703" s="1">
        <v>45974</v>
      </c>
      <c r="C2703" t="s">
        <v>47</v>
      </c>
      <c r="D2703" t="s">
        <v>48</v>
      </c>
      <c r="E2703" t="s">
        <v>35</v>
      </c>
      <c r="F2703" t="s">
        <v>137</v>
      </c>
      <c r="G2703" t="s">
        <v>85</v>
      </c>
      <c r="H2703" t="s">
        <v>94</v>
      </c>
      <c r="I2703" t="s">
        <v>193</v>
      </c>
      <c r="J2703">
        <v>26</v>
      </c>
      <c r="K2703">
        <v>18500.66</v>
      </c>
      <c r="L2703">
        <v>481017.16</v>
      </c>
      <c r="M2703">
        <v>78497.25</v>
      </c>
      <c r="N2703">
        <v>56312.91</v>
      </c>
      <c r="O2703">
        <v>346207</v>
      </c>
      <c r="P2703" t="s">
        <v>31</v>
      </c>
      <c r="Q2703" t="s">
        <v>32</v>
      </c>
    </row>
    <row r="2704" spans="1:17" x14ac:dyDescent="0.25">
      <c r="A2704" t="s">
        <v>2821</v>
      </c>
      <c r="B2704" s="1">
        <v>45979</v>
      </c>
      <c r="C2704" t="s">
        <v>47</v>
      </c>
      <c r="D2704" t="s">
        <v>88</v>
      </c>
      <c r="E2704" t="s">
        <v>20</v>
      </c>
      <c r="F2704" t="s">
        <v>21</v>
      </c>
      <c r="G2704" t="s">
        <v>89</v>
      </c>
      <c r="H2704" t="s">
        <v>23</v>
      </c>
      <c r="I2704" t="s">
        <v>131</v>
      </c>
      <c r="J2704">
        <v>15</v>
      </c>
      <c r="K2704">
        <v>18209.830000000002</v>
      </c>
      <c r="L2704">
        <v>273147.45</v>
      </c>
      <c r="M2704">
        <v>37143.230000000003</v>
      </c>
      <c r="N2704">
        <v>40902.720000000001</v>
      </c>
      <c r="O2704">
        <v>195101.5</v>
      </c>
      <c r="P2704" t="s">
        <v>25</v>
      </c>
      <c r="Q2704" t="s">
        <v>32</v>
      </c>
    </row>
    <row r="2705" spans="1:17" x14ac:dyDescent="0.25">
      <c r="A2705" t="s">
        <v>2822</v>
      </c>
      <c r="B2705" s="1">
        <v>46031</v>
      </c>
      <c r="C2705" t="s">
        <v>60</v>
      </c>
      <c r="D2705" t="s">
        <v>61</v>
      </c>
      <c r="E2705" t="s">
        <v>41</v>
      </c>
      <c r="F2705" t="s">
        <v>42</v>
      </c>
      <c r="G2705" t="s">
        <v>102</v>
      </c>
      <c r="H2705" t="s">
        <v>67</v>
      </c>
      <c r="I2705" t="s">
        <v>154</v>
      </c>
      <c r="J2705">
        <v>34</v>
      </c>
      <c r="K2705">
        <v>1967.6</v>
      </c>
      <c r="L2705">
        <v>66898.399999999994</v>
      </c>
      <c r="M2705">
        <v>0</v>
      </c>
      <c r="N2705">
        <v>0</v>
      </c>
      <c r="O2705">
        <v>66898.399999999994</v>
      </c>
      <c r="P2705" t="s">
        <v>73</v>
      </c>
      <c r="Q2705" t="s">
        <v>26</v>
      </c>
    </row>
    <row r="2706" spans="1:17" x14ac:dyDescent="0.25">
      <c r="A2706" t="s">
        <v>2823</v>
      </c>
      <c r="B2706" s="1">
        <v>46034</v>
      </c>
      <c r="C2706" t="s">
        <v>60</v>
      </c>
      <c r="D2706" t="s">
        <v>151</v>
      </c>
      <c r="E2706" t="s">
        <v>49</v>
      </c>
      <c r="F2706" t="s">
        <v>105</v>
      </c>
      <c r="G2706" t="s">
        <v>81</v>
      </c>
      <c r="H2706" t="s">
        <v>94</v>
      </c>
      <c r="I2706" t="s">
        <v>193</v>
      </c>
      <c r="J2706">
        <v>2</v>
      </c>
      <c r="K2706">
        <v>25511.3</v>
      </c>
      <c r="L2706">
        <v>51022.6</v>
      </c>
      <c r="M2706">
        <v>5243.64</v>
      </c>
      <c r="N2706">
        <v>0</v>
      </c>
      <c r="O2706">
        <v>45778.96</v>
      </c>
      <c r="P2706" t="s">
        <v>32</v>
      </c>
      <c r="Q2706" t="s">
        <v>32</v>
      </c>
    </row>
    <row r="2707" spans="1:17" x14ac:dyDescent="0.25">
      <c r="A2707" t="s">
        <v>2824</v>
      </c>
      <c r="B2707" s="1">
        <v>46035</v>
      </c>
      <c r="C2707" t="s">
        <v>54</v>
      </c>
      <c r="D2707" t="s">
        <v>55</v>
      </c>
      <c r="E2707" t="s">
        <v>41</v>
      </c>
      <c r="F2707" t="s">
        <v>71</v>
      </c>
      <c r="G2707" t="s">
        <v>140</v>
      </c>
      <c r="H2707" t="s">
        <v>23</v>
      </c>
      <c r="I2707" t="s">
        <v>110</v>
      </c>
      <c r="J2707">
        <v>34</v>
      </c>
      <c r="K2707">
        <v>42281.8</v>
      </c>
      <c r="L2707">
        <v>1437581.2</v>
      </c>
      <c r="M2707">
        <v>0</v>
      </c>
      <c r="N2707">
        <v>415507.18</v>
      </c>
      <c r="O2707">
        <v>1022074.02</v>
      </c>
      <c r="P2707" t="s">
        <v>73</v>
      </c>
      <c r="Q2707" t="s">
        <v>32</v>
      </c>
    </row>
    <row r="2708" spans="1:17" x14ac:dyDescent="0.25">
      <c r="A2708" t="s">
        <v>2825</v>
      </c>
      <c r="B2708" s="1">
        <v>45956</v>
      </c>
      <c r="C2708" t="s">
        <v>79</v>
      </c>
      <c r="D2708" t="s">
        <v>101</v>
      </c>
      <c r="E2708" t="s">
        <v>49</v>
      </c>
      <c r="F2708" t="s">
        <v>50</v>
      </c>
      <c r="G2708" t="s">
        <v>37</v>
      </c>
      <c r="H2708" t="s">
        <v>38</v>
      </c>
      <c r="I2708" t="s">
        <v>82</v>
      </c>
      <c r="J2708">
        <v>22</v>
      </c>
      <c r="K2708">
        <v>10804</v>
      </c>
      <c r="L2708">
        <v>237688</v>
      </c>
      <c r="M2708">
        <v>24581.64</v>
      </c>
      <c r="N2708">
        <v>0</v>
      </c>
      <c r="O2708">
        <v>213106.36</v>
      </c>
      <c r="P2708" t="s">
        <v>73</v>
      </c>
      <c r="Q2708" t="s">
        <v>32</v>
      </c>
    </row>
    <row r="2709" spans="1:17" x14ac:dyDescent="0.25">
      <c r="A2709" t="s">
        <v>2826</v>
      </c>
      <c r="B2709" s="1">
        <v>45983</v>
      </c>
      <c r="C2709" t="s">
        <v>18</v>
      </c>
      <c r="D2709" t="s">
        <v>75</v>
      </c>
      <c r="E2709" t="s">
        <v>41</v>
      </c>
      <c r="F2709" t="s">
        <v>71</v>
      </c>
      <c r="G2709" t="s">
        <v>140</v>
      </c>
      <c r="H2709" t="s">
        <v>23</v>
      </c>
      <c r="I2709" t="s">
        <v>24</v>
      </c>
      <c r="J2709">
        <v>5</v>
      </c>
      <c r="K2709">
        <v>19086.07</v>
      </c>
      <c r="L2709">
        <v>95430.35</v>
      </c>
      <c r="M2709">
        <v>17071.52</v>
      </c>
      <c r="N2709">
        <v>0</v>
      </c>
      <c r="O2709">
        <v>78358.83</v>
      </c>
      <c r="P2709" t="s">
        <v>25</v>
      </c>
      <c r="Q2709" t="s">
        <v>26</v>
      </c>
    </row>
    <row r="2710" spans="1:17" x14ac:dyDescent="0.25">
      <c r="A2710" t="s">
        <v>2827</v>
      </c>
      <c r="B2710" s="1">
        <v>46002</v>
      </c>
      <c r="C2710" t="s">
        <v>60</v>
      </c>
      <c r="D2710" t="s">
        <v>65</v>
      </c>
      <c r="E2710" t="s">
        <v>20</v>
      </c>
      <c r="F2710" t="s">
        <v>112</v>
      </c>
      <c r="G2710" t="s">
        <v>98</v>
      </c>
      <c r="H2710" t="s">
        <v>44</v>
      </c>
      <c r="I2710" t="s">
        <v>141</v>
      </c>
      <c r="J2710">
        <v>20</v>
      </c>
      <c r="K2710">
        <v>30227.38</v>
      </c>
      <c r="L2710">
        <v>604547.6</v>
      </c>
      <c r="M2710">
        <v>9403.36</v>
      </c>
      <c r="N2710">
        <v>0</v>
      </c>
      <c r="O2710">
        <v>595144.24</v>
      </c>
      <c r="P2710" t="s">
        <v>32</v>
      </c>
      <c r="Q2710" t="s">
        <v>32</v>
      </c>
    </row>
    <row r="2711" spans="1:17" x14ac:dyDescent="0.25">
      <c r="A2711" t="s">
        <v>2828</v>
      </c>
      <c r="B2711" s="1">
        <v>46001</v>
      </c>
      <c r="C2711" t="s">
        <v>79</v>
      </c>
      <c r="D2711" t="s">
        <v>80</v>
      </c>
      <c r="E2711" t="s">
        <v>20</v>
      </c>
      <c r="F2711" t="s">
        <v>42</v>
      </c>
      <c r="G2711" t="s">
        <v>81</v>
      </c>
      <c r="H2711" t="s">
        <v>23</v>
      </c>
      <c r="I2711" t="s">
        <v>131</v>
      </c>
      <c r="J2711">
        <v>5</v>
      </c>
      <c r="K2711">
        <v>19284.28</v>
      </c>
      <c r="L2711">
        <v>96421.4</v>
      </c>
      <c r="M2711">
        <v>0</v>
      </c>
      <c r="N2711">
        <v>16427.830000000002</v>
      </c>
      <c r="O2711">
        <v>79993.570000000007</v>
      </c>
      <c r="P2711" t="s">
        <v>32</v>
      </c>
      <c r="Q2711" t="s">
        <v>32</v>
      </c>
    </row>
    <row r="2712" spans="1:17" x14ac:dyDescent="0.25">
      <c r="A2712" t="s">
        <v>2829</v>
      </c>
      <c r="B2712" s="1">
        <v>46028</v>
      </c>
      <c r="C2712" t="s">
        <v>18</v>
      </c>
      <c r="D2712" t="s">
        <v>34</v>
      </c>
      <c r="E2712" t="s">
        <v>49</v>
      </c>
      <c r="F2712" t="s">
        <v>84</v>
      </c>
      <c r="G2712" t="s">
        <v>56</v>
      </c>
      <c r="H2712" t="s">
        <v>38</v>
      </c>
      <c r="I2712" t="s">
        <v>82</v>
      </c>
      <c r="J2712">
        <v>28</v>
      </c>
      <c r="K2712">
        <v>21151.42</v>
      </c>
      <c r="L2712">
        <v>592239.76</v>
      </c>
      <c r="M2712">
        <v>0</v>
      </c>
      <c r="N2712">
        <v>0</v>
      </c>
      <c r="O2712">
        <v>592239.76</v>
      </c>
      <c r="P2712" t="s">
        <v>31</v>
      </c>
      <c r="Q2712" t="s">
        <v>32</v>
      </c>
    </row>
    <row r="2713" spans="1:17" x14ac:dyDescent="0.25">
      <c r="A2713" t="s">
        <v>2830</v>
      </c>
      <c r="B2713" s="1">
        <v>46045</v>
      </c>
      <c r="C2713" t="s">
        <v>79</v>
      </c>
      <c r="D2713" t="s">
        <v>80</v>
      </c>
      <c r="E2713" t="s">
        <v>49</v>
      </c>
      <c r="F2713" t="s">
        <v>50</v>
      </c>
      <c r="G2713" t="s">
        <v>98</v>
      </c>
      <c r="H2713" t="s">
        <v>94</v>
      </c>
      <c r="I2713" t="s">
        <v>177</v>
      </c>
      <c r="J2713">
        <v>20</v>
      </c>
      <c r="K2713">
        <v>8827.08</v>
      </c>
      <c r="L2713">
        <v>176541.6</v>
      </c>
      <c r="M2713">
        <v>0</v>
      </c>
      <c r="N2713">
        <v>49213.54</v>
      </c>
      <c r="O2713">
        <v>127328.06</v>
      </c>
      <c r="P2713" t="s">
        <v>31</v>
      </c>
      <c r="Q2713" t="s">
        <v>32</v>
      </c>
    </row>
    <row r="2714" spans="1:17" x14ac:dyDescent="0.25">
      <c r="A2714" t="s">
        <v>2831</v>
      </c>
      <c r="B2714" s="1">
        <v>46043</v>
      </c>
      <c r="C2714" t="s">
        <v>60</v>
      </c>
      <c r="D2714" t="s">
        <v>123</v>
      </c>
      <c r="E2714" t="s">
        <v>35</v>
      </c>
      <c r="F2714" t="s">
        <v>84</v>
      </c>
      <c r="G2714" t="s">
        <v>66</v>
      </c>
      <c r="H2714" t="s">
        <v>44</v>
      </c>
      <c r="I2714" t="s">
        <v>152</v>
      </c>
      <c r="J2714">
        <v>39</v>
      </c>
      <c r="K2714">
        <v>42605.57</v>
      </c>
      <c r="L2714">
        <v>1661617.23</v>
      </c>
      <c r="M2714">
        <v>118688.51</v>
      </c>
      <c r="N2714">
        <v>0</v>
      </c>
      <c r="O2714">
        <v>1542928.72</v>
      </c>
      <c r="P2714" t="s">
        <v>31</v>
      </c>
      <c r="Q2714" t="s">
        <v>32</v>
      </c>
    </row>
    <row r="2715" spans="1:17" x14ac:dyDescent="0.25">
      <c r="A2715" t="s">
        <v>2832</v>
      </c>
      <c r="B2715" s="1">
        <v>45996</v>
      </c>
      <c r="C2715" t="s">
        <v>60</v>
      </c>
      <c r="D2715" t="s">
        <v>123</v>
      </c>
      <c r="E2715" t="s">
        <v>49</v>
      </c>
      <c r="F2715" t="s">
        <v>50</v>
      </c>
      <c r="G2715" t="s">
        <v>51</v>
      </c>
      <c r="H2715" t="s">
        <v>23</v>
      </c>
      <c r="I2715" t="s">
        <v>131</v>
      </c>
      <c r="J2715">
        <v>26</v>
      </c>
      <c r="K2715">
        <v>17281.939999999999</v>
      </c>
      <c r="L2715">
        <v>449330.44</v>
      </c>
      <c r="M2715">
        <v>66776.56</v>
      </c>
      <c r="N2715">
        <v>0</v>
      </c>
      <c r="O2715">
        <v>382553.88</v>
      </c>
      <c r="P2715" t="s">
        <v>32</v>
      </c>
      <c r="Q2715" t="s">
        <v>26</v>
      </c>
    </row>
    <row r="2716" spans="1:17" x14ac:dyDescent="0.25">
      <c r="A2716" t="s">
        <v>2833</v>
      </c>
      <c r="B2716" s="1">
        <v>46042</v>
      </c>
      <c r="C2716" t="s">
        <v>18</v>
      </c>
      <c r="D2716" t="s">
        <v>19</v>
      </c>
      <c r="E2716" t="s">
        <v>20</v>
      </c>
      <c r="F2716" t="s">
        <v>21</v>
      </c>
      <c r="G2716" t="s">
        <v>138</v>
      </c>
      <c r="H2716" t="s">
        <v>67</v>
      </c>
      <c r="I2716" t="s">
        <v>170</v>
      </c>
      <c r="J2716">
        <v>47</v>
      </c>
      <c r="K2716">
        <v>18445.810000000001</v>
      </c>
      <c r="L2716">
        <v>866953.07</v>
      </c>
      <c r="M2716">
        <v>29247.54</v>
      </c>
      <c r="N2716">
        <v>0</v>
      </c>
      <c r="O2716">
        <v>837705.53</v>
      </c>
      <c r="P2716" t="s">
        <v>25</v>
      </c>
      <c r="Q2716" t="s">
        <v>26</v>
      </c>
    </row>
    <row r="2717" spans="1:17" x14ac:dyDescent="0.25">
      <c r="A2717" t="s">
        <v>2834</v>
      </c>
      <c r="B2717" s="1">
        <v>46041</v>
      </c>
      <c r="C2717" t="s">
        <v>60</v>
      </c>
      <c r="D2717" t="s">
        <v>123</v>
      </c>
      <c r="E2717" t="s">
        <v>35</v>
      </c>
      <c r="F2717" t="s">
        <v>50</v>
      </c>
      <c r="G2717" t="s">
        <v>22</v>
      </c>
      <c r="H2717" t="s">
        <v>67</v>
      </c>
      <c r="I2717" t="s">
        <v>77</v>
      </c>
      <c r="J2717">
        <v>5</v>
      </c>
      <c r="K2717">
        <v>2899.06</v>
      </c>
      <c r="L2717">
        <v>14495.3</v>
      </c>
      <c r="M2717">
        <v>1568.14</v>
      </c>
      <c r="N2717">
        <v>0</v>
      </c>
      <c r="O2717">
        <v>12927.16</v>
      </c>
      <c r="P2717" t="s">
        <v>32</v>
      </c>
      <c r="Q2717" t="s">
        <v>32</v>
      </c>
    </row>
    <row r="2718" spans="1:17" x14ac:dyDescent="0.25">
      <c r="A2718" t="s">
        <v>2835</v>
      </c>
      <c r="B2718" s="1">
        <v>45983</v>
      </c>
      <c r="C2718" t="s">
        <v>54</v>
      </c>
      <c r="D2718" t="s">
        <v>55</v>
      </c>
      <c r="E2718" t="s">
        <v>35</v>
      </c>
      <c r="F2718" t="s">
        <v>112</v>
      </c>
      <c r="G2718" t="s">
        <v>89</v>
      </c>
      <c r="H2718" t="s">
        <v>38</v>
      </c>
      <c r="I2718" t="s">
        <v>120</v>
      </c>
      <c r="J2718">
        <v>49</v>
      </c>
      <c r="K2718">
        <v>16326.11</v>
      </c>
      <c r="L2718">
        <v>799979.39</v>
      </c>
      <c r="M2718">
        <v>0</v>
      </c>
      <c r="N2718">
        <v>0</v>
      </c>
      <c r="O2718">
        <v>799979.39</v>
      </c>
      <c r="P2718" t="s">
        <v>31</v>
      </c>
      <c r="Q2718" t="s">
        <v>32</v>
      </c>
    </row>
    <row r="2719" spans="1:17" x14ac:dyDescent="0.25">
      <c r="A2719" t="s">
        <v>2836</v>
      </c>
      <c r="B2719" s="1">
        <v>45982</v>
      </c>
      <c r="C2719" t="s">
        <v>54</v>
      </c>
      <c r="D2719" t="s">
        <v>133</v>
      </c>
      <c r="E2719" t="s">
        <v>49</v>
      </c>
      <c r="F2719" t="s">
        <v>105</v>
      </c>
      <c r="G2719" t="s">
        <v>66</v>
      </c>
      <c r="H2719" t="s">
        <v>94</v>
      </c>
      <c r="I2719" t="s">
        <v>144</v>
      </c>
      <c r="J2719">
        <v>29</v>
      </c>
      <c r="K2719">
        <v>43565.62</v>
      </c>
      <c r="L2719">
        <v>1263402.98</v>
      </c>
      <c r="M2719">
        <v>118922.23</v>
      </c>
      <c r="N2719">
        <v>0</v>
      </c>
      <c r="O2719">
        <v>1144480.75</v>
      </c>
      <c r="P2719" t="s">
        <v>31</v>
      </c>
      <c r="Q2719" t="s">
        <v>32</v>
      </c>
    </row>
    <row r="2720" spans="1:17" x14ac:dyDescent="0.25">
      <c r="A2720" t="s">
        <v>2837</v>
      </c>
      <c r="B2720" s="1">
        <v>45986</v>
      </c>
      <c r="C2720" t="s">
        <v>47</v>
      </c>
      <c r="D2720" t="s">
        <v>48</v>
      </c>
      <c r="E2720" t="s">
        <v>49</v>
      </c>
      <c r="F2720" t="s">
        <v>62</v>
      </c>
      <c r="G2720" t="s">
        <v>89</v>
      </c>
      <c r="H2720" t="s">
        <v>57</v>
      </c>
      <c r="I2720" t="s">
        <v>92</v>
      </c>
      <c r="J2720">
        <v>3</v>
      </c>
      <c r="K2720">
        <v>9051.7999999999993</v>
      </c>
      <c r="L2720">
        <v>27155.4</v>
      </c>
      <c r="M2720">
        <v>2252.08</v>
      </c>
      <c r="N2720">
        <v>0</v>
      </c>
      <c r="O2720">
        <v>24903.32</v>
      </c>
      <c r="P2720" t="s">
        <v>32</v>
      </c>
      <c r="Q2720" t="s">
        <v>32</v>
      </c>
    </row>
    <row r="2721" spans="1:17" x14ac:dyDescent="0.25">
      <c r="A2721" t="s">
        <v>2838</v>
      </c>
      <c r="B2721" s="1">
        <v>46006</v>
      </c>
      <c r="C2721" t="s">
        <v>60</v>
      </c>
      <c r="D2721" t="s">
        <v>61</v>
      </c>
      <c r="E2721" t="s">
        <v>35</v>
      </c>
      <c r="F2721" t="s">
        <v>137</v>
      </c>
      <c r="G2721" t="s">
        <v>29</v>
      </c>
      <c r="H2721" t="s">
        <v>23</v>
      </c>
      <c r="I2721" t="s">
        <v>52</v>
      </c>
      <c r="J2721">
        <v>40</v>
      </c>
      <c r="K2721">
        <v>4160.13</v>
      </c>
      <c r="L2721">
        <v>166405.20000000001</v>
      </c>
      <c r="M2721">
        <v>0</v>
      </c>
      <c r="N2721">
        <v>3153.94</v>
      </c>
      <c r="O2721">
        <v>163251.26</v>
      </c>
      <c r="P2721" t="s">
        <v>25</v>
      </c>
      <c r="Q2721" t="s">
        <v>26</v>
      </c>
    </row>
    <row r="2722" spans="1:17" x14ac:dyDescent="0.25">
      <c r="A2722" t="s">
        <v>2839</v>
      </c>
      <c r="B2722" s="1">
        <v>46038</v>
      </c>
      <c r="C2722" t="s">
        <v>18</v>
      </c>
      <c r="D2722" t="s">
        <v>75</v>
      </c>
      <c r="E2722" t="s">
        <v>49</v>
      </c>
      <c r="F2722" t="s">
        <v>137</v>
      </c>
      <c r="G2722" t="s">
        <v>29</v>
      </c>
      <c r="H2722" t="s">
        <v>67</v>
      </c>
      <c r="I2722" t="s">
        <v>77</v>
      </c>
      <c r="J2722">
        <v>2</v>
      </c>
      <c r="K2722">
        <v>47719.87</v>
      </c>
      <c r="L2722">
        <v>95439.74</v>
      </c>
      <c r="M2722">
        <v>1694.15</v>
      </c>
      <c r="N2722">
        <v>17107.64</v>
      </c>
      <c r="O2722">
        <v>76637.95</v>
      </c>
      <c r="P2722" t="s">
        <v>31</v>
      </c>
      <c r="Q2722" t="s">
        <v>32</v>
      </c>
    </row>
    <row r="2723" spans="1:17" x14ac:dyDescent="0.25">
      <c r="A2723" t="s">
        <v>2840</v>
      </c>
      <c r="B2723" s="1">
        <v>46020</v>
      </c>
      <c r="C2723" t="s">
        <v>18</v>
      </c>
      <c r="D2723" t="s">
        <v>75</v>
      </c>
      <c r="E2723" t="s">
        <v>41</v>
      </c>
      <c r="F2723" t="s">
        <v>84</v>
      </c>
      <c r="G2723" t="s">
        <v>29</v>
      </c>
      <c r="H2723" t="s">
        <v>57</v>
      </c>
      <c r="I2723" t="s">
        <v>58</v>
      </c>
      <c r="J2723">
        <v>21</v>
      </c>
      <c r="K2723">
        <v>16890.86</v>
      </c>
      <c r="L2723">
        <v>354708.06</v>
      </c>
      <c r="M2723">
        <v>45646.81</v>
      </c>
      <c r="N2723">
        <v>0</v>
      </c>
      <c r="O2723">
        <v>309061.25</v>
      </c>
      <c r="P2723" t="s">
        <v>73</v>
      </c>
      <c r="Q2723" t="s">
        <v>26</v>
      </c>
    </row>
    <row r="2724" spans="1:17" x14ac:dyDescent="0.25">
      <c r="A2724" t="s">
        <v>2841</v>
      </c>
      <c r="B2724" s="1">
        <v>45956</v>
      </c>
      <c r="C2724" t="s">
        <v>47</v>
      </c>
      <c r="D2724" t="s">
        <v>114</v>
      </c>
      <c r="E2724" t="s">
        <v>49</v>
      </c>
      <c r="F2724" t="s">
        <v>42</v>
      </c>
      <c r="G2724" t="s">
        <v>138</v>
      </c>
      <c r="H2724" t="s">
        <v>23</v>
      </c>
      <c r="I2724" t="s">
        <v>131</v>
      </c>
      <c r="J2724">
        <v>19</v>
      </c>
      <c r="K2724">
        <v>43770.73</v>
      </c>
      <c r="L2724">
        <v>831643.87</v>
      </c>
      <c r="M2724">
        <v>0</v>
      </c>
      <c r="N2724">
        <v>0</v>
      </c>
      <c r="O2724">
        <v>831643.87</v>
      </c>
      <c r="P2724" t="s">
        <v>73</v>
      </c>
      <c r="Q2724" t="s">
        <v>26</v>
      </c>
    </row>
    <row r="2725" spans="1:17" x14ac:dyDescent="0.25">
      <c r="A2725" t="s">
        <v>2842</v>
      </c>
      <c r="B2725" s="1">
        <v>46007</v>
      </c>
      <c r="C2725" t="s">
        <v>54</v>
      </c>
      <c r="D2725" t="s">
        <v>97</v>
      </c>
      <c r="E2725" t="s">
        <v>41</v>
      </c>
      <c r="F2725" t="s">
        <v>137</v>
      </c>
      <c r="G2725" t="s">
        <v>102</v>
      </c>
      <c r="H2725" t="s">
        <v>38</v>
      </c>
      <c r="I2725" t="s">
        <v>120</v>
      </c>
      <c r="J2725">
        <v>28</v>
      </c>
      <c r="K2725">
        <v>47534.36</v>
      </c>
      <c r="L2725">
        <v>1330962.08</v>
      </c>
      <c r="M2725">
        <v>0</v>
      </c>
      <c r="N2725">
        <v>379472.06</v>
      </c>
      <c r="O2725">
        <v>951490.02</v>
      </c>
      <c r="P2725" t="s">
        <v>31</v>
      </c>
      <c r="Q2725" t="s">
        <v>32</v>
      </c>
    </row>
    <row r="2726" spans="1:17" x14ac:dyDescent="0.25">
      <c r="A2726" t="s">
        <v>2843</v>
      </c>
      <c r="B2726" s="1">
        <v>45954</v>
      </c>
      <c r="C2726" t="s">
        <v>79</v>
      </c>
      <c r="D2726" t="s">
        <v>91</v>
      </c>
      <c r="E2726" t="s">
        <v>49</v>
      </c>
      <c r="F2726" t="s">
        <v>84</v>
      </c>
      <c r="G2726" t="s">
        <v>63</v>
      </c>
      <c r="H2726" t="s">
        <v>23</v>
      </c>
      <c r="I2726" t="s">
        <v>131</v>
      </c>
      <c r="J2726">
        <v>9</v>
      </c>
      <c r="K2726">
        <v>13196.27</v>
      </c>
      <c r="L2726">
        <v>118766.43</v>
      </c>
      <c r="M2726">
        <v>20131.03</v>
      </c>
      <c r="N2726">
        <v>0</v>
      </c>
      <c r="O2726">
        <v>98635.4</v>
      </c>
      <c r="P2726" t="s">
        <v>25</v>
      </c>
      <c r="Q2726" t="s">
        <v>26</v>
      </c>
    </row>
    <row r="2727" spans="1:17" x14ac:dyDescent="0.25">
      <c r="A2727" t="s">
        <v>2844</v>
      </c>
      <c r="B2727" s="1">
        <v>45995</v>
      </c>
      <c r="C2727" t="s">
        <v>54</v>
      </c>
      <c r="D2727" t="s">
        <v>97</v>
      </c>
      <c r="E2727" t="s">
        <v>49</v>
      </c>
      <c r="F2727" t="s">
        <v>36</v>
      </c>
      <c r="G2727" t="s">
        <v>43</v>
      </c>
      <c r="H2727" t="s">
        <v>67</v>
      </c>
      <c r="I2727" t="s">
        <v>154</v>
      </c>
      <c r="J2727">
        <v>23</v>
      </c>
      <c r="K2727">
        <v>26057.14</v>
      </c>
      <c r="L2727">
        <v>599314.22</v>
      </c>
      <c r="M2727">
        <v>28161.05</v>
      </c>
      <c r="N2727">
        <v>0</v>
      </c>
      <c r="O2727">
        <v>571153.17000000004</v>
      </c>
      <c r="P2727" t="s">
        <v>32</v>
      </c>
      <c r="Q2727" t="s">
        <v>32</v>
      </c>
    </row>
    <row r="2728" spans="1:17" x14ac:dyDescent="0.25">
      <c r="A2728" t="s">
        <v>2845</v>
      </c>
      <c r="B2728" s="1">
        <v>46045</v>
      </c>
      <c r="C2728" t="s">
        <v>54</v>
      </c>
      <c r="D2728" t="s">
        <v>133</v>
      </c>
      <c r="E2728" t="s">
        <v>41</v>
      </c>
      <c r="F2728" t="s">
        <v>42</v>
      </c>
      <c r="G2728" t="s">
        <v>22</v>
      </c>
      <c r="H2728" t="s">
        <v>44</v>
      </c>
      <c r="I2728" t="s">
        <v>281</v>
      </c>
      <c r="J2728">
        <v>16</v>
      </c>
      <c r="K2728">
        <v>32142.22</v>
      </c>
      <c r="L2728">
        <v>514275.52</v>
      </c>
      <c r="M2728">
        <v>0</v>
      </c>
      <c r="N2728">
        <v>133778.9</v>
      </c>
      <c r="O2728">
        <v>380496.62</v>
      </c>
      <c r="P2728" t="s">
        <v>25</v>
      </c>
      <c r="Q2728" t="s">
        <v>26</v>
      </c>
    </row>
    <row r="2729" spans="1:17" x14ac:dyDescent="0.25">
      <c r="A2729" t="s">
        <v>2846</v>
      </c>
      <c r="B2729" s="1">
        <v>46031</v>
      </c>
      <c r="C2729" t="s">
        <v>60</v>
      </c>
      <c r="D2729" t="s">
        <v>151</v>
      </c>
      <c r="E2729" t="s">
        <v>20</v>
      </c>
      <c r="F2729" t="s">
        <v>137</v>
      </c>
      <c r="G2729" t="s">
        <v>81</v>
      </c>
      <c r="H2729" t="s">
        <v>23</v>
      </c>
      <c r="I2729" t="s">
        <v>131</v>
      </c>
      <c r="J2729">
        <v>43</v>
      </c>
      <c r="K2729">
        <v>703.97</v>
      </c>
      <c r="L2729">
        <v>30270.71</v>
      </c>
      <c r="M2729">
        <v>0</v>
      </c>
      <c r="N2729">
        <v>1188.57</v>
      </c>
      <c r="O2729">
        <v>29082.14</v>
      </c>
      <c r="P2729" t="s">
        <v>32</v>
      </c>
      <c r="Q2729" t="s">
        <v>32</v>
      </c>
    </row>
    <row r="2730" spans="1:17" x14ac:dyDescent="0.25">
      <c r="A2730" t="s">
        <v>2847</v>
      </c>
      <c r="B2730" s="1">
        <v>45979</v>
      </c>
      <c r="C2730" t="s">
        <v>54</v>
      </c>
      <c r="D2730" t="s">
        <v>97</v>
      </c>
      <c r="E2730" t="s">
        <v>41</v>
      </c>
      <c r="F2730" t="s">
        <v>50</v>
      </c>
      <c r="G2730" t="s">
        <v>66</v>
      </c>
      <c r="H2730" t="s">
        <v>57</v>
      </c>
      <c r="I2730" t="s">
        <v>58</v>
      </c>
      <c r="J2730">
        <v>50</v>
      </c>
      <c r="K2730">
        <v>7908.51</v>
      </c>
      <c r="L2730">
        <v>395425.5</v>
      </c>
      <c r="M2730">
        <v>0</v>
      </c>
      <c r="N2730">
        <v>18837.04</v>
      </c>
      <c r="O2730">
        <v>376588.46</v>
      </c>
      <c r="P2730" t="s">
        <v>73</v>
      </c>
      <c r="Q2730" t="s">
        <v>32</v>
      </c>
    </row>
    <row r="2731" spans="1:17" x14ac:dyDescent="0.25">
      <c r="A2731" t="s">
        <v>2848</v>
      </c>
      <c r="B2731" s="1">
        <v>46036</v>
      </c>
      <c r="C2731" t="s">
        <v>18</v>
      </c>
      <c r="D2731" t="s">
        <v>28</v>
      </c>
      <c r="E2731" t="s">
        <v>41</v>
      </c>
      <c r="F2731" t="s">
        <v>71</v>
      </c>
      <c r="G2731" t="s">
        <v>85</v>
      </c>
      <c r="H2731" t="s">
        <v>94</v>
      </c>
      <c r="I2731" t="s">
        <v>163</v>
      </c>
      <c r="J2731">
        <v>39</v>
      </c>
      <c r="K2731">
        <v>49474</v>
      </c>
      <c r="L2731">
        <v>1929486</v>
      </c>
      <c r="M2731">
        <v>0</v>
      </c>
      <c r="N2731">
        <v>0</v>
      </c>
      <c r="O2731">
        <v>1929486</v>
      </c>
      <c r="P2731" t="s">
        <v>32</v>
      </c>
      <c r="Q2731" t="s">
        <v>32</v>
      </c>
    </row>
    <row r="2732" spans="1:17" x14ac:dyDescent="0.25">
      <c r="A2732" t="s">
        <v>2849</v>
      </c>
      <c r="B2732" s="1">
        <v>46031</v>
      </c>
      <c r="C2732" t="s">
        <v>79</v>
      </c>
      <c r="D2732" t="s">
        <v>91</v>
      </c>
      <c r="E2732" t="s">
        <v>20</v>
      </c>
      <c r="F2732" t="s">
        <v>84</v>
      </c>
      <c r="G2732" t="s">
        <v>37</v>
      </c>
      <c r="H2732" t="s">
        <v>94</v>
      </c>
      <c r="I2732" t="s">
        <v>115</v>
      </c>
      <c r="J2732">
        <v>42</v>
      </c>
      <c r="K2732">
        <v>17008.25</v>
      </c>
      <c r="L2732">
        <v>714346.5</v>
      </c>
      <c r="M2732">
        <v>0</v>
      </c>
      <c r="N2732">
        <v>0</v>
      </c>
      <c r="O2732">
        <v>714346.5</v>
      </c>
      <c r="P2732" t="s">
        <v>32</v>
      </c>
      <c r="Q2732" t="s">
        <v>32</v>
      </c>
    </row>
    <row r="2733" spans="1:17" x14ac:dyDescent="0.25">
      <c r="A2733" t="s">
        <v>2850</v>
      </c>
      <c r="B2733" s="1">
        <v>46016</v>
      </c>
      <c r="C2733" t="s">
        <v>79</v>
      </c>
      <c r="D2733" t="s">
        <v>101</v>
      </c>
      <c r="E2733" t="s">
        <v>41</v>
      </c>
      <c r="F2733" t="s">
        <v>50</v>
      </c>
      <c r="G2733" t="s">
        <v>22</v>
      </c>
      <c r="H2733" t="s">
        <v>38</v>
      </c>
      <c r="I2733" t="s">
        <v>39</v>
      </c>
      <c r="J2733">
        <v>21</v>
      </c>
      <c r="K2733">
        <v>5265.28</v>
      </c>
      <c r="L2733">
        <v>110570.88</v>
      </c>
      <c r="M2733">
        <v>0</v>
      </c>
      <c r="N2733">
        <v>0</v>
      </c>
      <c r="O2733">
        <v>110570.88</v>
      </c>
      <c r="P2733" t="s">
        <v>73</v>
      </c>
      <c r="Q2733" t="s">
        <v>26</v>
      </c>
    </row>
    <row r="2734" spans="1:17" x14ac:dyDescent="0.25">
      <c r="A2734" t="s">
        <v>2851</v>
      </c>
      <c r="B2734" s="1">
        <v>46004</v>
      </c>
      <c r="C2734" t="s">
        <v>60</v>
      </c>
      <c r="D2734" t="s">
        <v>61</v>
      </c>
      <c r="E2734" t="s">
        <v>41</v>
      </c>
      <c r="F2734" t="s">
        <v>112</v>
      </c>
      <c r="G2734" t="s">
        <v>66</v>
      </c>
      <c r="H2734" t="s">
        <v>57</v>
      </c>
      <c r="I2734" t="s">
        <v>92</v>
      </c>
      <c r="J2734">
        <v>23</v>
      </c>
      <c r="K2734">
        <v>48475.77</v>
      </c>
      <c r="L2734">
        <v>1114942.71</v>
      </c>
      <c r="M2734">
        <v>208275.73</v>
      </c>
      <c r="N2734">
        <v>0</v>
      </c>
      <c r="O2734">
        <v>906666.98</v>
      </c>
      <c r="P2734" t="s">
        <v>73</v>
      </c>
      <c r="Q2734" t="s">
        <v>32</v>
      </c>
    </row>
    <row r="2735" spans="1:17" x14ac:dyDescent="0.25">
      <c r="A2735" t="s">
        <v>2852</v>
      </c>
      <c r="B2735" s="1">
        <v>46018</v>
      </c>
      <c r="C2735" t="s">
        <v>60</v>
      </c>
      <c r="D2735" t="s">
        <v>123</v>
      </c>
      <c r="E2735" t="s">
        <v>35</v>
      </c>
      <c r="F2735" t="s">
        <v>105</v>
      </c>
      <c r="G2735" t="s">
        <v>85</v>
      </c>
      <c r="H2735" t="s">
        <v>94</v>
      </c>
      <c r="I2735" t="s">
        <v>144</v>
      </c>
      <c r="J2735">
        <v>34</v>
      </c>
      <c r="K2735">
        <v>35952.51</v>
      </c>
      <c r="L2735">
        <v>1222385.3400000001</v>
      </c>
      <c r="M2735">
        <v>95596.96</v>
      </c>
      <c r="N2735">
        <v>0</v>
      </c>
      <c r="O2735">
        <v>1126788.3799999999</v>
      </c>
      <c r="P2735" t="s">
        <v>25</v>
      </c>
      <c r="Q2735" t="s">
        <v>26</v>
      </c>
    </row>
    <row r="2736" spans="1:17" x14ac:dyDescent="0.25">
      <c r="A2736" t="s">
        <v>2853</v>
      </c>
      <c r="B2736" s="1">
        <v>46039</v>
      </c>
      <c r="C2736" t="s">
        <v>18</v>
      </c>
      <c r="D2736" t="s">
        <v>19</v>
      </c>
      <c r="E2736" t="s">
        <v>20</v>
      </c>
      <c r="F2736" t="s">
        <v>137</v>
      </c>
      <c r="G2736" t="s">
        <v>29</v>
      </c>
      <c r="H2736" t="s">
        <v>23</v>
      </c>
      <c r="I2736" t="s">
        <v>24</v>
      </c>
      <c r="J2736">
        <v>30</v>
      </c>
      <c r="K2736">
        <v>12001.97</v>
      </c>
      <c r="L2736">
        <v>360059.1</v>
      </c>
      <c r="M2736">
        <v>0</v>
      </c>
      <c r="N2736">
        <v>0</v>
      </c>
      <c r="O2736">
        <v>360059.1</v>
      </c>
      <c r="P2736" t="s">
        <v>25</v>
      </c>
      <c r="Q2736" t="s">
        <v>26</v>
      </c>
    </row>
    <row r="2737" spans="1:17" x14ac:dyDescent="0.25">
      <c r="A2737" t="s">
        <v>2854</v>
      </c>
      <c r="B2737" s="1">
        <v>45982</v>
      </c>
      <c r="C2737" t="s">
        <v>54</v>
      </c>
      <c r="D2737" t="s">
        <v>70</v>
      </c>
      <c r="E2737" t="s">
        <v>35</v>
      </c>
      <c r="F2737" t="s">
        <v>42</v>
      </c>
      <c r="G2737" t="s">
        <v>140</v>
      </c>
      <c r="H2737" t="s">
        <v>38</v>
      </c>
      <c r="I2737" t="s">
        <v>39</v>
      </c>
      <c r="J2737">
        <v>24</v>
      </c>
      <c r="K2737">
        <v>28008.23</v>
      </c>
      <c r="L2737">
        <v>672197.52</v>
      </c>
      <c r="M2737">
        <v>0</v>
      </c>
      <c r="N2737">
        <v>0</v>
      </c>
      <c r="O2737">
        <v>672197.52</v>
      </c>
      <c r="P2737" t="s">
        <v>25</v>
      </c>
      <c r="Q2737" t="s">
        <v>26</v>
      </c>
    </row>
    <row r="2738" spans="1:17" x14ac:dyDescent="0.25">
      <c r="A2738" t="s">
        <v>2855</v>
      </c>
      <c r="B2738" s="1">
        <v>46017</v>
      </c>
      <c r="C2738" t="s">
        <v>54</v>
      </c>
      <c r="D2738" t="s">
        <v>70</v>
      </c>
      <c r="E2738" t="s">
        <v>41</v>
      </c>
      <c r="F2738" t="s">
        <v>84</v>
      </c>
      <c r="G2738" t="s">
        <v>22</v>
      </c>
      <c r="H2738" t="s">
        <v>67</v>
      </c>
      <c r="I2738" t="s">
        <v>68</v>
      </c>
      <c r="J2738">
        <v>37</v>
      </c>
      <c r="K2738">
        <v>35187.64</v>
      </c>
      <c r="L2738">
        <v>1301942.68</v>
      </c>
      <c r="M2738">
        <v>134212.09</v>
      </c>
      <c r="N2738">
        <v>0</v>
      </c>
      <c r="O2738">
        <v>1167730.5900000001</v>
      </c>
      <c r="P2738" t="s">
        <v>31</v>
      </c>
      <c r="Q2738" t="s">
        <v>32</v>
      </c>
    </row>
    <row r="2739" spans="1:17" x14ac:dyDescent="0.25">
      <c r="A2739" t="s">
        <v>2856</v>
      </c>
      <c r="B2739" s="1">
        <v>46003</v>
      </c>
      <c r="C2739" t="s">
        <v>54</v>
      </c>
      <c r="D2739" t="s">
        <v>70</v>
      </c>
      <c r="E2739" t="s">
        <v>20</v>
      </c>
      <c r="F2739" t="s">
        <v>71</v>
      </c>
      <c r="G2739" t="s">
        <v>138</v>
      </c>
      <c r="H2739" t="s">
        <v>57</v>
      </c>
      <c r="I2739" t="s">
        <v>72</v>
      </c>
      <c r="J2739">
        <v>49</v>
      </c>
      <c r="K2739">
        <v>15161.65</v>
      </c>
      <c r="L2739">
        <v>742920.85</v>
      </c>
      <c r="M2739">
        <v>78278.8</v>
      </c>
      <c r="N2739">
        <v>126330.09</v>
      </c>
      <c r="O2739">
        <v>538311.96</v>
      </c>
      <c r="P2739" t="s">
        <v>25</v>
      </c>
      <c r="Q2739" t="s">
        <v>26</v>
      </c>
    </row>
    <row r="2740" spans="1:17" x14ac:dyDescent="0.25">
      <c r="A2740" t="s">
        <v>2857</v>
      </c>
      <c r="B2740" s="1">
        <v>45986</v>
      </c>
      <c r="C2740" t="s">
        <v>54</v>
      </c>
      <c r="D2740" t="s">
        <v>97</v>
      </c>
      <c r="E2740" t="s">
        <v>20</v>
      </c>
      <c r="F2740" t="s">
        <v>84</v>
      </c>
      <c r="G2740" t="s">
        <v>51</v>
      </c>
      <c r="H2740" t="s">
        <v>94</v>
      </c>
      <c r="I2740" t="s">
        <v>95</v>
      </c>
      <c r="J2740">
        <v>39</v>
      </c>
      <c r="K2740">
        <v>42783.28</v>
      </c>
      <c r="L2740">
        <v>1668547.92</v>
      </c>
      <c r="M2740">
        <v>0</v>
      </c>
      <c r="N2740">
        <v>0</v>
      </c>
      <c r="O2740">
        <v>1668547.92</v>
      </c>
      <c r="P2740" t="s">
        <v>31</v>
      </c>
      <c r="Q2740" t="s">
        <v>32</v>
      </c>
    </row>
    <row r="2741" spans="1:17" x14ac:dyDescent="0.25">
      <c r="A2741" t="s">
        <v>2858</v>
      </c>
      <c r="B2741" s="1">
        <v>46018</v>
      </c>
      <c r="C2741" t="s">
        <v>54</v>
      </c>
      <c r="D2741" t="s">
        <v>97</v>
      </c>
      <c r="E2741" t="s">
        <v>20</v>
      </c>
      <c r="F2741" t="s">
        <v>36</v>
      </c>
      <c r="G2741" t="s">
        <v>56</v>
      </c>
      <c r="H2741" t="s">
        <v>57</v>
      </c>
      <c r="I2741" t="s">
        <v>58</v>
      </c>
      <c r="J2741">
        <v>13</v>
      </c>
      <c r="K2741">
        <v>42394.33</v>
      </c>
      <c r="L2741">
        <v>551126.29</v>
      </c>
      <c r="M2741">
        <v>0</v>
      </c>
      <c r="N2741">
        <v>5913.29</v>
      </c>
      <c r="O2741">
        <v>545213</v>
      </c>
      <c r="P2741" t="s">
        <v>73</v>
      </c>
      <c r="Q2741" t="s">
        <v>32</v>
      </c>
    </row>
    <row r="2742" spans="1:17" x14ac:dyDescent="0.25">
      <c r="A2742" t="s">
        <v>2859</v>
      </c>
      <c r="B2742" s="1">
        <v>46036</v>
      </c>
      <c r="C2742" t="s">
        <v>79</v>
      </c>
      <c r="D2742" t="s">
        <v>91</v>
      </c>
      <c r="E2742" t="s">
        <v>49</v>
      </c>
      <c r="F2742" t="s">
        <v>137</v>
      </c>
      <c r="G2742" t="s">
        <v>138</v>
      </c>
      <c r="H2742" t="s">
        <v>57</v>
      </c>
      <c r="I2742" t="s">
        <v>92</v>
      </c>
      <c r="J2742">
        <v>13</v>
      </c>
      <c r="K2742">
        <v>7287.56</v>
      </c>
      <c r="L2742">
        <v>94738.28</v>
      </c>
      <c r="M2742">
        <v>0</v>
      </c>
      <c r="N2742">
        <v>0</v>
      </c>
      <c r="O2742">
        <v>94738.28</v>
      </c>
      <c r="P2742" t="s">
        <v>73</v>
      </c>
      <c r="Q2742" t="s">
        <v>32</v>
      </c>
    </row>
    <row r="2743" spans="1:17" x14ac:dyDescent="0.25">
      <c r="A2743" t="s">
        <v>2860</v>
      </c>
      <c r="B2743" s="1">
        <v>45963</v>
      </c>
      <c r="C2743" t="s">
        <v>18</v>
      </c>
      <c r="D2743" t="s">
        <v>34</v>
      </c>
      <c r="E2743" t="s">
        <v>35</v>
      </c>
      <c r="F2743" t="s">
        <v>50</v>
      </c>
      <c r="G2743" t="s">
        <v>89</v>
      </c>
      <c r="H2743" t="s">
        <v>57</v>
      </c>
      <c r="I2743" t="s">
        <v>92</v>
      </c>
      <c r="J2743">
        <v>48</v>
      </c>
      <c r="K2743">
        <v>22798.58</v>
      </c>
      <c r="L2743">
        <v>1094331.8400000001</v>
      </c>
      <c r="M2743">
        <v>52165.47</v>
      </c>
      <c r="N2743">
        <v>323219.57</v>
      </c>
      <c r="O2743">
        <v>718946.8</v>
      </c>
      <c r="P2743" t="s">
        <v>31</v>
      </c>
      <c r="Q2743" t="s">
        <v>32</v>
      </c>
    </row>
    <row r="2744" spans="1:17" x14ac:dyDescent="0.25">
      <c r="A2744" t="s">
        <v>2861</v>
      </c>
      <c r="B2744" s="1">
        <v>46014</v>
      </c>
      <c r="C2744" t="s">
        <v>54</v>
      </c>
      <c r="D2744" t="s">
        <v>97</v>
      </c>
      <c r="E2744" t="s">
        <v>41</v>
      </c>
      <c r="F2744" t="s">
        <v>21</v>
      </c>
      <c r="G2744" t="s">
        <v>102</v>
      </c>
      <c r="H2744" t="s">
        <v>23</v>
      </c>
      <c r="I2744" t="s">
        <v>99</v>
      </c>
      <c r="J2744">
        <v>23</v>
      </c>
      <c r="K2744">
        <v>32848.19</v>
      </c>
      <c r="L2744">
        <v>755508.37</v>
      </c>
      <c r="M2744">
        <v>135439.6</v>
      </c>
      <c r="N2744">
        <v>31112.02</v>
      </c>
      <c r="O2744">
        <v>588956.75</v>
      </c>
      <c r="P2744" t="s">
        <v>73</v>
      </c>
      <c r="Q2744" t="s">
        <v>32</v>
      </c>
    </row>
    <row r="2745" spans="1:17" x14ac:dyDescent="0.25">
      <c r="A2745" t="s">
        <v>2862</v>
      </c>
      <c r="B2745" s="1">
        <v>46044</v>
      </c>
      <c r="C2745" t="s">
        <v>60</v>
      </c>
      <c r="D2745" t="s">
        <v>65</v>
      </c>
      <c r="E2745" t="s">
        <v>49</v>
      </c>
      <c r="F2745" t="s">
        <v>137</v>
      </c>
      <c r="G2745" t="s">
        <v>56</v>
      </c>
      <c r="H2745" t="s">
        <v>44</v>
      </c>
      <c r="I2745" t="s">
        <v>141</v>
      </c>
      <c r="J2745">
        <v>37</v>
      </c>
      <c r="K2745">
        <v>16180.83</v>
      </c>
      <c r="L2745">
        <v>598690.71</v>
      </c>
      <c r="M2745">
        <v>88587.57</v>
      </c>
      <c r="N2745">
        <v>0</v>
      </c>
      <c r="O2745">
        <v>510103.14</v>
      </c>
      <c r="P2745" t="s">
        <v>32</v>
      </c>
      <c r="Q2745" t="s">
        <v>26</v>
      </c>
    </row>
    <row r="2746" spans="1:17" x14ac:dyDescent="0.25">
      <c r="A2746" t="s">
        <v>2863</v>
      </c>
      <c r="B2746" s="1">
        <v>46043</v>
      </c>
      <c r="C2746" t="s">
        <v>54</v>
      </c>
      <c r="D2746" t="s">
        <v>70</v>
      </c>
      <c r="E2746" t="s">
        <v>20</v>
      </c>
      <c r="F2746" t="s">
        <v>71</v>
      </c>
      <c r="G2746" t="s">
        <v>102</v>
      </c>
      <c r="H2746" t="s">
        <v>67</v>
      </c>
      <c r="I2746" t="s">
        <v>68</v>
      </c>
      <c r="J2746">
        <v>42</v>
      </c>
      <c r="K2746">
        <v>22796.71</v>
      </c>
      <c r="L2746">
        <v>957461.82</v>
      </c>
      <c r="M2746">
        <v>0</v>
      </c>
      <c r="N2746">
        <v>260641.74</v>
      </c>
      <c r="O2746">
        <v>696820.08</v>
      </c>
      <c r="P2746" t="s">
        <v>25</v>
      </c>
      <c r="Q2746" t="s">
        <v>26</v>
      </c>
    </row>
    <row r="2747" spans="1:17" x14ac:dyDescent="0.25">
      <c r="A2747" t="s">
        <v>2864</v>
      </c>
      <c r="B2747" s="1">
        <v>45957</v>
      </c>
      <c r="C2747" t="s">
        <v>79</v>
      </c>
      <c r="D2747" t="s">
        <v>107</v>
      </c>
      <c r="E2747" t="s">
        <v>20</v>
      </c>
      <c r="F2747" t="s">
        <v>84</v>
      </c>
      <c r="G2747" t="s">
        <v>102</v>
      </c>
      <c r="H2747" t="s">
        <v>67</v>
      </c>
      <c r="I2747" t="s">
        <v>103</v>
      </c>
      <c r="J2747">
        <v>44</v>
      </c>
      <c r="K2747">
        <v>45776.36</v>
      </c>
      <c r="L2747">
        <v>2014159.84</v>
      </c>
      <c r="M2747">
        <v>227905.4</v>
      </c>
      <c r="N2747">
        <v>0</v>
      </c>
      <c r="O2747">
        <v>1786254.44</v>
      </c>
      <c r="P2747" t="s">
        <v>32</v>
      </c>
      <c r="Q2747" t="s">
        <v>32</v>
      </c>
    </row>
    <row r="2748" spans="1:17" x14ac:dyDescent="0.25">
      <c r="A2748" t="s">
        <v>2865</v>
      </c>
      <c r="B2748" s="1">
        <v>46009</v>
      </c>
      <c r="C2748" t="s">
        <v>18</v>
      </c>
      <c r="D2748" t="s">
        <v>28</v>
      </c>
      <c r="E2748" t="s">
        <v>20</v>
      </c>
      <c r="F2748" t="s">
        <v>36</v>
      </c>
      <c r="G2748" t="s">
        <v>138</v>
      </c>
      <c r="H2748" t="s">
        <v>38</v>
      </c>
      <c r="I2748" t="s">
        <v>175</v>
      </c>
      <c r="J2748">
        <v>50</v>
      </c>
      <c r="K2748">
        <v>29757.86</v>
      </c>
      <c r="L2748">
        <v>1487893</v>
      </c>
      <c r="M2748">
        <v>0</v>
      </c>
      <c r="N2748">
        <v>0</v>
      </c>
      <c r="O2748">
        <v>1487893</v>
      </c>
      <c r="P2748" t="s">
        <v>73</v>
      </c>
      <c r="Q2748" t="s">
        <v>32</v>
      </c>
    </row>
    <row r="2749" spans="1:17" x14ac:dyDescent="0.25">
      <c r="A2749" t="s">
        <v>2866</v>
      </c>
      <c r="B2749" s="1">
        <v>46000</v>
      </c>
      <c r="C2749" t="s">
        <v>79</v>
      </c>
      <c r="D2749" t="s">
        <v>91</v>
      </c>
      <c r="E2749" t="s">
        <v>41</v>
      </c>
      <c r="F2749" t="s">
        <v>112</v>
      </c>
      <c r="G2749" t="s">
        <v>89</v>
      </c>
      <c r="H2749" t="s">
        <v>94</v>
      </c>
      <c r="I2749" t="s">
        <v>95</v>
      </c>
      <c r="J2749">
        <v>9</v>
      </c>
      <c r="K2749">
        <v>39725.050000000003</v>
      </c>
      <c r="L2749">
        <v>357525.45</v>
      </c>
      <c r="M2749">
        <v>0</v>
      </c>
      <c r="N2749">
        <v>0</v>
      </c>
      <c r="O2749">
        <v>357525.45</v>
      </c>
      <c r="P2749" t="s">
        <v>32</v>
      </c>
      <c r="Q2749" t="s">
        <v>32</v>
      </c>
    </row>
    <row r="2750" spans="1:17" x14ac:dyDescent="0.25">
      <c r="A2750" t="s">
        <v>2867</v>
      </c>
      <c r="B2750" s="1">
        <v>46035</v>
      </c>
      <c r="C2750" t="s">
        <v>60</v>
      </c>
      <c r="D2750" t="s">
        <v>123</v>
      </c>
      <c r="E2750" t="s">
        <v>49</v>
      </c>
      <c r="F2750" t="s">
        <v>105</v>
      </c>
      <c r="G2750" t="s">
        <v>140</v>
      </c>
      <c r="H2750" t="s">
        <v>38</v>
      </c>
      <c r="I2750" t="s">
        <v>108</v>
      </c>
      <c r="J2750">
        <v>47</v>
      </c>
      <c r="K2750">
        <v>49724.95</v>
      </c>
      <c r="L2750">
        <v>2337072.65</v>
      </c>
      <c r="M2750">
        <v>0</v>
      </c>
      <c r="N2750">
        <v>0</v>
      </c>
      <c r="O2750">
        <v>2337072.65</v>
      </c>
      <c r="P2750" t="s">
        <v>25</v>
      </c>
      <c r="Q2750" t="s">
        <v>32</v>
      </c>
    </row>
    <row r="2751" spans="1:17" x14ac:dyDescent="0.25">
      <c r="A2751" t="s">
        <v>2868</v>
      </c>
      <c r="B2751" s="1">
        <v>46041</v>
      </c>
      <c r="C2751" t="s">
        <v>60</v>
      </c>
      <c r="D2751" t="s">
        <v>151</v>
      </c>
      <c r="E2751" t="s">
        <v>35</v>
      </c>
      <c r="F2751" t="s">
        <v>62</v>
      </c>
      <c r="G2751" t="s">
        <v>102</v>
      </c>
      <c r="H2751" t="s">
        <v>38</v>
      </c>
      <c r="I2751" t="s">
        <v>39</v>
      </c>
      <c r="J2751">
        <v>36</v>
      </c>
      <c r="K2751">
        <v>30963.22</v>
      </c>
      <c r="L2751">
        <v>1114675.92</v>
      </c>
      <c r="M2751">
        <v>106608.72</v>
      </c>
      <c r="N2751">
        <v>98177.94</v>
      </c>
      <c r="O2751">
        <v>909889.26</v>
      </c>
      <c r="P2751" t="s">
        <v>31</v>
      </c>
      <c r="Q2751" t="s">
        <v>32</v>
      </c>
    </row>
    <row r="2752" spans="1:17" x14ac:dyDescent="0.25">
      <c r="A2752" t="s">
        <v>2869</v>
      </c>
      <c r="B2752" s="1">
        <v>45978</v>
      </c>
      <c r="C2752" t="s">
        <v>54</v>
      </c>
      <c r="D2752" t="s">
        <v>97</v>
      </c>
      <c r="E2752" t="s">
        <v>49</v>
      </c>
      <c r="F2752" t="s">
        <v>137</v>
      </c>
      <c r="G2752" t="s">
        <v>81</v>
      </c>
      <c r="H2752" t="s">
        <v>38</v>
      </c>
      <c r="I2752" t="s">
        <v>86</v>
      </c>
      <c r="J2752">
        <v>25</v>
      </c>
      <c r="K2752">
        <v>39074.480000000003</v>
      </c>
      <c r="L2752">
        <v>976862</v>
      </c>
      <c r="M2752">
        <v>89938.65</v>
      </c>
      <c r="N2752">
        <v>0</v>
      </c>
      <c r="O2752">
        <v>886923.35</v>
      </c>
      <c r="P2752" t="s">
        <v>73</v>
      </c>
      <c r="Q2752" t="s">
        <v>32</v>
      </c>
    </row>
    <row r="2753" spans="1:17" x14ac:dyDescent="0.25">
      <c r="A2753" t="s">
        <v>2870</v>
      </c>
      <c r="B2753" s="1">
        <v>45969</v>
      </c>
      <c r="C2753" t="s">
        <v>60</v>
      </c>
      <c r="D2753" t="s">
        <v>61</v>
      </c>
      <c r="E2753" t="s">
        <v>49</v>
      </c>
      <c r="F2753" t="s">
        <v>137</v>
      </c>
      <c r="G2753" t="s">
        <v>81</v>
      </c>
      <c r="H2753" t="s">
        <v>23</v>
      </c>
      <c r="I2753" t="s">
        <v>30</v>
      </c>
      <c r="J2753">
        <v>34</v>
      </c>
      <c r="K2753">
        <v>45276.08</v>
      </c>
      <c r="L2753">
        <v>1539386.72</v>
      </c>
      <c r="M2753">
        <v>0</v>
      </c>
      <c r="N2753">
        <v>0</v>
      </c>
      <c r="O2753">
        <v>1539386.72</v>
      </c>
      <c r="P2753" t="s">
        <v>25</v>
      </c>
      <c r="Q2753" t="s">
        <v>26</v>
      </c>
    </row>
    <row r="2754" spans="1:17" x14ac:dyDescent="0.25">
      <c r="A2754" t="s">
        <v>2871</v>
      </c>
      <c r="B2754" s="1">
        <v>45988</v>
      </c>
      <c r="C2754" t="s">
        <v>79</v>
      </c>
      <c r="D2754" t="s">
        <v>91</v>
      </c>
      <c r="E2754" t="s">
        <v>41</v>
      </c>
      <c r="F2754" t="s">
        <v>42</v>
      </c>
      <c r="G2754" t="s">
        <v>22</v>
      </c>
      <c r="H2754" t="s">
        <v>44</v>
      </c>
      <c r="I2754" t="s">
        <v>135</v>
      </c>
      <c r="J2754">
        <v>20</v>
      </c>
      <c r="K2754">
        <v>43354.12</v>
      </c>
      <c r="L2754">
        <v>867082.4</v>
      </c>
      <c r="M2754">
        <v>74241.72</v>
      </c>
      <c r="N2754">
        <v>0</v>
      </c>
      <c r="O2754">
        <v>792840.68</v>
      </c>
      <c r="P2754" t="s">
        <v>25</v>
      </c>
      <c r="Q2754" t="s">
        <v>128</v>
      </c>
    </row>
    <row r="2755" spans="1:17" x14ac:dyDescent="0.25">
      <c r="A2755" t="s">
        <v>2872</v>
      </c>
      <c r="B2755" s="1">
        <v>46039</v>
      </c>
      <c r="C2755" t="s">
        <v>18</v>
      </c>
      <c r="D2755" t="s">
        <v>19</v>
      </c>
      <c r="E2755" t="s">
        <v>41</v>
      </c>
      <c r="F2755" t="s">
        <v>50</v>
      </c>
      <c r="G2755" t="s">
        <v>98</v>
      </c>
      <c r="H2755" t="s">
        <v>67</v>
      </c>
      <c r="I2755" t="s">
        <v>68</v>
      </c>
      <c r="J2755">
        <v>31</v>
      </c>
      <c r="K2755">
        <v>1541.57</v>
      </c>
      <c r="L2755">
        <v>47788.67</v>
      </c>
      <c r="M2755">
        <v>0</v>
      </c>
      <c r="N2755">
        <v>0</v>
      </c>
      <c r="O2755">
        <v>47788.67</v>
      </c>
      <c r="P2755" t="s">
        <v>25</v>
      </c>
      <c r="Q2755" t="s">
        <v>26</v>
      </c>
    </row>
    <row r="2756" spans="1:17" x14ac:dyDescent="0.25">
      <c r="A2756" t="s">
        <v>2873</v>
      </c>
      <c r="B2756" s="1">
        <v>46004</v>
      </c>
      <c r="C2756" t="s">
        <v>54</v>
      </c>
      <c r="D2756" t="s">
        <v>55</v>
      </c>
      <c r="E2756" t="s">
        <v>20</v>
      </c>
      <c r="F2756" t="s">
        <v>62</v>
      </c>
      <c r="G2756" t="s">
        <v>85</v>
      </c>
      <c r="H2756" t="s">
        <v>38</v>
      </c>
      <c r="I2756" t="s">
        <v>82</v>
      </c>
      <c r="J2756">
        <v>17</v>
      </c>
      <c r="K2756">
        <v>1259.8699999999999</v>
      </c>
      <c r="L2756">
        <v>21417.79</v>
      </c>
      <c r="M2756">
        <v>0</v>
      </c>
      <c r="N2756">
        <v>0</v>
      </c>
      <c r="O2756">
        <v>21417.79</v>
      </c>
      <c r="P2756" t="s">
        <v>25</v>
      </c>
      <c r="Q2756" t="s">
        <v>32</v>
      </c>
    </row>
    <row r="2757" spans="1:17" x14ac:dyDescent="0.25">
      <c r="A2757" t="s">
        <v>2874</v>
      </c>
      <c r="B2757" s="1">
        <v>46020</v>
      </c>
      <c r="C2757" t="s">
        <v>60</v>
      </c>
      <c r="D2757" t="s">
        <v>61</v>
      </c>
      <c r="E2757" t="s">
        <v>20</v>
      </c>
      <c r="F2757" t="s">
        <v>105</v>
      </c>
      <c r="G2757" t="s">
        <v>51</v>
      </c>
      <c r="H2757" t="s">
        <v>94</v>
      </c>
      <c r="I2757" t="s">
        <v>115</v>
      </c>
      <c r="J2757">
        <v>39</v>
      </c>
      <c r="K2757">
        <v>38125.449999999997</v>
      </c>
      <c r="L2757">
        <v>1486892.55</v>
      </c>
      <c r="M2757">
        <v>0</v>
      </c>
      <c r="N2757">
        <v>0</v>
      </c>
      <c r="O2757">
        <v>1486892.55</v>
      </c>
      <c r="P2757" t="s">
        <v>25</v>
      </c>
      <c r="Q2757" t="s">
        <v>26</v>
      </c>
    </row>
    <row r="2758" spans="1:17" x14ac:dyDescent="0.25">
      <c r="A2758" t="s">
        <v>2875</v>
      </c>
      <c r="B2758" s="1">
        <v>45955</v>
      </c>
      <c r="C2758" t="s">
        <v>47</v>
      </c>
      <c r="D2758" t="s">
        <v>88</v>
      </c>
      <c r="E2758" t="s">
        <v>20</v>
      </c>
      <c r="F2758" t="s">
        <v>71</v>
      </c>
      <c r="G2758" t="s">
        <v>140</v>
      </c>
      <c r="H2758" t="s">
        <v>67</v>
      </c>
      <c r="I2758" t="s">
        <v>77</v>
      </c>
      <c r="J2758">
        <v>33</v>
      </c>
      <c r="K2758">
        <v>6312.27</v>
      </c>
      <c r="L2758">
        <v>208304.91</v>
      </c>
      <c r="M2758">
        <v>12281.87</v>
      </c>
      <c r="N2758">
        <v>0</v>
      </c>
      <c r="O2758">
        <v>196023.04000000001</v>
      </c>
      <c r="P2758" t="s">
        <v>32</v>
      </c>
      <c r="Q2758" t="s">
        <v>32</v>
      </c>
    </row>
    <row r="2759" spans="1:17" x14ac:dyDescent="0.25">
      <c r="A2759" t="s">
        <v>2876</v>
      </c>
      <c r="B2759" s="1">
        <v>46012</v>
      </c>
      <c r="C2759" t="s">
        <v>54</v>
      </c>
      <c r="D2759" t="s">
        <v>133</v>
      </c>
      <c r="E2759" t="s">
        <v>35</v>
      </c>
      <c r="F2759" t="s">
        <v>50</v>
      </c>
      <c r="G2759" t="s">
        <v>29</v>
      </c>
      <c r="H2759" t="s">
        <v>23</v>
      </c>
      <c r="I2759" t="s">
        <v>99</v>
      </c>
      <c r="J2759">
        <v>10</v>
      </c>
      <c r="K2759">
        <v>10855.47</v>
      </c>
      <c r="L2759">
        <v>108554.7</v>
      </c>
      <c r="M2759">
        <v>18408.59</v>
      </c>
      <c r="N2759">
        <v>8654.66</v>
      </c>
      <c r="O2759">
        <v>81491.45</v>
      </c>
      <c r="P2759" t="s">
        <v>31</v>
      </c>
      <c r="Q2759" t="s">
        <v>32</v>
      </c>
    </row>
    <row r="2760" spans="1:17" x14ac:dyDescent="0.25">
      <c r="A2760" t="s">
        <v>2877</v>
      </c>
      <c r="B2760" s="1">
        <v>45979</v>
      </c>
      <c r="C2760" t="s">
        <v>47</v>
      </c>
      <c r="D2760" t="s">
        <v>127</v>
      </c>
      <c r="E2760" t="s">
        <v>41</v>
      </c>
      <c r="F2760" t="s">
        <v>84</v>
      </c>
      <c r="G2760" t="s">
        <v>56</v>
      </c>
      <c r="H2760" t="s">
        <v>57</v>
      </c>
      <c r="I2760" t="s">
        <v>58</v>
      </c>
      <c r="J2760">
        <v>47</v>
      </c>
      <c r="K2760">
        <v>3374.63</v>
      </c>
      <c r="L2760">
        <v>158607.60999999999</v>
      </c>
      <c r="M2760">
        <v>0</v>
      </c>
      <c r="N2760">
        <v>0</v>
      </c>
      <c r="O2760">
        <v>158607.60999999999</v>
      </c>
      <c r="P2760" t="s">
        <v>73</v>
      </c>
      <c r="Q2760" t="s">
        <v>32</v>
      </c>
    </row>
    <row r="2761" spans="1:17" x14ac:dyDescent="0.25">
      <c r="A2761" t="s">
        <v>2878</v>
      </c>
      <c r="B2761" s="1">
        <v>45999</v>
      </c>
      <c r="C2761" t="s">
        <v>18</v>
      </c>
      <c r="D2761" t="s">
        <v>34</v>
      </c>
      <c r="E2761" t="s">
        <v>35</v>
      </c>
      <c r="F2761" t="s">
        <v>42</v>
      </c>
      <c r="G2761" t="s">
        <v>140</v>
      </c>
      <c r="H2761" t="s">
        <v>57</v>
      </c>
      <c r="I2761" t="s">
        <v>148</v>
      </c>
      <c r="J2761">
        <v>35</v>
      </c>
      <c r="K2761">
        <v>37861.14</v>
      </c>
      <c r="L2761">
        <v>1325139.8999999999</v>
      </c>
      <c r="M2761">
        <v>0</v>
      </c>
      <c r="N2761">
        <v>0</v>
      </c>
      <c r="O2761">
        <v>1325139.8999999999</v>
      </c>
      <c r="P2761" t="s">
        <v>31</v>
      </c>
      <c r="Q2761" t="s">
        <v>32</v>
      </c>
    </row>
    <row r="2762" spans="1:17" x14ac:dyDescent="0.25">
      <c r="A2762" t="s">
        <v>2879</v>
      </c>
      <c r="B2762" s="1">
        <v>46026</v>
      </c>
      <c r="C2762" t="s">
        <v>54</v>
      </c>
      <c r="D2762" t="s">
        <v>55</v>
      </c>
      <c r="E2762" t="s">
        <v>41</v>
      </c>
      <c r="F2762" t="s">
        <v>71</v>
      </c>
      <c r="G2762" t="s">
        <v>37</v>
      </c>
      <c r="H2762" t="s">
        <v>44</v>
      </c>
      <c r="I2762" t="s">
        <v>281</v>
      </c>
      <c r="J2762">
        <v>39</v>
      </c>
      <c r="K2762">
        <v>12367.2</v>
      </c>
      <c r="L2762">
        <v>482320.8</v>
      </c>
      <c r="M2762">
        <v>11318.49</v>
      </c>
      <c r="N2762">
        <v>0</v>
      </c>
      <c r="O2762">
        <v>471002.31</v>
      </c>
      <c r="P2762" t="s">
        <v>73</v>
      </c>
      <c r="Q2762" t="s">
        <v>32</v>
      </c>
    </row>
    <row r="2763" spans="1:17" x14ac:dyDescent="0.25">
      <c r="A2763" t="s">
        <v>2880</v>
      </c>
      <c r="B2763" s="1">
        <v>45954</v>
      </c>
      <c r="C2763" t="s">
        <v>18</v>
      </c>
      <c r="D2763" t="s">
        <v>75</v>
      </c>
      <c r="E2763" t="s">
        <v>35</v>
      </c>
      <c r="F2763" t="s">
        <v>42</v>
      </c>
      <c r="G2763" t="s">
        <v>66</v>
      </c>
      <c r="H2763" t="s">
        <v>67</v>
      </c>
      <c r="I2763" t="s">
        <v>201</v>
      </c>
      <c r="J2763">
        <v>37</v>
      </c>
      <c r="K2763">
        <v>27633.98</v>
      </c>
      <c r="L2763">
        <v>1022457.26</v>
      </c>
      <c r="M2763">
        <v>20390.72</v>
      </c>
      <c r="N2763">
        <v>0</v>
      </c>
      <c r="O2763">
        <v>1002066.54</v>
      </c>
      <c r="P2763" t="s">
        <v>73</v>
      </c>
      <c r="Q2763" t="s">
        <v>26</v>
      </c>
    </row>
    <row r="2764" spans="1:17" x14ac:dyDescent="0.25">
      <c r="A2764" t="s">
        <v>2881</v>
      </c>
      <c r="B2764" s="1">
        <v>46045</v>
      </c>
      <c r="C2764" t="s">
        <v>60</v>
      </c>
      <c r="D2764" t="s">
        <v>123</v>
      </c>
      <c r="E2764" t="s">
        <v>20</v>
      </c>
      <c r="F2764" t="s">
        <v>62</v>
      </c>
      <c r="G2764" t="s">
        <v>51</v>
      </c>
      <c r="H2764" t="s">
        <v>38</v>
      </c>
      <c r="I2764" t="s">
        <v>175</v>
      </c>
      <c r="J2764">
        <v>25</v>
      </c>
      <c r="K2764">
        <v>40988.080000000002</v>
      </c>
      <c r="L2764">
        <v>1024702</v>
      </c>
      <c r="M2764">
        <v>0</v>
      </c>
      <c r="N2764">
        <v>0</v>
      </c>
      <c r="O2764">
        <v>1024702</v>
      </c>
      <c r="P2764" t="s">
        <v>25</v>
      </c>
      <c r="Q2764" t="s">
        <v>128</v>
      </c>
    </row>
    <row r="2765" spans="1:17" x14ac:dyDescent="0.25">
      <c r="A2765" t="s">
        <v>2882</v>
      </c>
      <c r="B2765" s="1">
        <v>45961</v>
      </c>
      <c r="C2765" t="s">
        <v>79</v>
      </c>
      <c r="D2765" t="s">
        <v>107</v>
      </c>
      <c r="E2765" t="s">
        <v>49</v>
      </c>
      <c r="F2765" t="s">
        <v>137</v>
      </c>
      <c r="G2765" t="s">
        <v>85</v>
      </c>
      <c r="H2765" t="s">
        <v>67</v>
      </c>
      <c r="I2765" t="s">
        <v>103</v>
      </c>
      <c r="J2765">
        <v>29</v>
      </c>
      <c r="K2765">
        <v>15165.3</v>
      </c>
      <c r="L2765">
        <v>439793.7</v>
      </c>
      <c r="M2765">
        <v>74813.02</v>
      </c>
      <c r="N2765">
        <v>0</v>
      </c>
      <c r="O2765">
        <v>364980.68</v>
      </c>
      <c r="P2765" t="s">
        <v>25</v>
      </c>
      <c r="Q2765" t="s">
        <v>26</v>
      </c>
    </row>
    <row r="2766" spans="1:17" x14ac:dyDescent="0.25">
      <c r="A2766" t="s">
        <v>2883</v>
      </c>
      <c r="B2766" s="1">
        <v>46003</v>
      </c>
      <c r="C2766" t="s">
        <v>54</v>
      </c>
      <c r="D2766" t="s">
        <v>133</v>
      </c>
      <c r="E2766" t="s">
        <v>41</v>
      </c>
      <c r="F2766" t="s">
        <v>105</v>
      </c>
      <c r="G2766" t="s">
        <v>43</v>
      </c>
      <c r="H2766" t="s">
        <v>57</v>
      </c>
      <c r="I2766" t="s">
        <v>160</v>
      </c>
      <c r="J2766">
        <v>42</v>
      </c>
      <c r="K2766">
        <v>40091.67</v>
      </c>
      <c r="L2766">
        <v>1683850.14</v>
      </c>
      <c r="M2766">
        <v>0</v>
      </c>
      <c r="N2766">
        <v>0</v>
      </c>
      <c r="O2766">
        <v>1683850.14</v>
      </c>
      <c r="P2766" t="s">
        <v>31</v>
      </c>
      <c r="Q2766" t="s">
        <v>32</v>
      </c>
    </row>
    <row r="2767" spans="1:17" x14ac:dyDescent="0.25">
      <c r="A2767" t="s">
        <v>2884</v>
      </c>
      <c r="B2767" s="1">
        <v>45996</v>
      </c>
      <c r="C2767" t="s">
        <v>79</v>
      </c>
      <c r="D2767" t="s">
        <v>107</v>
      </c>
      <c r="E2767" t="s">
        <v>20</v>
      </c>
      <c r="F2767" t="s">
        <v>50</v>
      </c>
      <c r="G2767" t="s">
        <v>89</v>
      </c>
      <c r="H2767" t="s">
        <v>44</v>
      </c>
      <c r="I2767" t="s">
        <v>124</v>
      </c>
      <c r="J2767">
        <v>28</v>
      </c>
      <c r="K2767">
        <v>3802.56</v>
      </c>
      <c r="L2767">
        <v>106471.67999999999</v>
      </c>
      <c r="M2767">
        <v>0</v>
      </c>
      <c r="N2767">
        <v>20400.89</v>
      </c>
      <c r="O2767">
        <v>86070.79</v>
      </c>
      <c r="P2767" t="s">
        <v>32</v>
      </c>
      <c r="Q2767" t="s">
        <v>32</v>
      </c>
    </row>
    <row r="2768" spans="1:17" x14ac:dyDescent="0.25">
      <c r="A2768" t="s">
        <v>2885</v>
      </c>
      <c r="B2768" s="1">
        <v>46004</v>
      </c>
      <c r="C2768" t="s">
        <v>60</v>
      </c>
      <c r="D2768" t="s">
        <v>151</v>
      </c>
      <c r="E2768" t="s">
        <v>41</v>
      </c>
      <c r="F2768" t="s">
        <v>36</v>
      </c>
      <c r="G2768" t="s">
        <v>66</v>
      </c>
      <c r="H2768" t="s">
        <v>94</v>
      </c>
      <c r="I2768" t="s">
        <v>115</v>
      </c>
      <c r="J2768">
        <v>15</v>
      </c>
      <c r="K2768">
        <v>1344.47</v>
      </c>
      <c r="L2768">
        <v>20167.05</v>
      </c>
      <c r="M2768">
        <v>0</v>
      </c>
      <c r="N2768">
        <v>0</v>
      </c>
      <c r="O2768">
        <v>20167.05</v>
      </c>
      <c r="P2768" t="s">
        <v>25</v>
      </c>
      <c r="Q2768" t="s">
        <v>26</v>
      </c>
    </row>
    <row r="2769" spans="1:17" x14ac:dyDescent="0.25">
      <c r="A2769" t="s">
        <v>2886</v>
      </c>
      <c r="B2769" s="1">
        <v>46023</v>
      </c>
      <c r="C2769" t="s">
        <v>79</v>
      </c>
      <c r="D2769" t="s">
        <v>91</v>
      </c>
      <c r="E2769" t="s">
        <v>20</v>
      </c>
      <c r="F2769" t="s">
        <v>84</v>
      </c>
      <c r="G2769" t="s">
        <v>29</v>
      </c>
      <c r="H2769" t="s">
        <v>67</v>
      </c>
      <c r="I2769" t="s">
        <v>170</v>
      </c>
      <c r="J2769">
        <v>37</v>
      </c>
      <c r="K2769">
        <v>22708.92</v>
      </c>
      <c r="L2769">
        <v>840230.04</v>
      </c>
      <c r="M2769">
        <v>0</v>
      </c>
      <c r="N2769">
        <v>0</v>
      </c>
      <c r="O2769">
        <v>840230.04</v>
      </c>
      <c r="P2769" t="s">
        <v>31</v>
      </c>
      <c r="Q2769" t="s">
        <v>32</v>
      </c>
    </row>
    <row r="2770" spans="1:17" x14ac:dyDescent="0.25">
      <c r="A2770" t="s">
        <v>2887</v>
      </c>
      <c r="B2770" s="1">
        <v>45957</v>
      </c>
      <c r="C2770" t="s">
        <v>47</v>
      </c>
      <c r="D2770" t="s">
        <v>114</v>
      </c>
      <c r="E2770" t="s">
        <v>41</v>
      </c>
      <c r="F2770" t="s">
        <v>42</v>
      </c>
      <c r="G2770" t="s">
        <v>43</v>
      </c>
      <c r="H2770" t="s">
        <v>44</v>
      </c>
      <c r="I2770" t="s">
        <v>135</v>
      </c>
      <c r="J2770">
        <v>35</v>
      </c>
      <c r="K2770">
        <v>36958.620000000003</v>
      </c>
      <c r="L2770">
        <v>1293551.7</v>
      </c>
      <c r="M2770">
        <v>0</v>
      </c>
      <c r="N2770">
        <v>0</v>
      </c>
      <c r="O2770">
        <v>1293551.7</v>
      </c>
      <c r="P2770" t="s">
        <v>73</v>
      </c>
      <c r="Q2770" t="s">
        <v>32</v>
      </c>
    </row>
    <row r="2771" spans="1:17" x14ac:dyDescent="0.25">
      <c r="A2771" t="s">
        <v>2888</v>
      </c>
      <c r="B2771" s="1">
        <v>45970</v>
      </c>
      <c r="C2771" t="s">
        <v>79</v>
      </c>
      <c r="D2771" t="s">
        <v>101</v>
      </c>
      <c r="E2771" t="s">
        <v>35</v>
      </c>
      <c r="F2771" t="s">
        <v>21</v>
      </c>
      <c r="G2771" t="s">
        <v>66</v>
      </c>
      <c r="H2771" t="s">
        <v>94</v>
      </c>
      <c r="I2771" t="s">
        <v>95</v>
      </c>
      <c r="J2771">
        <v>21</v>
      </c>
      <c r="K2771">
        <v>7325.41</v>
      </c>
      <c r="L2771">
        <v>153833.60999999999</v>
      </c>
      <c r="M2771">
        <v>8803.27</v>
      </c>
      <c r="N2771">
        <v>0</v>
      </c>
      <c r="O2771">
        <v>145030.34</v>
      </c>
      <c r="P2771" t="s">
        <v>73</v>
      </c>
      <c r="Q2771" t="s">
        <v>32</v>
      </c>
    </row>
    <row r="2772" spans="1:17" x14ac:dyDescent="0.25">
      <c r="A2772" t="s">
        <v>2889</v>
      </c>
      <c r="B2772" s="1">
        <v>45968</v>
      </c>
      <c r="C2772" t="s">
        <v>60</v>
      </c>
      <c r="D2772" t="s">
        <v>65</v>
      </c>
      <c r="E2772" t="s">
        <v>20</v>
      </c>
      <c r="F2772" t="s">
        <v>42</v>
      </c>
      <c r="G2772" t="s">
        <v>56</v>
      </c>
      <c r="H2772" t="s">
        <v>38</v>
      </c>
      <c r="I2772" t="s">
        <v>86</v>
      </c>
      <c r="J2772">
        <v>39</v>
      </c>
      <c r="K2772">
        <v>36146.839999999997</v>
      </c>
      <c r="L2772">
        <v>1409726.76</v>
      </c>
      <c r="M2772">
        <v>159721.41</v>
      </c>
      <c r="N2772">
        <v>0</v>
      </c>
      <c r="O2772">
        <v>1250005.3500000001</v>
      </c>
      <c r="P2772" t="s">
        <v>32</v>
      </c>
      <c r="Q2772" t="s">
        <v>32</v>
      </c>
    </row>
    <row r="2773" spans="1:17" x14ac:dyDescent="0.25">
      <c r="A2773" t="s">
        <v>2890</v>
      </c>
      <c r="B2773" s="1">
        <v>45954</v>
      </c>
      <c r="C2773" t="s">
        <v>47</v>
      </c>
      <c r="D2773" t="s">
        <v>127</v>
      </c>
      <c r="E2773" t="s">
        <v>49</v>
      </c>
      <c r="F2773" t="s">
        <v>21</v>
      </c>
      <c r="G2773" t="s">
        <v>81</v>
      </c>
      <c r="H2773" t="s">
        <v>38</v>
      </c>
      <c r="I2773" t="s">
        <v>82</v>
      </c>
      <c r="J2773">
        <v>13</v>
      </c>
      <c r="K2773">
        <v>27831.4</v>
      </c>
      <c r="L2773">
        <v>361808.2</v>
      </c>
      <c r="M2773">
        <v>0</v>
      </c>
      <c r="N2773">
        <v>0</v>
      </c>
      <c r="O2773">
        <v>361808.2</v>
      </c>
      <c r="P2773" t="s">
        <v>32</v>
      </c>
      <c r="Q2773" t="s">
        <v>32</v>
      </c>
    </row>
    <row r="2774" spans="1:17" x14ac:dyDescent="0.25">
      <c r="A2774" t="s">
        <v>2891</v>
      </c>
      <c r="B2774" s="1">
        <v>46027</v>
      </c>
      <c r="C2774" t="s">
        <v>18</v>
      </c>
      <c r="D2774" t="s">
        <v>75</v>
      </c>
      <c r="E2774" t="s">
        <v>20</v>
      </c>
      <c r="F2774" t="s">
        <v>105</v>
      </c>
      <c r="G2774" t="s">
        <v>85</v>
      </c>
      <c r="H2774" t="s">
        <v>67</v>
      </c>
      <c r="I2774" t="s">
        <v>68</v>
      </c>
      <c r="J2774">
        <v>15</v>
      </c>
      <c r="K2774">
        <v>10312.780000000001</v>
      </c>
      <c r="L2774">
        <v>154691.70000000001</v>
      </c>
      <c r="M2774">
        <v>0</v>
      </c>
      <c r="N2774">
        <v>0</v>
      </c>
      <c r="O2774">
        <v>154691.70000000001</v>
      </c>
      <c r="P2774" t="s">
        <v>73</v>
      </c>
      <c r="Q2774" t="s">
        <v>32</v>
      </c>
    </row>
    <row r="2775" spans="1:17" x14ac:dyDescent="0.25">
      <c r="A2775" t="s">
        <v>2892</v>
      </c>
      <c r="B2775" s="1">
        <v>46008</v>
      </c>
      <c r="C2775" t="s">
        <v>79</v>
      </c>
      <c r="D2775" t="s">
        <v>80</v>
      </c>
      <c r="E2775" t="s">
        <v>35</v>
      </c>
      <c r="F2775" t="s">
        <v>50</v>
      </c>
      <c r="G2775" t="s">
        <v>37</v>
      </c>
      <c r="H2775" t="s">
        <v>57</v>
      </c>
      <c r="I2775" t="s">
        <v>58</v>
      </c>
      <c r="J2775">
        <v>3</v>
      </c>
      <c r="K2775">
        <v>37880.410000000003</v>
      </c>
      <c r="L2775">
        <v>113641.23</v>
      </c>
      <c r="M2775">
        <v>8136.74</v>
      </c>
      <c r="N2775">
        <v>0</v>
      </c>
      <c r="O2775">
        <v>105504.49</v>
      </c>
      <c r="P2775" t="s">
        <v>32</v>
      </c>
      <c r="Q2775" t="s">
        <v>26</v>
      </c>
    </row>
    <row r="2776" spans="1:17" x14ac:dyDescent="0.25">
      <c r="A2776" t="s">
        <v>2893</v>
      </c>
      <c r="B2776" s="1">
        <v>46034</v>
      </c>
      <c r="C2776" t="s">
        <v>54</v>
      </c>
      <c r="D2776" t="s">
        <v>97</v>
      </c>
      <c r="E2776" t="s">
        <v>20</v>
      </c>
      <c r="F2776" t="s">
        <v>84</v>
      </c>
      <c r="G2776" t="s">
        <v>43</v>
      </c>
      <c r="H2776" t="s">
        <v>38</v>
      </c>
      <c r="I2776" t="s">
        <v>86</v>
      </c>
      <c r="J2776">
        <v>38</v>
      </c>
      <c r="K2776">
        <v>29961.99</v>
      </c>
      <c r="L2776">
        <v>1138555.6200000001</v>
      </c>
      <c r="M2776">
        <v>108935.47</v>
      </c>
      <c r="N2776">
        <v>0</v>
      </c>
      <c r="O2776">
        <v>1029620.15</v>
      </c>
      <c r="P2776" t="s">
        <v>25</v>
      </c>
      <c r="Q2776" t="s">
        <v>26</v>
      </c>
    </row>
    <row r="2777" spans="1:17" x14ac:dyDescent="0.25">
      <c r="A2777" t="s">
        <v>2894</v>
      </c>
      <c r="B2777" s="1">
        <v>45971</v>
      </c>
      <c r="C2777" t="s">
        <v>60</v>
      </c>
      <c r="D2777" t="s">
        <v>151</v>
      </c>
      <c r="E2777" t="s">
        <v>49</v>
      </c>
      <c r="F2777" t="s">
        <v>84</v>
      </c>
      <c r="G2777" t="s">
        <v>85</v>
      </c>
      <c r="H2777" t="s">
        <v>67</v>
      </c>
      <c r="I2777" t="s">
        <v>68</v>
      </c>
      <c r="J2777">
        <v>5</v>
      </c>
      <c r="K2777">
        <v>6211.34</v>
      </c>
      <c r="L2777">
        <v>31056.7</v>
      </c>
      <c r="M2777">
        <v>0</v>
      </c>
      <c r="N2777">
        <v>0</v>
      </c>
      <c r="O2777">
        <v>31056.7</v>
      </c>
      <c r="P2777" t="s">
        <v>31</v>
      </c>
      <c r="Q2777" t="s">
        <v>32</v>
      </c>
    </row>
    <row r="2778" spans="1:17" x14ac:dyDescent="0.25">
      <c r="A2778" t="s">
        <v>2895</v>
      </c>
      <c r="B2778" s="1">
        <v>46021</v>
      </c>
      <c r="C2778" t="s">
        <v>47</v>
      </c>
      <c r="D2778" t="s">
        <v>114</v>
      </c>
      <c r="E2778" t="s">
        <v>35</v>
      </c>
      <c r="F2778" t="s">
        <v>137</v>
      </c>
      <c r="G2778" t="s">
        <v>22</v>
      </c>
      <c r="H2778" t="s">
        <v>67</v>
      </c>
      <c r="I2778" t="s">
        <v>77</v>
      </c>
      <c r="J2778">
        <v>14</v>
      </c>
      <c r="K2778">
        <v>803.86</v>
      </c>
      <c r="L2778">
        <v>11254.04</v>
      </c>
      <c r="M2778">
        <v>0</v>
      </c>
      <c r="N2778">
        <v>0</v>
      </c>
      <c r="O2778">
        <v>11254.04</v>
      </c>
      <c r="P2778" t="s">
        <v>25</v>
      </c>
      <c r="Q2778" t="s">
        <v>26</v>
      </c>
    </row>
    <row r="2779" spans="1:17" x14ac:dyDescent="0.25">
      <c r="A2779" t="s">
        <v>2896</v>
      </c>
      <c r="B2779" s="1">
        <v>46014</v>
      </c>
      <c r="C2779" t="s">
        <v>60</v>
      </c>
      <c r="D2779" t="s">
        <v>65</v>
      </c>
      <c r="E2779" t="s">
        <v>49</v>
      </c>
      <c r="F2779" t="s">
        <v>105</v>
      </c>
      <c r="G2779" t="s">
        <v>43</v>
      </c>
      <c r="H2779" t="s">
        <v>44</v>
      </c>
      <c r="I2779" t="s">
        <v>135</v>
      </c>
      <c r="J2779">
        <v>20</v>
      </c>
      <c r="K2779">
        <v>3302.88</v>
      </c>
      <c r="L2779">
        <v>66057.600000000006</v>
      </c>
      <c r="M2779">
        <v>0</v>
      </c>
      <c r="N2779">
        <v>0</v>
      </c>
      <c r="O2779">
        <v>66057.600000000006</v>
      </c>
      <c r="P2779" t="s">
        <v>73</v>
      </c>
      <c r="Q2779" t="s">
        <v>26</v>
      </c>
    </row>
    <row r="2780" spans="1:17" x14ac:dyDescent="0.25">
      <c r="A2780" t="s">
        <v>2897</v>
      </c>
      <c r="B2780" s="1">
        <v>46011</v>
      </c>
      <c r="C2780" t="s">
        <v>54</v>
      </c>
      <c r="D2780" t="s">
        <v>55</v>
      </c>
      <c r="E2780" t="s">
        <v>35</v>
      </c>
      <c r="F2780" t="s">
        <v>42</v>
      </c>
      <c r="G2780" t="s">
        <v>102</v>
      </c>
      <c r="H2780" t="s">
        <v>94</v>
      </c>
      <c r="I2780" t="s">
        <v>193</v>
      </c>
      <c r="J2780">
        <v>38</v>
      </c>
      <c r="K2780">
        <v>14689.81</v>
      </c>
      <c r="L2780">
        <v>558212.78</v>
      </c>
      <c r="M2780">
        <v>0</v>
      </c>
      <c r="N2780">
        <v>0</v>
      </c>
      <c r="O2780">
        <v>558212.78</v>
      </c>
      <c r="P2780" t="s">
        <v>32</v>
      </c>
      <c r="Q2780" t="s">
        <v>32</v>
      </c>
    </row>
    <row r="2781" spans="1:17" x14ac:dyDescent="0.25">
      <c r="A2781" t="s">
        <v>2898</v>
      </c>
      <c r="B2781" s="1">
        <v>46027</v>
      </c>
      <c r="C2781" t="s">
        <v>54</v>
      </c>
      <c r="D2781" t="s">
        <v>55</v>
      </c>
      <c r="E2781" t="s">
        <v>35</v>
      </c>
      <c r="F2781" t="s">
        <v>84</v>
      </c>
      <c r="G2781" t="s">
        <v>43</v>
      </c>
      <c r="H2781" t="s">
        <v>44</v>
      </c>
      <c r="I2781" t="s">
        <v>45</v>
      </c>
      <c r="J2781">
        <v>43</v>
      </c>
      <c r="K2781">
        <v>45332.31</v>
      </c>
      <c r="L2781">
        <v>1949289.33</v>
      </c>
      <c r="M2781">
        <v>338644.28</v>
      </c>
      <c r="N2781">
        <v>0</v>
      </c>
      <c r="O2781">
        <v>1610645.05</v>
      </c>
      <c r="P2781" t="s">
        <v>31</v>
      </c>
      <c r="Q2781" t="s">
        <v>32</v>
      </c>
    </row>
    <row r="2782" spans="1:17" x14ac:dyDescent="0.25">
      <c r="A2782" t="s">
        <v>2899</v>
      </c>
      <c r="B2782" s="1">
        <v>45991</v>
      </c>
      <c r="C2782" t="s">
        <v>47</v>
      </c>
      <c r="D2782" t="s">
        <v>88</v>
      </c>
      <c r="E2782" t="s">
        <v>49</v>
      </c>
      <c r="F2782" t="s">
        <v>21</v>
      </c>
      <c r="G2782" t="s">
        <v>37</v>
      </c>
      <c r="H2782" t="s">
        <v>44</v>
      </c>
      <c r="I2782" t="s">
        <v>124</v>
      </c>
      <c r="J2782">
        <v>33</v>
      </c>
      <c r="K2782">
        <v>940.63</v>
      </c>
      <c r="L2782">
        <v>31040.79</v>
      </c>
      <c r="M2782">
        <v>753.73</v>
      </c>
      <c r="N2782">
        <v>0</v>
      </c>
      <c r="O2782">
        <v>30287.06</v>
      </c>
      <c r="P2782" t="s">
        <v>31</v>
      </c>
      <c r="Q2782" t="s">
        <v>32</v>
      </c>
    </row>
    <row r="2783" spans="1:17" x14ac:dyDescent="0.25">
      <c r="A2783" t="s">
        <v>2900</v>
      </c>
      <c r="B2783" s="1">
        <v>45967</v>
      </c>
      <c r="C2783" t="s">
        <v>60</v>
      </c>
      <c r="D2783" t="s">
        <v>123</v>
      </c>
      <c r="E2783" t="s">
        <v>41</v>
      </c>
      <c r="F2783" t="s">
        <v>71</v>
      </c>
      <c r="G2783" t="s">
        <v>29</v>
      </c>
      <c r="H2783" t="s">
        <v>67</v>
      </c>
      <c r="I2783" t="s">
        <v>77</v>
      </c>
      <c r="J2783">
        <v>13</v>
      </c>
      <c r="K2783">
        <v>2756.6</v>
      </c>
      <c r="L2783">
        <v>35835.800000000003</v>
      </c>
      <c r="M2783">
        <v>459.36</v>
      </c>
      <c r="N2783">
        <v>2149.08</v>
      </c>
      <c r="O2783">
        <v>33227.360000000001</v>
      </c>
      <c r="P2783" t="s">
        <v>73</v>
      </c>
      <c r="Q2783" t="s">
        <v>32</v>
      </c>
    </row>
    <row r="2784" spans="1:17" x14ac:dyDescent="0.25">
      <c r="A2784" t="s">
        <v>2901</v>
      </c>
      <c r="B2784" s="1">
        <v>45980</v>
      </c>
      <c r="C2784" t="s">
        <v>18</v>
      </c>
      <c r="D2784" t="s">
        <v>75</v>
      </c>
      <c r="E2784" t="s">
        <v>20</v>
      </c>
      <c r="F2784" t="s">
        <v>105</v>
      </c>
      <c r="G2784" t="s">
        <v>29</v>
      </c>
      <c r="H2784" t="s">
        <v>57</v>
      </c>
      <c r="I2784" t="s">
        <v>160</v>
      </c>
      <c r="J2784">
        <v>20</v>
      </c>
      <c r="K2784">
        <v>31063.09</v>
      </c>
      <c r="L2784">
        <v>621261.80000000005</v>
      </c>
      <c r="M2784">
        <v>0</v>
      </c>
      <c r="N2784">
        <v>150136.64000000001</v>
      </c>
      <c r="O2784">
        <v>471125.16</v>
      </c>
      <c r="P2784" t="s">
        <v>31</v>
      </c>
      <c r="Q2784" t="s">
        <v>32</v>
      </c>
    </row>
    <row r="2785" spans="1:17" x14ac:dyDescent="0.25">
      <c r="A2785" t="s">
        <v>2902</v>
      </c>
      <c r="B2785" s="1">
        <v>46013</v>
      </c>
      <c r="C2785" t="s">
        <v>18</v>
      </c>
      <c r="D2785" t="s">
        <v>19</v>
      </c>
      <c r="E2785" t="s">
        <v>20</v>
      </c>
      <c r="F2785" t="s">
        <v>36</v>
      </c>
      <c r="G2785" t="s">
        <v>37</v>
      </c>
      <c r="H2785" t="s">
        <v>44</v>
      </c>
      <c r="I2785" t="s">
        <v>135</v>
      </c>
      <c r="J2785">
        <v>10</v>
      </c>
      <c r="K2785">
        <v>36207.769999999997</v>
      </c>
      <c r="L2785">
        <v>362077.7</v>
      </c>
      <c r="M2785">
        <v>4397.8900000000003</v>
      </c>
      <c r="N2785">
        <v>0</v>
      </c>
      <c r="O2785">
        <v>357679.81</v>
      </c>
      <c r="P2785" t="s">
        <v>73</v>
      </c>
      <c r="Q2785" t="s">
        <v>32</v>
      </c>
    </row>
    <row r="2786" spans="1:17" x14ac:dyDescent="0.25">
      <c r="A2786" t="s">
        <v>2903</v>
      </c>
      <c r="B2786" s="1">
        <v>46002</v>
      </c>
      <c r="C2786" t="s">
        <v>79</v>
      </c>
      <c r="D2786" t="s">
        <v>107</v>
      </c>
      <c r="E2786" t="s">
        <v>35</v>
      </c>
      <c r="F2786" t="s">
        <v>71</v>
      </c>
      <c r="G2786" t="s">
        <v>102</v>
      </c>
      <c r="H2786" t="s">
        <v>23</v>
      </c>
      <c r="I2786" t="s">
        <v>131</v>
      </c>
      <c r="J2786">
        <v>7</v>
      </c>
      <c r="K2786">
        <v>34277.9</v>
      </c>
      <c r="L2786">
        <v>239945.3</v>
      </c>
      <c r="M2786">
        <v>45865.760000000002</v>
      </c>
      <c r="N2786">
        <v>0</v>
      </c>
      <c r="O2786">
        <v>194079.54</v>
      </c>
      <c r="P2786" t="s">
        <v>25</v>
      </c>
      <c r="Q2786" t="s">
        <v>26</v>
      </c>
    </row>
    <row r="2787" spans="1:17" x14ac:dyDescent="0.25">
      <c r="A2787" t="s">
        <v>2904</v>
      </c>
      <c r="B2787" s="1">
        <v>46008</v>
      </c>
      <c r="C2787" t="s">
        <v>60</v>
      </c>
      <c r="D2787" t="s">
        <v>65</v>
      </c>
      <c r="E2787" t="s">
        <v>41</v>
      </c>
      <c r="F2787" t="s">
        <v>62</v>
      </c>
      <c r="G2787" t="s">
        <v>29</v>
      </c>
      <c r="H2787" t="s">
        <v>67</v>
      </c>
      <c r="I2787" t="s">
        <v>68</v>
      </c>
      <c r="J2787">
        <v>16</v>
      </c>
      <c r="K2787">
        <v>8296.83</v>
      </c>
      <c r="L2787">
        <v>132749.28</v>
      </c>
      <c r="M2787">
        <v>0</v>
      </c>
      <c r="N2787">
        <v>0</v>
      </c>
      <c r="O2787">
        <v>132749.28</v>
      </c>
      <c r="P2787" t="s">
        <v>73</v>
      </c>
      <c r="Q2787" t="s">
        <v>32</v>
      </c>
    </row>
    <row r="2788" spans="1:17" x14ac:dyDescent="0.25">
      <c r="A2788" t="s">
        <v>2905</v>
      </c>
      <c r="B2788" s="1">
        <v>46024</v>
      </c>
      <c r="C2788" t="s">
        <v>47</v>
      </c>
      <c r="D2788" t="s">
        <v>114</v>
      </c>
      <c r="E2788" t="s">
        <v>49</v>
      </c>
      <c r="F2788" t="s">
        <v>112</v>
      </c>
      <c r="G2788" t="s">
        <v>66</v>
      </c>
      <c r="H2788" t="s">
        <v>38</v>
      </c>
      <c r="I2788" t="s">
        <v>82</v>
      </c>
      <c r="J2788">
        <v>45</v>
      </c>
      <c r="K2788">
        <v>13346.2</v>
      </c>
      <c r="L2788">
        <v>600579</v>
      </c>
      <c r="M2788">
        <v>14055.94</v>
      </c>
      <c r="N2788">
        <v>0</v>
      </c>
      <c r="O2788">
        <v>586523.06000000006</v>
      </c>
      <c r="P2788" t="s">
        <v>73</v>
      </c>
      <c r="Q2788" t="s">
        <v>32</v>
      </c>
    </row>
    <row r="2789" spans="1:17" x14ac:dyDescent="0.25">
      <c r="A2789" t="s">
        <v>2906</v>
      </c>
      <c r="B2789" s="1">
        <v>46043</v>
      </c>
      <c r="C2789" t="s">
        <v>47</v>
      </c>
      <c r="D2789" t="s">
        <v>48</v>
      </c>
      <c r="E2789" t="s">
        <v>49</v>
      </c>
      <c r="F2789" t="s">
        <v>71</v>
      </c>
      <c r="G2789" t="s">
        <v>85</v>
      </c>
      <c r="H2789" t="s">
        <v>94</v>
      </c>
      <c r="I2789" t="s">
        <v>193</v>
      </c>
      <c r="J2789">
        <v>13</v>
      </c>
      <c r="K2789">
        <v>39938.15</v>
      </c>
      <c r="L2789">
        <v>519195.95</v>
      </c>
      <c r="M2789">
        <v>0</v>
      </c>
      <c r="N2789">
        <v>95391.92</v>
      </c>
      <c r="O2789">
        <v>423804.03</v>
      </c>
      <c r="P2789" t="s">
        <v>31</v>
      </c>
      <c r="Q2789" t="s">
        <v>32</v>
      </c>
    </row>
    <row r="2790" spans="1:17" x14ac:dyDescent="0.25">
      <c r="A2790" t="s">
        <v>2907</v>
      </c>
      <c r="B2790" s="1">
        <v>46032</v>
      </c>
      <c r="C2790" t="s">
        <v>18</v>
      </c>
      <c r="D2790" t="s">
        <v>28</v>
      </c>
      <c r="E2790" t="s">
        <v>20</v>
      </c>
      <c r="F2790" t="s">
        <v>62</v>
      </c>
      <c r="G2790" t="s">
        <v>37</v>
      </c>
      <c r="H2790" t="s">
        <v>57</v>
      </c>
      <c r="I2790" t="s">
        <v>118</v>
      </c>
      <c r="J2790">
        <v>3</v>
      </c>
      <c r="K2790">
        <v>6988.59</v>
      </c>
      <c r="L2790">
        <v>20965.77</v>
      </c>
      <c r="M2790">
        <v>3037.92</v>
      </c>
      <c r="N2790">
        <v>0</v>
      </c>
      <c r="O2790">
        <v>17927.849999999999</v>
      </c>
      <c r="P2790" t="s">
        <v>73</v>
      </c>
      <c r="Q2790" t="s">
        <v>32</v>
      </c>
    </row>
    <row r="2791" spans="1:17" x14ac:dyDescent="0.25">
      <c r="A2791" t="s">
        <v>2908</v>
      </c>
      <c r="B2791" s="1">
        <v>46018</v>
      </c>
      <c r="C2791" t="s">
        <v>47</v>
      </c>
      <c r="D2791" t="s">
        <v>48</v>
      </c>
      <c r="E2791" t="s">
        <v>41</v>
      </c>
      <c r="F2791" t="s">
        <v>84</v>
      </c>
      <c r="G2791" t="s">
        <v>51</v>
      </c>
      <c r="H2791" t="s">
        <v>38</v>
      </c>
      <c r="I2791" t="s">
        <v>120</v>
      </c>
      <c r="J2791">
        <v>28</v>
      </c>
      <c r="K2791">
        <v>2310.98</v>
      </c>
      <c r="L2791">
        <v>64707.44</v>
      </c>
      <c r="M2791">
        <v>1399.46</v>
      </c>
      <c r="N2791">
        <v>0</v>
      </c>
      <c r="O2791">
        <v>63307.98</v>
      </c>
      <c r="P2791" t="s">
        <v>31</v>
      </c>
      <c r="Q2791" t="s">
        <v>32</v>
      </c>
    </row>
    <row r="2792" spans="1:17" x14ac:dyDescent="0.25">
      <c r="A2792" t="s">
        <v>2909</v>
      </c>
      <c r="B2792" s="1">
        <v>46005</v>
      </c>
      <c r="C2792" t="s">
        <v>79</v>
      </c>
      <c r="D2792" t="s">
        <v>101</v>
      </c>
      <c r="E2792" t="s">
        <v>20</v>
      </c>
      <c r="F2792" t="s">
        <v>36</v>
      </c>
      <c r="G2792" t="s">
        <v>51</v>
      </c>
      <c r="H2792" t="s">
        <v>44</v>
      </c>
      <c r="I2792" t="s">
        <v>281</v>
      </c>
      <c r="J2792">
        <v>40</v>
      </c>
      <c r="K2792">
        <v>43093.98</v>
      </c>
      <c r="L2792">
        <v>1723759.2</v>
      </c>
      <c r="M2792">
        <v>0</v>
      </c>
      <c r="N2792">
        <v>0</v>
      </c>
      <c r="O2792">
        <v>1723759.2</v>
      </c>
      <c r="P2792" t="s">
        <v>25</v>
      </c>
      <c r="Q2792" t="s">
        <v>26</v>
      </c>
    </row>
    <row r="2793" spans="1:17" x14ac:dyDescent="0.25">
      <c r="A2793" t="s">
        <v>2910</v>
      </c>
      <c r="B2793" s="1">
        <v>46034</v>
      </c>
      <c r="C2793" t="s">
        <v>47</v>
      </c>
      <c r="D2793" t="s">
        <v>88</v>
      </c>
      <c r="E2793" t="s">
        <v>35</v>
      </c>
      <c r="F2793" t="s">
        <v>36</v>
      </c>
      <c r="G2793" t="s">
        <v>98</v>
      </c>
      <c r="H2793" t="s">
        <v>94</v>
      </c>
      <c r="I2793" t="s">
        <v>193</v>
      </c>
      <c r="J2793">
        <v>25</v>
      </c>
      <c r="K2793">
        <v>24845.33</v>
      </c>
      <c r="L2793">
        <v>621133.25</v>
      </c>
      <c r="M2793">
        <v>20307.3</v>
      </c>
      <c r="N2793">
        <v>0</v>
      </c>
      <c r="O2793">
        <v>600825.94999999995</v>
      </c>
      <c r="P2793" t="s">
        <v>25</v>
      </c>
      <c r="Q2793" t="s">
        <v>26</v>
      </c>
    </row>
    <row r="2794" spans="1:17" x14ac:dyDescent="0.25">
      <c r="A2794" t="s">
        <v>2911</v>
      </c>
      <c r="B2794" s="1">
        <v>45958</v>
      </c>
      <c r="C2794" t="s">
        <v>18</v>
      </c>
      <c r="D2794" t="s">
        <v>34</v>
      </c>
      <c r="E2794" t="s">
        <v>41</v>
      </c>
      <c r="F2794" t="s">
        <v>71</v>
      </c>
      <c r="G2794" t="s">
        <v>43</v>
      </c>
      <c r="H2794" t="s">
        <v>23</v>
      </c>
      <c r="I2794" t="s">
        <v>131</v>
      </c>
      <c r="J2794">
        <v>13</v>
      </c>
      <c r="K2794">
        <v>40285.74</v>
      </c>
      <c r="L2794">
        <v>523714.62</v>
      </c>
      <c r="M2794">
        <v>0</v>
      </c>
      <c r="N2794">
        <v>43751.63</v>
      </c>
      <c r="O2794">
        <v>479962.99</v>
      </c>
      <c r="P2794" t="s">
        <v>25</v>
      </c>
      <c r="Q2794" t="s">
        <v>26</v>
      </c>
    </row>
    <row r="2795" spans="1:17" x14ac:dyDescent="0.25">
      <c r="A2795" t="s">
        <v>2912</v>
      </c>
      <c r="B2795" s="1">
        <v>45996</v>
      </c>
      <c r="C2795" t="s">
        <v>79</v>
      </c>
      <c r="D2795" t="s">
        <v>101</v>
      </c>
      <c r="E2795" t="s">
        <v>49</v>
      </c>
      <c r="F2795" t="s">
        <v>112</v>
      </c>
      <c r="G2795" t="s">
        <v>22</v>
      </c>
      <c r="H2795" t="s">
        <v>67</v>
      </c>
      <c r="I2795" t="s">
        <v>68</v>
      </c>
      <c r="J2795">
        <v>39</v>
      </c>
      <c r="K2795">
        <v>27162.6</v>
      </c>
      <c r="L2795">
        <v>1059341.3999999999</v>
      </c>
      <c r="M2795">
        <v>143265.65</v>
      </c>
      <c r="N2795">
        <v>0</v>
      </c>
      <c r="O2795">
        <v>916075.75</v>
      </c>
      <c r="P2795" t="s">
        <v>32</v>
      </c>
      <c r="Q2795" t="s">
        <v>32</v>
      </c>
    </row>
    <row r="2796" spans="1:17" x14ac:dyDescent="0.25">
      <c r="A2796" t="s">
        <v>2913</v>
      </c>
      <c r="B2796" s="1">
        <v>45985</v>
      </c>
      <c r="C2796" t="s">
        <v>79</v>
      </c>
      <c r="D2796" t="s">
        <v>101</v>
      </c>
      <c r="E2796" t="s">
        <v>41</v>
      </c>
      <c r="F2796" t="s">
        <v>112</v>
      </c>
      <c r="G2796" t="s">
        <v>37</v>
      </c>
      <c r="H2796" t="s">
        <v>44</v>
      </c>
      <c r="I2796" t="s">
        <v>152</v>
      </c>
      <c r="J2796">
        <v>50</v>
      </c>
      <c r="K2796">
        <v>2282.4</v>
      </c>
      <c r="L2796">
        <v>114120</v>
      </c>
      <c r="M2796">
        <v>0</v>
      </c>
      <c r="N2796">
        <v>0</v>
      </c>
      <c r="O2796">
        <v>114120</v>
      </c>
      <c r="P2796" t="s">
        <v>31</v>
      </c>
      <c r="Q2796" t="s">
        <v>32</v>
      </c>
    </row>
    <row r="2797" spans="1:17" x14ac:dyDescent="0.25">
      <c r="A2797" t="s">
        <v>2914</v>
      </c>
      <c r="B2797" s="1">
        <v>46032</v>
      </c>
      <c r="C2797" t="s">
        <v>47</v>
      </c>
      <c r="D2797" t="s">
        <v>88</v>
      </c>
      <c r="E2797" t="s">
        <v>49</v>
      </c>
      <c r="F2797" t="s">
        <v>21</v>
      </c>
      <c r="G2797" t="s">
        <v>66</v>
      </c>
      <c r="H2797" t="s">
        <v>94</v>
      </c>
      <c r="I2797" t="s">
        <v>177</v>
      </c>
      <c r="J2797">
        <v>49</v>
      </c>
      <c r="K2797">
        <v>28173.49</v>
      </c>
      <c r="L2797">
        <v>1380501.01</v>
      </c>
      <c r="M2797">
        <v>0</v>
      </c>
      <c r="N2797">
        <v>0</v>
      </c>
      <c r="O2797">
        <v>1380501.01</v>
      </c>
      <c r="P2797" t="s">
        <v>31</v>
      </c>
      <c r="Q2797" t="s">
        <v>32</v>
      </c>
    </row>
    <row r="2798" spans="1:17" x14ac:dyDescent="0.25">
      <c r="A2798" t="s">
        <v>2915</v>
      </c>
      <c r="B2798" s="1">
        <v>46008</v>
      </c>
      <c r="C2798" t="s">
        <v>79</v>
      </c>
      <c r="D2798" t="s">
        <v>107</v>
      </c>
      <c r="E2798" t="s">
        <v>49</v>
      </c>
      <c r="F2798" t="s">
        <v>62</v>
      </c>
      <c r="G2798" t="s">
        <v>29</v>
      </c>
      <c r="H2798" t="s">
        <v>67</v>
      </c>
      <c r="I2798" t="s">
        <v>170</v>
      </c>
      <c r="J2798">
        <v>31</v>
      </c>
      <c r="K2798">
        <v>16946.54</v>
      </c>
      <c r="L2798">
        <v>525342.74</v>
      </c>
      <c r="M2798">
        <v>71198.490000000005</v>
      </c>
      <c r="N2798">
        <v>0</v>
      </c>
      <c r="O2798">
        <v>454144.25</v>
      </c>
      <c r="P2798" t="s">
        <v>31</v>
      </c>
      <c r="Q2798" t="s">
        <v>32</v>
      </c>
    </row>
    <row r="2799" spans="1:17" x14ac:dyDescent="0.25">
      <c r="A2799" t="s">
        <v>2916</v>
      </c>
      <c r="B2799" s="1">
        <v>45969</v>
      </c>
      <c r="C2799" t="s">
        <v>18</v>
      </c>
      <c r="D2799" t="s">
        <v>19</v>
      </c>
      <c r="E2799" t="s">
        <v>49</v>
      </c>
      <c r="F2799" t="s">
        <v>84</v>
      </c>
      <c r="G2799" t="s">
        <v>85</v>
      </c>
      <c r="H2799" t="s">
        <v>38</v>
      </c>
      <c r="I2799" t="s">
        <v>175</v>
      </c>
      <c r="J2799">
        <v>29</v>
      </c>
      <c r="K2799">
        <v>16013.37</v>
      </c>
      <c r="L2799">
        <v>464387.73</v>
      </c>
      <c r="M2799">
        <v>2940.95</v>
      </c>
      <c r="N2799">
        <v>0</v>
      </c>
      <c r="O2799">
        <v>461446.78</v>
      </c>
      <c r="P2799" t="s">
        <v>73</v>
      </c>
      <c r="Q2799" t="s">
        <v>32</v>
      </c>
    </row>
    <row r="2800" spans="1:17" x14ac:dyDescent="0.25">
      <c r="A2800" t="s">
        <v>2917</v>
      </c>
      <c r="B2800" s="1">
        <v>45962</v>
      </c>
      <c r="C2800" t="s">
        <v>79</v>
      </c>
      <c r="D2800" t="s">
        <v>80</v>
      </c>
      <c r="E2800" t="s">
        <v>49</v>
      </c>
      <c r="F2800" t="s">
        <v>50</v>
      </c>
      <c r="G2800" t="s">
        <v>29</v>
      </c>
      <c r="H2800" t="s">
        <v>94</v>
      </c>
      <c r="I2800" t="s">
        <v>193</v>
      </c>
      <c r="J2800">
        <v>50</v>
      </c>
      <c r="K2800">
        <v>15069.38</v>
      </c>
      <c r="L2800">
        <v>753469</v>
      </c>
      <c r="M2800">
        <v>0</v>
      </c>
      <c r="N2800">
        <v>0</v>
      </c>
      <c r="O2800">
        <v>753469</v>
      </c>
      <c r="P2800" t="s">
        <v>32</v>
      </c>
      <c r="Q2800" t="s">
        <v>32</v>
      </c>
    </row>
    <row r="2801" spans="1:17" x14ac:dyDescent="0.25">
      <c r="A2801" t="s">
        <v>2918</v>
      </c>
      <c r="B2801" s="1">
        <v>45958</v>
      </c>
      <c r="C2801" t="s">
        <v>47</v>
      </c>
      <c r="D2801" t="s">
        <v>127</v>
      </c>
      <c r="E2801" t="s">
        <v>49</v>
      </c>
      <c r="F2801" t="s">
        <v>62</v>
      </c>
      <c r="G2801" t="s">
        <v>51</v>
      </c>
      <c r="H2801" t="s">
        <v>57</v>
      </c>
      <c r="I2801" t="s">
        <v>72</v>
      </c>
      <c r="J2801">
        <v>46</v>
      </c>
      <c r="K2801">
        <v>20646.13</v>
      </c>
      <c r="L2801">
        <v>949721.98</v>
      </c>
      <c r="M2801">
        <v>130805.86</v>
      </c>
      <c r="N2801">
        <v>0</v>
      </c>
      <c r="O2801">
        <v>818916.12</v>
      </c>
      <c r="P2801" t="s">
        <v>32</v>
      </c>
      <c r="Q2801" t="s">
        <v>26</v>
      </c>
    </row>
    <row r="2802" spans="1:17" x14ac:dyDescent="0.25">
      <c r="A2802" t="s">
        <v>2919</v>
      </c>
      <c r="B2802" s="1">
        <v>45999</v>
      </c>
      <c r="C2802" t="s">
        <v>60</v>
      </c>
      <c r="D2802" t="s">
        <v>151</v>
      </c>
      <c r="E2802" t="s">
        <v>49</v>
      </c>
      <c r="F2802" t="s">
        <v>42</v>
      </c>
      <c r="G2802" t="s">
        <v>85</v>
      </c>
      <c r="H2802" t="s">
        <v>67</v>
      </c>
      <c r="I2802" t="s">
        <v>103</v>
      </c>
      <c r="J2802">
        <v>7</v>
      </c>
      <c r="K2802">
        <v>1222.3599999999999</v>
      </c>
      <c r="L2802">
        <v>8556.52</v>
      </c>
      <c r="M2802">
        <v>0</v>
      </c>
      <c r="N2802">
        <v>0</v>
      </c>
      <c r="O2802">
        <v>8556.52</v>
      </c>
      <c r="P2802" t="s">
        <v>73</v>
      </c>
      <c r="Q2802" t="s">
        <v>32</v>
      </c>
    </row>
    <row r="2803" spans="1:17" x14ac:dyDescent="0.25">
      <c r="A2803" t="s">
        <v>2920</v>
      </c>
      <c r="B2803" s="1">
        <v>46002</v>
      </c>
      <c r="C2803" t="s">
        <v>18</v>
      </c>
      <c r="D2803" t="s">
        <v>28</v>
      </c>
      <c r="E2803" t="s">
        <v>49</v>
      </c>
      <c r="F2803" t="s">
        <v>84</v>
      </c>
      <c r="G2803" t="s">
        <v>63</v>
      </c>
      <c r="H2803" t="s">
        <v>38</v>
      </c>
      <c r="I2803" t="s">
        <v>82</v>
      </c>
      <c r="J2803">
        <v>8</v>
      </c>
      <c r="K2803">
        <v>16834.79</v>
      </c>
      <c r="L2803">
        <v>134678.32</v>
      </c>
      <c r="M2803">
        <v>5764.65</v>
      </c>
      <c r="N2803">
        <v>20617.900000000001</v>
      </c>
      <c r="O2803">
        <v>108295.77</v>
      </c>
      <c r="P2803" t="s">
        <v>25</v>
      </c>
      <c r="Q2803" t="s">
        <v>26</v>
      </c>
    </row>
    <row r="2804" spans="1:17" x14ac:dyDescent="0.25">
      <c r="A2804" t="s">
        <v>2921</v>
      </c>
      <c r="B2804" s="1">
        <v>45955</v>
      </c>
      <c r="C2804" t="s">
        <v>18</v>
      </c>
      <c r="D2804" t="s">
        <v>75</v>
      </c>
      <c r="E2804" t="s">
        <v>41</v>
      </c>
      <c r="F2804" t="s">
        <v>21</v>
      </c>
      <c r="G2804" t="s">
        <v>89</v>
      </c>
      <c r="H2804" t="s">
        <v>38</v>
      </c>
      <c r="I2804" t="s">
        <v>175</v>
      </c>
      <c r="J2804">
        <v>26</v>
      </c>
      <c r="K2804">
        <v>32995.53</v>
      </c>
      <c r="L2804">
        <v>857883.78</v>
      </c>
      <c r="M2804">
        <v>0</v>
      </c>
      <c r="N2804">
        <v>0</v>
      </c>
      <c r="O2804">
        <v>857883.78</v>
      </c>
      <c r="P2804" t="s">
        <v>32</v>
      </c>
      <c r="Q2804" t="s">
        <v>32</v>
      </c>
    </row>
    <row r="2805" spans="1:17" x14ac:dyDescent="0.25">
      <c r="A2805" t="s">
        <v>2922</v>
      </c>
      <c r="B2805" s="1">
        <v>46024</v>
      </c>
      <c r="C2805" t="s">
        <v>54</v>
      </c>
      <c r="D2805" t="s">
        <v>70</v>
      </c>
      <c r="E2805" t="s">
        <v>41</v>
      </c>
      <c r="F2805" t="s">
        <v>21</v>
      </c>
      <c r="G2805" t="s">
        <v>22</v>
      </c>
      <c r="H2805" t="s">
        <v>23</v>
      </c>
      <c r="I2805" t="s">
        <v>24</v>
      </c>
      <c r="J2805">
        <v>21</v>
      </c>
      <c r="K2805">
        <v>37672.46</v>
      </c>
      <c r="L2805">
        <v>791121.66</v>
      </c>
      <c r="M2805">
        <v>33930.730000000003</v>
      </c>
      <c r="N2805">
        <v>38623.51</v>
      </c>
      <c r="O2805">
        <v>718567.42</v>
      </c>
      <c r="P2805" t="s">
        <v>73</v>
      </c>
      <c r="Q2805" t="s">
        <v>26</v>
      </c>
    </row>
    <row r="2806" spans="1:17" x14ac:dyDescent="0.25">
      <c r="A2806" t="s">
        <v>2923</v>
      </c>
      <c r="B2806" s="1">
        <v>46021</v>
      </c>
      <c r="C2806" t="s">
        <v>18</v>
      </c>
      <c r="D2806" t="s">
        <v>75</v>
      </c>
      <c r="E2806" t="s">
        <v>20</v>
      </c>
      <c r="F2806" t="s">
        <v>84</v>
      </c>
      <c r="G2806" t="s">
        <v>85</v>
      </c>
      <c r="H2806" t="s">
        <v>67</v>
      </c>
      <c r="I2806" t="s">
        <v>154</v>
      </c>
      <c r="J2806">
        <v>47</v>
      </c>
      <c r="K2806">
        <v>45169.17</v>
      </c>
      <c r="L2806">
        <v>2122950.9900000002</v>
      </c>
      <c r="M2806">
        <v>0</v>
      </c>
      <c r="N2806">
        <v>0</v>
      </c>
      <c r="O2806">
        <v>2122950.9900000002</v>
      </c>
      <c r="P2806" t="s">
        <v>25</v>
      </c>
      <c r="Q2806" t="s">
        <v>26</v>
      </c>
    </row>
    <row r="2807" spans="1:17" x14ac:dyDescent="0.25">
      <c r="A2807" t="s">
        <v>2924</v>
      </c>
      <c r="B2807" s="1">
        <v>46024</v>
      </c>
      <c r="C2807" t="s">
        <v>54</v>
      </c>
      <c r="D2807" t="s">
        <v>70</v>
      </c>
      <c r="E2807" t="s">
        <v>35</v>
      </c>
      <c r="F2807" t="s">
        <v>21</v>
      </c>
      <c r="G2807" t="s">
        <v>85</v>
      </c>
      <c r="H2807" t="s">
        <v>57</v>
      </c>
      <c r="I2807" t="s">
        <v>92</v>
      </c>
      <c r="J2807">
        <v>36</v>
      </c>
      <c r="K2807">
        <v>17057.71</v>
      </c>
      <c r="L2807">
        <v>614077.56000000006</v>
      </c>
      <c r="M2807">
        <v>67056.53</v>
      </c>
      <c r="N2807">
        <v>0</v>
      </c>
      <c r="O2807">
        <v>547021.03</v>
      </c>
      <c r="P2807" t="s">
        <v>31</v>
      </c>
      <c r="Q2807" t="s">
        <v>32</v>
      </c>
    </row>
    <row r="2808" spans="1:17" x14ac:dyDescent="0.25">
      <c r="A2808" t="s">
        <v>2925</v>
      </c>
      <c r="B2808" s="1">
        <v>45956</v>
      </c>
      <c r="C2808" t="s">
        <v>60</v>
      </c>
      <c r="D2808" t="s">
        <v>151</v>
      </c>
      <c r="E2808" t="s">
        <v>41</v>
      </c>
      <c r="F2808" t="s">
        <v>84</v>
      </c>
      <c r="G2808" t="s">
        <v>63</v>
      </c>
      <c r="H2808" t="s">
        <v>67</v>
      </c>
      <c r="I2808" t="s">
        <v>201</v>
      </c>
      <c r="J2808">
        <v>31</v>
      </c>
      <c r="K2808">
        <v>13814.07</v>
      </c>
      <c r="L2808">
        <v>428236.17</v>
      </c>
      <c r="M2808">
        <v>0</v>
      </c>
      <c r="N2808">
        <v>0</v>
      </c>
      <c r="O2808">
        <v>428236.17</v>
      </c>
      <c r="P2808" t="s">
        <v>73</v>
      </c>
      <c r="Q2808" t="s">
        <v>26</v>
      </c>
    </row>
    <row r="2809" spans="1:17" x14ac:dyDescent="0.25">
      <c r="A2809" t="s">
        <v>2926</v>
      </c>
      <c r="B2809" s="1">
        <v>45996</v>
      </c>
      <c r="C2809" t="s">
        <v>60</v>
      </c>
      <c r="D2809" t="s">
        <v>61</v>
      </c>
      <c r="E2809" t="s">
        <v>49</v>
      </c>
      <c r="F2809" t="s">
        <v>105</v>
      </c>
      <c r="G2809" t="s">
        <v>22</v>
      </c>
      <c r="H2809" t="s">
        <v>57</v>
      </c>
      <c r="I2809" t="s">
        <v>58</v>
      </c>
      <c r="J2809">
        <v>17</v>
      </c>
      <c r="K2809">
        <v>8237.98</v>
      </c>
      <c r="L2809">
        <v>140045.66</v>
      </c>
      <c r="M2809">
        <v>22440.66</v>
      </c>
      <c r="N2809">
        <v>0</v>
      </c>
      <c r="O2809">
        <v>117605</v>
      </c>
      <c r="P2809" t="s">
        <v>32</v>
      </c>
      <c r="Q2809" t="s">
        <v>26</v>
      </c>
    </row>
    <row r="2810" spans="1:17" x14ac:dyDescent="0.25">
      <c r="A2810" t="s">
        <v>2927</v>
      </c>
      <c r="B2810" s="1">
        <v>46006</v>
      </c>
      <c r="C2810" t="s">
        <v>60</v>
      </c>
      <c r="D2810" t="s">
        <v>151</v>
      </c>
      <c r="E2810" t="s">
        <v>20</v>
      </c>
      <c r="F2810" t="s">
        <v>71</v>
      </c>
      <c r="G2810" t="s">
        <v>102</v>
      </c>
      <c r="H2810" t="s">
        <v>38</v>
      </c>
      <c r="I2810" t="s">
        <v>108</v>
      </c>
      <c r="J2810">
        <v>32</v>
      </c>
      <c r="K2810">
        <v>40282.03</v>
      </c>
      <c r="L2810">
        <v>1289024.96</v>
      </c>
      <c r="M2810">
        <v>185934.09</v>
      </c>
      <c r="N2810">
        <v>94674.33</v>
      </c>
      <c r="O2810">
        <v>1008416.54</v>
      </c>
      <c r="P2810" t="s">
        <v>31</v>
      </c>
      <c r="Q2810" t="s">
        <v>32</v>
      </c>
    </row>
    <row r="2811" spans="1:17" x14ac:dyDescent="0.25">
      <c r="A2811" t="s">
        <v>2928</v>
      </c>
      <c r="B2811" s="1">
        <v>45966</v>
      </c>
      <c r="C2811" t="s">
        <v>79</v>
      </c>
      <c r="D2811" t="s">
        <v>107</v>
      </c>
      <c r="E2811" t="s">
        <v>20</v>
      </c>
      <c r="F2811" t="s">
        <v>62</v>
      </c>
      <c r="G2811" t="s">
        <v>22</v>
      </c>
      <c r="H2811" t="s">
        <v>38</v>
      </c>
      <c r="I2811" t="s">
        <v>39</v>
      </c>
      <c r="J2811">
        <v>31</v>
      </c>
      <c r="K2811">
        <v>35900.699999999997</v>
      </c>
      <c r="L2811">
        <v>1112921.7</v>
      </c>
      <c r="M2811">
        <v>108448.18</v>
      </c>
      <c r="N2811">
        <v>0</v>
      </c>
      <c r="O2811">
        <v>1004473.52</v>
      </c>
      <c r="P2811" t="s">
        <v>73</v>
      </c>
      <c r="Q2811" t="s">
        <v>32</v>
      </c>
    </row>
    <row r="2812" spans="1:17" x14ac:dyDescent="0.25">
      <c r="A2812" t="s">
        <v>2929</v>
      </c>
      <c r="B2812" s="1">
        <v>46021</v>
      </c>
      <c r="C2812" t="s">
        <v>47</v>
      </c>
      <c r="D2812" t="s">
        <v>88</v>
      </c>
      <c r="E2812" t="s">
        <v>41</v>
      </c>
      <c r="F2812" t="s">
        <v>84</v>
      </c>
      <c r="G2812" t="s">
        <v>51</v>
      </c>
      <c r="H2812" t="s">
        <v>57</v>
      </c>
      <c r="I2812" t="s">
        <v>118</v>
      </c>
      <c r="J2812">
        <v>32</v>
      </c>
      <c r="K2812">
        <v>25295.47</v>
      </c>
      <c r="L2812">
        <v>809455.04</v>
      </c>
      <c r="M2812">
        <v>90878.11</v>
      </c>
      <c r="N2812">
        <v>0</v>
      </c>
      <c r="O2812">
        <v>718576.93</v>
      </c>
      <c r="P2812" t="s">
        <v>25</v>
      </c>
      <c r="Q2812" t="s">
        <v>26</v>
      </c>
    </row>
    <row r="2813" spans="1:17" x14ac:dyDescent="0.25">
      <c r="A2813" t="s">
        <v>2930</v>
      </c>
      <c r="B2813" s="1">
        <v>46038</v>
      </c>
      <c r="C2813" t="s">
        <v>18</v>
      </c>
      <c r="D2813" t="s">
        <v>34</v>
      </c>
      <c r="E2813" t="s">
        <v>20</v>
      </c>
      <c r="F2813" t="s">
        <v>42</v>
      </c>
      <c r="G2813" t="s">
        <v>51</v>
      </c>
      <c r="H2813" t="s">
        <v>57</v>
      </c>
      <c r="I2813" t="s">
        <v>92</v>
      </c>
      <c r="J2813">
        <v>13</v>
      </c>
      <c r="K2813">
        <v>25958.34</v>
      </c>
      <c r="L2813">
        <v>337458.42</v>
      </c>
      <c r="M2813">
        <v>0</v>
      </c>
      <c r="N2813">
        <v>0</v>
      </c>
      <c r="O2813">
        <v>337458.42</v>
      </c>
      <c r="P2813" t="s">
        <v>73</v>
      </c>
      <c r="Q2813" t="s">
        <v>32</v>
      </c>
    </row>
    <row r="2814" spans="1:17" x14ac:dyDescent="0.25">
      <c r="A2814" t="s">
        <v>2931</v>
      </c>
      <c r="B2814" s="1">
        <v>46026</v>
      </c>
      <c r="C2814" t="s">
        <v>60</v>
      </c>
      <c r="D2814" t="s">
        <v>151</v>
      </c>
      <c r="E2814" t="s">
        <v>41</v>
      </c>
      <c r="F2814" t="s">
        <v>84</v>
      </c>
      <c r="G2814" t="s">
        <v>81</v>
      </c>
      <c r="H2814" t="s">
        <v>67</v>
      </c>
      <c r="I2814" t="s">
        <v>77</v>
      </c>
      <c r="J2814">
        <v>19</v>
      </c>
      <c r="K2814">
        <v>19255.73</v>
      </c>
      <c r="L2814">
        <v>365858.87</v>
      </c>
      <c r="M2814">
        <v>52880.31</v>
      </c>
      <c r="N2814">
        <v>0</v>
      </c>
      <c r="O2814">
        <v>312978.56</v>
      </c>
      <c r="P2814" t="s">
        <v>73</v>
      </c>
      <c r="Q2814" t="s">
        <v>32</v>
      </c>
    </row>
    <row r="2815" spans="1:17" x14ac:dyDescent="0.25">
      <c r="A2815" t="s">
        <v>2932</v>
      </c>
      <c r="B2815" s="1">
        <v>46025</v>
      </c>
      <c r="C2815" t="s">
        <v>18</v>
      </c>
      <c r="D2815" t="s">
        <v>75</v>
      </c>
      <c r="E2815" t="s">
        <v>35</v>
      </c>
      <c r="F2815" t="s">
        <v>112</v>
      </c>
      <c r="G2815" t="s">
        <v>51</v>
      </c>
      <c r="H2815" t="s">
        <v>67</v>
      </c>
      <c r="I2815" t="s">
        <v>68</v>
      </c>
      <c r="J2815">
        <v>43</v>
      </c>
      <c r="K2815">
        <v>10925.17</v>
      </c>
      <c r="L2815">
        <v>469782.31</v>
      </c>
      <c r="M2815">
        <v>0</v>
      </c>
      <c r="N2815">
        <v>19161.11</v>
      </c>
      <c r="O2815">
        <v>450621.2</v>
      </c>
      <c r="P2815" t="s">
        <v>73</v>
      </c>
      <c r="Q2815" t="s">
        <v>32</v>
      </c>
    </row>
    <row r="2816" spans="1:17" x14ac:dyDescent="0.25">
      <c r="A2816" t="s">
        <v>2933</v>
      </c>
      <c r="B2816" s="1">
        <v>45970</v>
      </c>
      <c r="C2816" t="s">
        <v>47</v>
      </c>
      <c r="D2816" t="s">
        <v>114</v>
      </c>
      <c r="E2816" t="s">
        <v>49</v>
      </c>
      <c r="F2816" t="s">
        <v>50</v>
      </c>
      <c r="G2816" t="s">
        <v>85</v>
      </c>
      <c r="H2816" t="s">
        <v>94</v>
      </c>
      <c r="I2816" t="s">
        <v>193</v>
      </c>
      <c r="J2816">
        <v>15</v>
      </c>
      <c r="K2816">
        <v>39001.57</v>
      </c>
      <c r="L2816">
        <v>585023.55000000005</v>
      </c>
      <c r="M2816">
        <v>0</v>
      </c>
      <c r="N2816">
        <v>0</v>
      </c>
      <c r="O2816">
        <v>585023.55000000005</v>
      </c>
      <c r="P2816" t="s">
        <v>32</v>
      </c>
      <c r="Q2816" t="s">
        <v>32</v>
      </c>
    </row>
    <row r="2817" spans="1:17" x14ac:dyDescent="0.25">
      <c r="A2817" t="s">
        <v>2934</v>
      </c>
      <c r="B2817" s="1">
        <v>45957</v>
      </c>
      <c r="C2817" t="s">
        <v>47</v>
      </c>
      <c r="D2817" t="s">
        <v>48</v>
      </c>
      <c r="E2817" t="s">
        <v>20</v>
      </c>
      <c r="F2817" t="s">
        <v>21</v>
      </c>
      <c r="G2817" t="s">
        <v>89</v>
      </c>
      <c r="H2817" t="s">
        <v>67</v>
      </c>
      <c r="I2817" t="s">
        <v>68</v>
      </c>
      <c r="J2817">
        <v>7</v>
      </c>
      <c r="K2817">
        <v>33511.06</v>
      </c>
      <c r="L2817">
        <v>234577.42</v>
      </c>
      <c r="M2817">
        <v>30841.119999999999</v>
      </c>
      <c r="N2817">
        <v>0</v>
      </c>
      <c r="O2817">
        <v>203736.3</v>
      </c>
      <c r="P2817" t="s">
        <v>31</v>
      </c>
      <c r="Q2817" t="s">
        <v>32</v>
      </c>
    </row>
    <row r="2818" spans="1:17" x14ac:dyDescent="0.25">
      <c r="A2818" t="s">
        <v>2935</v>
      </c>
      <c r="B2818" s="1">
        <v>45986</v>
      </c>
      <c r="C2818" t="s">
        <v>47</v>
      </c>
      <c r="D2818" t="s">
        <v>127</v>
      </c>
      <c r="E2818" t="s">
        <v>35</v>
      </c>
      <c r="F2818" t="s">
        <v>50</v>
      </c>
      <c r="G2818" t="s">
        <v>37</v>
      </c>
      <c r="H2818" t="s">
        <v>94</v>
      </c>
      <c r="I2818" t="s">
        <v>115</v>
      </c>
      <c r="J2818">
        <v>33</v>
      </c>
      <c r="K2818">
        <v>27328.560000000001</v>
      </c>
      <c r="L2818">
        <v>901842.48</v>
      </c>
      <c r="M2818">
        <v>0</v>
      </c>
      <c r="N2818">
        <v>0</v>
      </c>
      <c r="O2818">
        <v>901842.48</v>
      </c>
      <c r="P2818" t="s">
        <v>25</v>
      </c>
      <c r="Q2818" t="s">
        <v>26</v>
      </c>
    </row>
    <row r="2819" spans="1:17" x14ac:dyDescent="0.25">
      <c r="A2819" t="s">
        <v>2936</v>
      </c>
      <c r="B2819" s="1">
        <v>46019</v>
      </c>
      <c r="C2819" t="s">
        <v>79</v>
      </c>
      <c r="D2819" t="s">
        <v>91</v>
      </c>
      <c r="E2819" t="s">
        <v>35</v>
      </c>
      <c r="F2819" t="s">
        <v>50</v>
      </c>
      <c r="G2819" t="s">
        <v>51</v>
      </c>
      <c r="H2819" t="s">
        <v>67</v>
      </c>
      <c r="I2819" t="s">
        <v>170</v>
      </c>
      <c r="J2819">
        <v>42</v>
      </c>
      <c r="K2819">
        <v>15271.24</v>
      </c>
      <c r="L2819">
        <v>641392.07999999996</v>
      </c>
      <c r="M2819">
        <v>127679.17</v>
      </c>
      <c r="N2819">
        <v>0</v>
      </c>
      <c r="O2819">
        <v>513712.91</v>
      </c>
      <c r="P2819" t="s">
        <v>31</v>
      </c>
      <c r="Q2819" t="s">
        <v>32</v>
      </c>
    </row>
    <row r="2820" spans="1:17" x14ac:dyDescent="0.25">
      <c r="A2820" t="s">
        <v>2937</v>
      </c>
      <c r="B2820" s="1">
        <v>46014</v>
      </c>
      <c r="C2820" t="s">
        <v>79</v>
      </c>
      <c r="D2820" t="s">
        <v>91</v>
      </c>
      <c r="E2820" t="s">
        <v>20</v>
      </c>
      <c r="F2820" t="s">
        <v>42</v>
      </c>
      <c r="G2820" t="s">
        <v>63</v>
      </c>
      <c r="H2820" t="s">
        <v>57</v>
      </c>
      <c r="I2820" t="s">
        <v>160</v>
      </c>
      <c r="J2820">
        <v>30</v>
      </c>
      <c r="K2820">
        <v>41634.18</v>
      </c>
      <c r="L2820">
        <v>1249025.3999999999</v>
      </c>
      <c r="M2820">
        <v>0</v>
      </c>
      <c r="N2820">
        <v>0</v>
      </c>
      <c r="O2820">
        <v>1249025.3999999999</v>
      </c>
      <c r="P2820" t="s">
        <v>32</v>
      </c>
      <c r="Q2820" t="s">
        <v>26</v>
      </c>
    </row>
    <row r="2821" spans="1:17" x14ac:dyDescent="0.25">
      <c r="A2821" t="s">
        <v>2938</v>
      </c>
      <c r="B2821" s="1">
        <v>45965</v>
      </c>
      <c r="C2821" t="s">
        <v>47</v>
      </c>
      <c r="D2821" t="s">
        <v>127</v>
      </c>
      <c r="E2821" t="s">
        <v>35</v>
      </c>
      <c r="F2821" t="s">
        <v>84</v>
      </c>
      <c r="G2821" t="s">
        <v>63</v>
      </c>
      <c r="H2821" t="s">
        <v>94</v>
      </c>
      <c r="I2821" t="s">
        <v>95</v>
      </c>
      <c r="J2821">
        <v>17</v>
      </c>
      <c r="K2821">
        <v>6354.15</v>
      </c>
      <c r="L2821">
        <v>108020.55</v>
      </c>
      <c r="M2821">
        <v>0</v>
      </c>
      <c r="N2821">
        <v>0</v>
      </c>
      <c r="O2821">
        <v>108020.55</v>
      </c>
      <c r="P2821" t="s">
        <v>25</v>
      </c>
      <c r="Q2821" t="s">
        <v>26</v>
      </c>
    </row>
    <row r="2822" spans="1:17" x14ac:dyDescent="0.25">
      <c r="A2822" t="s">
        <v>2939</v>
      </c>
      <c r="B2822" s="1">
        <v>45972</v>
      </c>
      <c r="C2822" t="s">
        <v>79</v>
      </c>
      <c r="D2822" t="s">
        <v>80</v>
      </c>
      <c r="E2822" t="s">
        <v>20</v>
      </c>
      <c r="F2822" t="s">
        <v>42</v>
      </c>
      <c r="G2822" t="s">
        <v>98</v>
      </c>
      <c r="H2822" t="s">
        <v>23</v>
      </c>
      <c r="I2822" t="s">
        <v>131</v>
      </c>
      <c r="J2822">
        <v>26</v>
      </c>
      <c r="K2822">
        <v>14565.53</v>
      </c>
      <c r="L2822">
        <v>378703.78</v>
      </c>
      <c r="M2822">
        <v>0</v>
      </c>
      <c r="N2822">
        <v>76960.5</v>
      </c>
      <c r="O2822">
        <v>301743.28000000003</v>
      </c>
      <c r="P2822" t="s">
        <v>25</v>
      </c>
      <c r="Q2822" t="s">
        <v>26</v>
      </c>
    </row>
    <row r="2823" spans="1:17" x14ac:dyDescent="0.25">
      <c r="A2823" t="s">
        <v>2940</v>
      </c>
      <c r="B2823" s="1">
        <v>46027</v>
      </c>
      <c r="C2823" t="s">
        <v>54</v>
      </c>
      <c r="D2823" t="s">
        <v>133</v>
      </c>
      <c r="E2823" t="s">
        <v>49</v>
      </c>
      <c r="F2823" t="s">
        <v>62</v>
      </c>
      <c r="G2823" t="s">
        <v>22</v>
      </c>
      <c r="H2823" t="s">
        <v>94</v>
      </c>
      <c r="I2823" t="s">
        <v>95</v>
      </c>
      <c r="J2823">
        <v>38</v>
      </c>
      <c r="K2823">
        <v>9670.0300000000007</v>
      </c>
      <c r="L2823">
        <v>367461.14</v>
      </c>
      <c r="M2823">
        <v>18142.95</v>
      </c>
      <c r="N2823">
        <v>0</v>
      </c>
      <c r="O2823">
        <v>349318.19</v>
      </c>
      <c r="P2823" t="s">
        <v>31</v>
      </c>
      <c r="Q2823" t="s">
        <v>32</v>
      </c>
    </row>
    <row r="2824" spans="1:17" x14ac:dyDescent="0.25">
      <c r="A2824" t="s">
        <v>2941</v>
      </c>
      <c r="B2824" s="1">
        <v>45984</v>
      </c>
      <c r="C2824" t="s">
        <v>47</v>
      </c>
      <c r="D2824" t="s">
        <v>88</v>
      </c>
      <c r="E2824" t="s">
        <v>49</v>
      </c>
      <c r="F2824" t="s">
        <v>137</v>
      </c>
      <c r="G2824" t="s">
        <v>85</v>
      </c>
      <c r="H2824" t="s">
        <v>38</v>
      </c>
      <c r="I2824" t="s">
        <v>39</v>
      </c>
      <c r="J2824">
        <v>40</v>
      </c>
      <c r="K2824">
        <v>32745.97</v>
      </c>
      <c r="L2824">
        <v>1309838.8</v>
      </c>
      <c r="M2824">
        <v>0</v>
      </c>
      <c r="N2824">
        <v>0</v>
      </c>
      <c r="O2824">
        <v>1309838.8</v>
      </c>
      <c r="P2824" t="s">
        <v>25</v>
      </c>
      <c r="Q2824" t="s">
        <v>26</v>
      </c>
    </row>
    <row r="2825" spans="1:17" x14ac:dyDescent="0.25">
      <c r="A2825" t="s">
        <v>2942</v>
      </c>
      <c r="B2825" s="1">
        <v>45974</v>
      </c>
      <c r="C2825" t="s">
        <v>47</v>
      </c>
      <c r="D2825" t="s">
        <v>114</v>
      </c>
      <c r="E2825" t="s">
        <v>49</v>
      </c>
      <c r="F2825" t="s">
        <v>84</v>
      </c>
      <c r="G2825" t="s">
        <v>37</v>
      </c>
      <c r="H2825" t="s">
        <v>57</v>
      </c>
      <c r="I2825" t="s">
        <v>118</v>
      </c>
      <c r="J2825">
        <v>24</v>
      </c>
      <c r="K2825">
        <v>7639.95</v>
      </c>
      <c r="L2825">
        <v>183358.8</v>
      </c>
      <c r="M2825">
        <v>0</v>
      </c>
      <c r="N2825">
        <v>0</v>
      </c>
      <c r="O2825">
        <v>183358.8</v>
      </c>
      <c r="P2825" t="s">
        <v>73</v>
      </c>
      <c r="Q2825" t="s">
        <v>26</v>
      </c>
    </row>
    <row r="2826" spans="1:17" x14ac:dyDescent="0.25">
      <c r="A2826" t="s">
        <v>2943</v>
      </c>
      <c r="B2826" s="1">
        <v>46004</v>
      </c>
      <c r="C2826" t="s">
        <v>60</v>
      </c>
      <c r="D2826" t="s">
        <v>123</v>
      </c>
      <c r="E2826" t="s">
        <v>35</v>
      </c>
      <c r="F2826" t="s">
        <v>21</v>
      </c>
      <c r="G2826" t="s">
        <v>43</v>
      </c>
      <c r="H2826" t="s">
        <v>23</v>
      </c>
      <c r="I2826" t="s">
        <v>52</v>
      </c>
      <c r="J2826">
        <v>19</v>
      </c>
      <c r="K2826">
        <v>36293.81</v>
      </c>
      <c r="L2826">
        <v>689582.39</v>
      </c>
      <c r="M2826">
        <v>81393.5</v>
      </c>
      <c r="N2826">
        <v>0</v>
      </c>
      <c r="O2826">
        <v>608188.89</v>
      </c>
      <c r="P2826" t="s">
        <v>31</v>
      </c>
      <c r="Q2826" t="s">
        <v>32</v>
      </c>
    </row>
    <row r="2827" spans="1:17" x14ac:dyDescent="0.25">
      <c r="A2827" t="s">
        <v>2944</v>
      </c>
      <c r="B2827" s="1">
        <v>45982</v>
      </c>
      <c r="C2827" t="s">
        <v>47</v>
      </c>
      <c r="D2827" t="s">
        <v>127</v>
      </c>
      <c r="E2827" t="s">
        <v>49</v>
      </c>
      <c r="F2827" t="s">
        <v>112</v>
      </c>
      <c r="G2827" t="s">
        <v>43</v>
      </c>
      <c r="H2827" t="s">
        <v>67</v>
      </c>
      <c r="I2827" t="s">
        <v>103</v>
      </c>
      <c r="J2827">
        <v>5</v>
      </c>
      <c r="K2827">
        <v>50373.97</v>
      </c>
      <c r="L2827">
        <v>251869.85</v>
      </c>
      <c r="M2827">
        <v>27810.93</v>
      </c>
      <c r="N2827">
        <v>0</v>
      </c>
      <c r="O2827">
        <v>224058.92</v>
      </c>
      <c r="P2827" t="s">
        <v>25</v>
      </c>
      <c r="Q2827" t="s">
        <v>26</v>
      </c>
    </row>
    <row r="2828" spans="1:17" x14ac:dyDescent="0.25">
      <c r="A2828" t="s">
        <v>2945</v>
      </c>
      <c r="B2828" s="1">
        <v>45996</v>
      </c>
      <c r="C2828" t="s">
        <v>79</v>
      </c>
      <c r="D2828" t="s">
        <v>91</v>
      </c>
      <c r="E2828" t="s">
        <v>49</v>
      </c>
      <c r="F2828" t="s">
        <v>62</v>
      </c>
      <c r="G2828" t="s">
        <v>51</v>
      </c>
      <c r="H2828" t="s">
        <v>57</v>
      </c>
      <c r="I2828" t="s">
        <v>58</v>
      </c>
      <c r="J2828">
        <v>9</v>
      </c>
      <c r="K2828">
        <v>2001.81</v>
      </c>
      <c r="L2828">
        <v>18016.29</v>
      </c>
      <c r="M2828">
        <v>523.96</v>
      </c>
      <c r="N2828">
        <v>0</v>
      </c>
      <c r="O2828">
        <v>17492.330000000002</v>
      </c>
      <c r="P2828" t="s">
        <v>73</v>
      </c>
      <c r="Q2828" t="s">
        <v>26</v>
      </c>
    </row>
    <row r="2829" spans="1:17" x14ac:dyDescent="0.25">
      <c r="A2829" t="s">
        <v>2946</v>
      </c>
      <c r="B2829" s="1">
        <v>45986</v>
      </c>
      <c r="C2829" t="s">
        <v>79</v>
      </c>
      <c r="D2829" t="s">
        <v>107</v>
      </c>
      <c r="E2829" t="s">
        <v>20</v>
      </c>
      <c r="F2829" t="s">
        <v>36</v>
      </c>
      <c r="G2829" t="s">
        <v>98</v>
      </c>
      <c r="H2829" t="s">
        <v>94</v>
      </c>
      <c r="I2829" t="s">
        <v>144</v>
      </c>
      <c r="J2829">
        <v>37</v>
      </c>
      <c r="K2829">
        <v>47572.57</v>
      </c>
      <c r="L2829">
        <v>1760185.09</v>
      </c>
      <c r="M2829">
        <v>0</v>
      </c>
      <c r="N2829">
        <v>0</v>
      </c>
      <c r="O2829">
        <v>1760185.09</v>
      </c>
      <c r="P2829" t="s">
        <v>31</v>
      </c>
      <c r="Q2829" t="s">
        <v>32</v>
      </c>
    </row>
    <row r="2830" spans="1:17" x14ac:dyDescent="0.25">
      <c r="A2830" t="s">
        <v>2947</v>
      </c>
      <c r="B2830" s="1">
        <v>45988</v>
      </c>
      <c r="C2830" t="s">
        <v>47</v>
      </c>
      <c r="D2830" t="s">
        <v>114</v>
      </c>
      <c r="E2830" t="s">
        <v>41</v>
      </c>
      <c r="F2830" t="s">
        <v>21</v>
      </c>
      <c r="G2830" t="s">
        <v>66</v>
      </c>
      <c r="H2830" t="s">
        <v>94</v>
      </c>
      <c r="I2830" t="s">
        <v>144</v>
      </c>
      <c r="J2830">
        <v>45</v>
      </c>
      <c r="K2830">
        <v>9560.82</v>
      </c>
      <c r="L2830">
        <v>430236.9</v>
      </c>
      <c r="M2830">
        <v>80788.479999999996</v>
      </c>
      <c r="N2830">
        <v>56702.73</v>
      </c>
      <c r="O2830">
        <v>292745.69</v>
      </c>
      <c r="P2830" t="s">
        <v>25</v>
      </c>
      <c r="Q2830" t="s">
        <v>26</v>
      </c>
    </row>
    <row r="2831" spans="1:17" x14ac:dyDescent="0.25">
      <c r="A2831" t="s">
        <v>2948</v>
      </c>
      <c r="B2831" s="1">
        <v>45991</v>
      </c>
      <c r="C2831" t="s">
        <v>47</v>
      </c>
      <c r="D2831" t="s">
        <v>88</v>
      </c>
      <c r="E2831" t="s">
        <v>49</v>
      </c>
      <c r="F2831" t="s">
        <v>112</v>
      </c>
      <c r="G2831" t="s">
        <v>89</v>
      </c>
      <c r="H2831" t="s">
        <v>67</v>
      </c>
      <c r="I2831" t="s">
        <v>77</v>
      </c>
      <c r="J2831">
        <v>44</v>
      </c>
      <c r="K2831">
        <v>6669.86</v>
      </c>
      <c r="L2831">
        <v>293473.84000000003</v>
      </c>
      <c r="M2831">
        <v>0</v>
      </c>
      <c r="N2831">
        <v>0</v>
      </c>
      <c r="O2831">
        <v>293473.84000000003</v>
      </c>
      <c r="P2831" t="s">
        <v>32</v>
      </c>
      <c r="Q2831" t="s">
        <v>32</v>
      </c>
    </row>
    <row r="2832" spans="1:17" x14ac:dyDescent="0.25">
      <c r="A2832" t="s">
        <v>2949</v>
      </c>
      <c r="B2832" s="1">
        <v>45996</v>
      </c>
      <c r="C2832" t="s">
        <v>79</v>
      </c>
      <c r="D2832" t="s">
        <v>107</v>
      </c>
      <c r="E2832" t="s">
        <v>41</v>
      </c>
      <c r="F2832" t="s">
        <v>84</v>
      </c>
      <c r="G2832" t="s">
        <v>138</v>
      </c>
      <c r="H2832" t="s">
        <v>38</v>
      </c>
      <c r="I2832" t="s">
        <v>82</v>
      </c>
      <c r="J2832">
        <v>2</v>
      </c>
      <c r="K2832">
        <v>10457.25</v>
      </c>
      <c r="L2832">
        <v>20914.5</v>
      </c>
      <c r="M2832">
        <v>3797.51</v>
      </c>
      <c r="N2832">
        <v>4915.6499999999996</v>
      </c>
      <c r="O2832">
        <v>12201.34</v>
      </c>
      <c r="P2832" t="s">
        <v>31</v>
      </c>
      <c r="Q2832" t="s">
        <v>32</v>
      </c>
    </row>
    <row r="2833" spans="1:17" x14ac:dyDescent="0.25">
      <c r="A2833" t="s">
        <v>2950</v>
      </c>
      <c r="B2833" s="1">
        <v>45985</v>
      </c>
      <c r="C2833" t="s">
        <v>18</v>
      </c>
      <c r="D2833" t="s">
        <v>34</v>
      </c>
      <c r="E2833" t="s">
        <v>41</v>
      </c>
      <c r="F2833" t="s">
        <v>42</v>
      </c>
      <c r="G2833" t="s">
        <v>102</v>
      </c>
      <c r="H2833" t="s">
        <v>94</v>
      </c>
      <c r="I2833" t="s">
        <v>144</v>
      </c>
      <c r="J2833">
        <v>7</v>
      </c>
      <c r="K2833">
        <v>40498.44</v>
      </c>
      <c r="L2833">
        <v>283489.08</v>
      </c>
      <c r="M2833">
        <v>0</v>
      </c>
      <c r="N2833">
        <v>22502.98</v>
      </c>
      <c r="O2833">
        <v>260986.1</v>
      </c>
      <c r="P2833" t="s">
        <v>25</v>
      </c>
      <c r="Q2833" t="s">
        <v>26</v>
      </c>
    </row>
    <row r="2834" spans="1:17" x14ac:dyDescent="0.25">
      <c r="A2834" t="s">
        <v>2951</v>
      </c>
      <c r="B2834" s="1">
        <v>45976</v>
      </c>
      <c r="C2834" t="s">
        <v>60</v>
      </c>
      <c r="D2834" t="s">
        <v>123</v>
      </c>
      <c r="E2834" t="s">
        <v>35</v>
      </c>
      <c r="F2834" t="s">
        <v>105</v>
      </c>
      <c r="G2834" t="s">
        <v>81</v>
      </c>
      <c r="H2834" t="s">
        <v>23</v>
      </c>
      <c r="I2834" t="s">
        <v>99</v>
      </c>
      <c r="J2834">
        <v>24</v>
      </c>
      <c r="K2834">
        <v>47354.68</v>
      </c>
      <c r="L2834">
        <v>1136512.32</v>
      </c>
      <c r="M2834">
        <v>0</v>
      </c>
      <c r="N2834">
        <v>0</v>
      </c>
      <c r="O2834">
        <v>1136512.32</v>
      </c>
      <c r="P2834" t="s">
        <v>31</v>
      </c>
      <c r="Q2834" t="s">
        <v>32</v>
      </c>
    </row>
    <row r="2835" spans="1:17" x14ac:dyDescent="0.25">
      <c r="A2835" t="s">
        <v>2952</v>
      </c>
      <c r="B2835" s="1">
        <v>45992</v>
      </c>
      <c r="C2835" t="s">
        <v>18</v>
      </c>
      <c r="D2835" t="s">
        <v>19</v>
      </c>
      <c r="E2835" t="s">
        <v>49</v>
      </c>
      <c r="F2835" t="s">
        <v>21</v>
      </c>
      <c r="G2835" t="s">
        <v>102</v>
      </c>
      <c r="H2835" t="s">
        <v>57</v>
      </c>
      <c r="I2835" t="s">
        <v>58</v>
      </c>
      <c r="J2835">
        <v>7</v>
      </c>
      <c r="K2835">
        <v>40559.86</v>
      </c>
      <c r="L2835">
        <v>283919.02</v>
      </c>
      <c r="M2835">
        <v>33977.93</v>
      </c>
      <c r="N2835">
        <v>0</v>
      </c>
      <c r="O2835">
        <v>249941.09</v>
      </c>
      <c r="P2835" t="s">
        <v>31</v>
      </c>
      <c r="Q2835" t="s">
        <v>32</v>
      </c>
    </row>
    <row r="2836" spans="1:17" x14ac:dyDescent="0.25">
      <c r="A2836" t="s">
        <v>2953</v>
      </c>
      <c r="B2836" s="1">
        <v>45998</v>
      </c>
      <c r="C2836" t="s">
        <v>18</v>
      </c>
      <c r="D2836" t="s">
        <v>28</v>
      </c>
      <c r="E2836" t="s">
        <v>41</v>
      </c>
      <c r="F2836" t="s">
        <v>36</v>
      </c>
      <c r="G2836" t="s">
        <v>140</v>
      </c>
      <c r="H2836" t="s">
        <v>23</v>
      </c>
      <c r="I2836" t="s">
        <v>110</v>
      </c>
      <c r="J2836">
        <v>13</v>
      </c>
      <c r="K2836">
        <v>45626.26</v>
      </c>
      <c r="L2836">
        <v>593141.38</v>
      </c>
      <c r="M2836">
        <v>32656.34</v>
      </c>
      <c r="N2836">
        <v>0</v>
      </c>
      <c r="O2836">
        <v>560485.04</v>
      </c>
      <c r="P2836" t="s">
        <v>31</v>
      </c>
      <c r="Q2836" t="s">
        <v>32</v>
      </c>
    </row>
    <row r="2837" spans="1:17" x14ac:dyDescent="0.25">
      <c r="A2837" t="s">
        <v>2954</v>
      </c>
      <c r="B2837" s="1">
        <v>45996</v>
      </c>
      <c r="C2837" t="s">
        <v>18</v>
      </c>
      <c r="D2837" t="s">
        <v>34</v>
      </c>
      <c r="E2837" t="s">
        <v>20</v>
      </c>
      <c r="F2837" t="s">
        <v>62</v>
      </c>
      <c r="G2837" t="s">
        <v>140</v>
      </c>
      <c r="H2837" t="s">
        <v>23</v>
      </c>
      <c r="I2837" t="s">
        <v>30</v>
      </c>
      <c r="J2837">
        <v>4</v>
      </c>
      <c r="K2837">
        <v>22403.98</v>
      </c>
      <c r="L2837">
        <v>89615.92</v>
      </c>
      <c r="M2837">
        <v>938.62</v>
      </c>
      <c r="N2837">
        <v>0</v>
      </c>
      <c r="O2837">
        <v>88677.3</v>
      </c>
      <c r="P2837" t="s">
        <v>32</v>
      </c>
      <c r="Q2837" t="s">
        <v>32</v>
      </c>
    </row>
    <row r="2838" spans="1:17" x14ac:dyDescent="0.25">
      <c r="A2838" t="s">
        <v>2955</v>
      </c>
      <c r="B2838" s="1">
        <v>46035</v>
      </c>
      <c r="C2838" t="s">
        <v>18</v>
      </c>
      <c r="D2838" t="s">
        <v>75</v>
      </c>
      <c r="E2838" t="s">
        <v>49</v>
      </c>
      <c r="F2838" t="s">
        <v>105</v>
      </c>
      <c r="G2838" t="s">
        <v>66</v>
      </c>
      <c r="H2838" t="s">
        <v>44</v>
      </c>
      <c r="I2838" t="s">
        <v>135</v>
      </c>
      <c r="J2838">
        <v>11</v>
      </c>
      <c r="K2838">
        <v>24547.64</v>
      </c>
      <c r="L2838">
        <v>270024.03999999998</v>
      </c>
      <c r="M2838">
        <v>0</v>
      </c>
      <c r="N2838">
        <v>41340.629999999997</v>
      </c>
      <c r="O2838">
        <v>228683.41</v>
      </c>
      <c r="P2838" t="s">
        <v>73</v>
      </c>
      <c r="Q2838" t="s">
        <v>32</v>
      </c>
    </row>
    <row r="2839" spans="1:17" x14ac:dyDescent="0.25">
      <c r="A2839" t="s">
        <v>2956</v>
      </c>
      <c r="B2839" s="1">
        <v>45983</v>
      </c>
      <c r="C2839" t="s">
        <v>47</v>
      </c>
      <c r="D2839" t="s">
        <v>88</v>
      </c>
      <c r="E2839" t="s">
        <v>20</v>
      </c>
      <c r="F2839" t="s">
        <v>105</v>
      </c>
      <c r="G2839" t="s">
        <v>140</v>
      </c>
      <c r="H2839" t="s">
        <v>23</v>
      </c>
      <c r="I2839" t="s">
        <v>131</v>
      </c>
      <c r="J2839">
        <v>10</v>
      </c>
      <c r="K2839">
        <v>48457.67</v>
      </c>
      <c r="L2839">
        <v>484576.7</v>
      </c>
      <c r="M2839">
        <v>74833.94</v>
      </c>
      <c r="N2839">
        <v>68312.160000000003</v>
      </c>
      <c r="O2839">
        <v>341430.6</v>
      </c>
      <c r="P2839" t="s">
        <v>73</v>
      </c>
      <c r="Q2839" t="s">
        <v>26</v>
      </c>
    </row>
    <row r="2840" spans="1:17" x14ac:dyDescent="0.25">
      <c r="A2840" t="s">
        <v>2957</v>
      </c>
      <c r="B2840" s="1">
        <v>45987</v>
      </c>
      <c r="C2840" t="s">
        <v>54</v>
      </c>
      <c r="D2840" t="s">
        <v>97</v>
      </c>
      <c r="E2840" t="s">
        <v>35</v>
      </c>
      <c r="F2840" t="s">
        <v>50</v>
      </c>
      <c r="G2840" t="s">
        <v>102</v>
      </c>
      <c r="H2840" t="s">
        <v>94</v>
      </c>
      <c r="I2840" t="s">
        <v>115</v>
      </c>
      <c r="J2840">
        <v>46</v>
      </c>
      <c r="K2840">
        <v>10562.2</v>
      </c>
      <c r="L2840">
        <v>485861.2</v>
      </c>
      <c r="M2840">
        <v>24616.9</v>
      </c>
      <c r="N2840">
        <v>49871.45</v>
      </c>
      <c r="O2840">
        <v>411372.85</v>
      </c>
      <c r="P2840" t="s">
        <v>25</v>
      </c>
      <c r="Q2840" t="s">
        <v>26</v>
      </c>
    </row>
    <row r="2841" spans="1:17" x14ac:dyDescent="0.25">
      <c r="A2841" t="s">
        <v>2958</v>
      </c>
      <c r="B2841" s="1">
        <v>46027</v>
      </c>
      <c r="C2841" t="s">
        <v>47</v>
      </c>
      <c r="D2841" t="s">
        <v>48</v>
      </c>
      <c r="E2841" t="s">
        <v>35</v>
      </c>
      <c r="F2841" t="s">
        <v>36</v>
      </c>
      <c r="G2841" t="s">
        <v>81</v>
      </c>
      <c r="H2841" t="s">
        <v>57</v>
      </c>
      <c r="I2841" t="s">
        <v>160</v>
      </c>
      <c r="J2841">
        <v>36</v>
      </c>
      <c r="K2841">
        <v>47915.57</v>
      </c>
      <c r="L2841">
        <v>1724960.52</v>
      </c>
      <c r="M2841">
        <v>263154.28000000003</v>
      </c>
      <c r="N2841">
        <v>0</v>
      </c>
      <c r="O2841">
        <v>1461806.24</v>
      </c>
      <c r="P2841" t="s">
        <v>31</v>
      </c>
      <c r="Q2841" t="s">
        <v>32</v>
      </c>
    </row>
    <row r="2842" spans="1:17" x14ac:dyDescent="0.25">
      <c r="A2842" t="s">
        <v>2959</v>
      </c>
      <c r="B2842" s="1">
        <v>46001</v>
      </c>
      <c r="C2842" t="s">
        <v>60</v>
      </c>
      <c r="D2842" t="s">
        <v>151</v>
      </c>
      <c r="E2842" t="s">
        <v>20</v>
      </c>
      <c r="F2842" t="s">
        <v>50</v>
      </c>
      <c r="G2842" t="s">
        <v>102</v>
      </c>
      <c r="H2842" t="s">
        <v>38</v>
      </c>
      <c r="I2842" t="s">
        <v>120</v>
      </c>
      <c r="J2842">
        <v>24</v>
      </c>
      <c r="K2842">
        <v>11096.79</v>
      </c>
      <c r="L2842">
        <v>266322.96000000002</v>
      </c>
      <c r="M2842">
        <v>0</v>
      </c>
      <c r="N2842">
        <v>0</v>
      </c>
      <c r="O2842">
        <v>266322.96000000002</v>
      </c>
      <c r="P2842" t="s">
        <v>73</v>
      </c>
      <c r="Q2842" t="s">
        <v>32</v>
      </c>
    </row>
    <row r="2843" spans="1:17" x14ac:dyDescent="0.25">
      <c r="A2843" t="s">
        <v>2960</v>
      </c>
      <c r="B2843" s="1">
        <v>45959</v>
      </c>
      <c r="C2843" t="s">
        <v>54</v>
      </c>
      <c r="D2843" t="s">
        <v>55</v>
      </c>
      <c r="E2843" t="s">
        <v>41</v>
      </c>
      <c r="F2843" t="s">
        <v>62</v>
      </c>
      <c r="G2843" t="s">
        <v>43</v>
      </c>
      <c r="H2843" t="s">
        <v>23</v>
      </c>
      <c r="I2843" t="s">
        <v>30</v>
      </c>
      <c r="J2843">
        <v>44</v>
      </c>
      <c r="K2843">
        <v>28901.360000000001</v>
      </c>
      <c r="L2843">
        <v>1271659.8400000001</v>
      </c>
      <c r="M2843">
        <v>138077.07999999999</v>
      </c>
      <c r="N2843">
        <v>0</v>
      </c>
      <c r="O2843">
        <v>1133582.76</v>
      </c>
      <c r="P2843" t="s">
        <v>73</v>
      </c>
      <c r="Q2843" t="s">
        <v>26</v>
      </c>
    </row>
    <row r="2844" spans="1:17" x14ac:dyDescent="0.25">
      <c r="A2844" t="s">
        <v>2961</v>
      </c>
      <c r="B2844" s="1">
        <v>45999</v>
      </c>
      <c r="C2844" t="s">
        <v>18</v>
      </c>
      <c r="D2844" t="s">
        <v>34</v>
      </c>
      <c r="E2844" t="s">
        <v>49</v>
      </c>
      <c r="F2844" t="s">
        <v>71</v>
      </c>
      <c r="G2844" t="s">
        <v>66</v>
      </c>
      <c r="H2844" t="s">
        <v>57</v>
      </c>
      <c r="I2844" t="s">
        <v>160</v>
      </c>
      <c r="J2844">
        <v>31</v>
      </c>
      <c r="K2844">
        <v>27507.42</v>
      </c>
      <c r="L2844">
        <v>852730.02</v>
      </c>
      <c r="M2844">
        <v>82377.02</v>
      </c>
      <c r="N2844">
        <v>0</v>
      </c>
      <c r="O2844">
        <v>770353</v>
      </c>
      <c r="P2844" t="s">
        <v>31</v>
      </c>
      <c r="Q2844" t="s">
        <v>32</v>
      </c>
    </row>
    <row r="2845" spans="1:17" x14ac:dyDescent="0.25">
      <c r="A2845" t="s">
        <v>2962</v>
      </c>
      <c r="B2845" s="1">
        <v>45976</v>
      </c>
      <c r="C2845" t="s">
        <v>47</v>
      </c>
      <c r="D2845" t="s">
        <v>48</v>
      </c>
      <c r="E2845" t="s">
        <v>20</v>
      </c>
      <c r="F2845" t="s">
        <v>50</v>
      </c>
      <c r="G2845" t="s">
        <v>85</v>
      </c>
      <c r="H2845" t="s">
        <v>94</v>
      </c>
      <c r="I2845" t="s">
        <v>163</v>
      </c>
      <c r="J2845">
        <v>27</v>
      </c>
      <c r="K2845">
        <v>31405.96</v>
      </c>
      <c r="L2845">
        <v>847960.92</v>
      </c>
      <c r="M2845">
        <v>63152.95</v>
      </c>
      <c r="N2845">
        <v>0</v>
      </c>
      <c r="O2845">
        <v>784807.97</v>
      </c>
      <c r="P2845" t="s">
        <v>32</v>
      </c>
      <c r="Q2845" t="s">
        <v>32</v>
      </c>
    </row>
    <row r="2846" spans="1:17" x14ac:dyDescent="0.25">
      <c r="A2846" t="s">
        <v>2963</v>
      </c>
      <c r="B2846" s="1">
        <v>45998</v>
      </c>
      <c r="C2846" t="s">
        <v>54</v>
      </c>
      <c r="D2846" t="s">
        <v>97</v>
      </c>
      <c r="E2846" t="s">
        <v>35</v>
      </c>
      <c r="F2846" t="s">
        <v>105</v>
      </c>
      <c r="G2846" t="s">
        <v>81</v>
      </c>
      <c r="H2846" t="s">
        <v>57</v>
      </c>
      <c r="I2846" t="s">
        <v>118</v>
      </c>
      <c r="J2846">
        <v>22</v>
      </c>
      <c r="K2846">
        <v>20092.62</v>
      </c>
      <c r="L2846">
        <v>442037.64</v>
      </c>
      <c r="M2846">
        <v>58252.28</v>
      </c>
      <c r="N2846">
        <v>0</v>
      </c>
      <c r="O2846">
        <v>383785.36</v>
      </c>
      <c r="P2846" t="s">
        <v>31</v>
      </c>
      <c r="Q2846" t="s">
        <v>32</v>
      </c>
    </row>
    <row r="2847" spans="1:17" x14ac:dyDescent="0.25">
      <c r="A2847" t="s">
        <v>2964</v>
      </c>
      <c r="B2847" s="1">
        <v>45984</v>
      </c>
      <c r="C2847" t="s">
        <v>54</v>
      </c>
      <c r="D2847" t="s">
        <v>97</v>
      </c>
      <c r="E2847" t="s">
        <v>41</v>
      </c>
      <c r="F2847" t="s">
        <v>84</v>
      </c>
      <c r="G2847" t="s">
        <v>37</v>
      </c>
      <c r="H2847" t="s">
        <v>57</v>
      </c>
      <c r="I2847" t="s">
        <v>160</v>
      </c>
      <c r="J2847">
        <v>13</v>
      </c>
      <c r="K2847">
        <v>47859.46</v>
      </c>
      <c r="L2847">
        <v>622172.98</v>
      </c>
      <c r="M2847">
        <v>75939.009999999995</v>
      </c>
      <c r="N2847">
        <v>0</v>
      </c>
      <c r="O2847">
        <v>546233.97</v>
      </c>
      <c r="P2847" t="s">
        <v>25</v>
      </c>
      <c r="Q2847" t="s">
        <v>26</v>
      </c>
    </row>
    <row r="2848" spans="1:17" x14ac:dyDescent="0.25">
      <c r="A2848" t="s">
        <v>2965</v>
      </c>
      <c r="B2848" s="1">
        <v>45991</v>
      </c>
      <c r="C2848" t="s">
        <v>54</v>
      </c>
      <c r="D2848" t="s">
        <v>133</v>
      </c>
      <c r="E2848" t="s">
        <v>20</v>
      </c>
      <c r="F2848" t="s">
        <v>71</v>
      </c>
      <c r="G2848" t="s">
        <v>37</v>
      </c>
      <c r="H2848" t="s">
        <v>67</v>
      </c>
      <c r="I2848" t="s">
        <v>201</v>
      </c>
      <c r="J2848">
        <v>50</v>
      </c>
      <c r="K2848">
        <v>6697.4</v>
      </c>
      <c r="L2848">
        <v>334870</v>
      </c>
      <c r="M2848">
        <v>29292.11</v>
      </c>
      <c r="N2848">
        <v>0</v>
      </c>
      <c r="O2848">
        <v>305577.89</v>
      </c>
      <c r="P2848" t="s">
        <v>31</v>
      </c>
      <c r="Q2848" t="s">
        <v>32</v>
      </c>
    </row>
    <row r="2849" spans="1:17" x14ac:dyDescent="0.25">
      <c r="A2849" t="s">
        <v>2966</v>
      </c>
      <c r="B2849" s="1">
        <v>46022</v>
      </c>
      <c r="C2849" t="s">
        <v>60</v>
      </c>
      <c r="D2849" t="s">
        <v>61</v>
      </c>
      <c r="E2849" t="s">
        <v>35</v>
      </c>
      <c r="F2849" t="s">
        <v>62</v>
      </c>
      <c r="G2849" t="s">
        <v>37</v>
      </c>
      <c r="H2849" t="s">
        <v>23</v>
      </c>
      <c r="I2849" t="s">
        <v>99</v>
      </c>
      <c r="J2849">
        <v>43</v>
      </c>
      <c r="K2849">
        <v>17215.37</v>
      </c>
      <c r="L2849">
        <v>740260.91</v>
      </c>
      <c r="M2849">
        <v>83433.759999999995</v>
      </c>
      <c r="N2849">
        <v>0</v>
      </c>
      <c r="O2849">
        <v>656827.15</v>
      </c>
      <c r="P2849" t="s">
        <v>73</v>
      </c>
      <c r="Q2849" t="s">
        <v>26</v>
      </c>
    </row>
    <row r="2850" spans="1:17" x14ac:dyDescent="0.25">
      <c r="A2850" t="s">
        <v>2967</v>
      </c>
      <c r="B2850" s="1">
        <v>46028</v>
      </c>
      <c r="C2850" t="s">
        <v>79</v>
      </c>
      <c r="D2850" t="s">
        <v>107</v>
      </c>
      <c r="E2850" t="s">
        <v>41</v>
      </c>
      <c r="F2850" t="s">
        <v>71</v>
      </c>
      <c r="G2850" t="s">
        <v>56</v>
      </c>
      <c r="H2850" t="s">
        <v>57</v>
      </c>
      <c r="I2850" t="s">
        <v>92</v>
      </c>
      <c r="J2850">
        <v>26</v>
      </c>
      <c r="K2850">
        <v>41391.83</v>
      </c>
      <c r="L2850">
        <v>1076187.58</v>
      </c>
      <c r="M2850">
        <v>187572.77</v>
      </c>
      <c r="N2850">
        <v>0</v>
      </c>
      <c r="O2850">
        <v>888614.81</v>
      </c>
      <c r="P2850" t="s">
        <v>73</v>
      </c>
      <c r="Q2850" t="s">
        <v>32</v>
      </c>
    </row>
    <row r="2851" spans="1:17" x14ac:dyDescent="0.25">
      <c r="A2851" t="s">
        <v>2968</v>
      </c>
      <c r="B2851" s="1">
        <v>46022</v>
      </c>
      <c r="C2851" t="s">
        <v>18</v>
      </c>
      <c r="D2851" t="s">
        <v>19</v>
      </c>
      <c r="E2851" t="s">
        <v>49</v>
      </c>
      <c r="F2851" t="s">
        <v>50</v>
      </c>
      <c r="G2851" t="s">
        <v>98</v>
      </c>
      <c r="H2851" t="s">
        <v>57</v>
      </c>
      <c r="I2851" t="s">
        <v>148</v>
      </c>
      <c r="J2851">
        <v>39</v>
      </c>
      <c r="K2851">
        <v>35805.75</v>
      </c>
      <c r="L2851">
        <v>1396424.25</v>
      </c>
      <c r="M2851">
        <v>240161.42</v>
      </c>
      <c r="N2851">
        <v>275583.8</v>
      </c>
      <c r="O2851">
        <v>880679.03</v>
      </c>
      <c r="P2851" t="s">
        <v>73</v>
      </c>
      <c r="Q2851" t="s">
        <v>26</v>
      </c>
    </row>
    <row r="2852" spans="1:17" x14ac:dyDescent="0.25">
      <c r="A2852" t="s">
        <v>2969</v>
      </c>
      <c r="B2852" s="1">
        <v>46000</v>
      </c>
      <c r="C2852" t="s">
        <v>60</v>
      </c>
      <c r="D2852" t="s">
        <v>151</v>
      </c>
      <c r="E2852" t="s">
        <v>49</v>
      </c>
      <c r="F2852" t="s">
        <v>105</v>
      </c>
      <c r="G2852" t="s">
        <v>51</v>
      </c>
      <c r="H2852" t="s">
        <v>38</v>
      </c>
      <c r="I2852" t="s">
        <v>86</v>
      </c>
      <c r="J2852">
        <v>38</v>
      </c>
      <c r="K2852">
        <v>33456.14</v>
      </c>
      <c r="L2852">
        <v>1271333.32</v>
      </c>
      <c r="M2852">
        <v>243833.97</v>
      </c>
      <c r="N2852">
        <v>0</v>
      </c>
      <c r="O2852">
        <v>1027499.35</v>
      </c>
      <c r="P2852" t="s">
        <v>25</v>
      </c>
      <c r="Q2852" t="s">
        <v>26</v>
      </c>
    </row>
    <row r="2853" spans="1:17" x14ac:dyDescent="0.25">
      <c r="A2853" t="s">
        <v>2970</v>
      </c>
      <c r="B2853" s="1">
        <v>46033</v>
      </c>
      <c r="C2853" t="s">
        <v>18</v>
      </c>
      <c r="D2853" t="s">
        <v>19</v>
      </c>
      <c r="E2853" t="s">
        <v>20</v>
      </c>
      <c r="F2853" t="s">
        <v>137</v>
      </c>
      <c r="G2853" t="s">
        <v>56</v>
      </c>
      <c r="H2853" t="s">
        <v>23</v>
      </c>
      <c r="I2853" t="s">
        <v>131</v>
      </c>
      <c r="J2853">
        <v>10</v>
      </c>
      <c r="K2853">
        <v>4794.72</v>
      </c>
      <c r="L2853">
        <v>47947.199999999997</v>
      </c>
      <c r="M2853">
        <v>0</v>
      </c>
      <c r="N2853">
        <v>0</v>
      </c>
      <c r="O2853">
        <v>47947.199999999997</v>
      </c>
      <c r="P2853" t="s">
        <v>25</v>
      </c>
      <c r="Q2853" t="s">
        <v>26</v>
      </c>
    </row>
    <row r="2854" spans="1:17" x14ac:dyDescent="0.25">
      <c r="A2854" t="s">
        <v>2971</v>
      </c>
      <c r="B2854" s="1">
        <v>45995</v>
      </c>
      <c r="C2854" t="s">
        <v>54</v>
      </c>
      <c r="D2854" t="s">
        <v>70</v>
      </c>
      <c r="E2854" t="s">
        <v>35</v>
      </c>
      <c r="F2854" t="s">
        <v>84</v>
      </c>
      <c r="G2854" t="s">
        <v>37</v>
      </c>
      <c r="H2854" t="s">
        <v>94</v>
      </c>
      <c r="I2854" t="s">
        <v>95</v>
      </c>
      <c r="J2854">
        <v>3</v>
      </c>
      <c r="K2854">
        <v>6465.51</v>
      </c>
      <c r="L2854">
        <v>19396.53</v>
      </c>
      <c r="M2854">
        <v>0</v>
      </c>
      <c r="N2854">
        <v>0</v>
      </c>
      <c r="O2854">
        <v>19396.53</v>
      </c>
      <c r="P2854" t="s">
        <v>31</v>
      </c>
      <c r="Q2854" t="s">
        <v>32</v>
      </c>
    </row>
    <row r="2855" spans="1:17" x14ac:dyDescent="0.25">
      <c r="A2855" t="s">
        <v>2972</v>
      </c>
      <c r="B2855" s="1">
        <v>45959</v>
      </c>
      <c r="C2855" t="s">
        <v>60</v>
      </c>
      <c r="D2855" t="s">
        <v>65</v>
      </c>
      <c r="E2855" t="s">
        <v>41</v>
      </c>
      <c r="F2855" t="s">
        <v>112</v>
      </c>
      <c r="G2855" t="s">
        <v>43</v>
      </c>
      <c r="H2855" t="s">
        <v>57</v>
      </c>
      <c r="I2855" t="s">
        <v>118</v>
      </c>
      <c r="J2855">
        <v>50</v>
      </c>
      <c r="K2855">
        <v>31111.4</v>
      </c>
      <c r="L2855">
        <v>1555570</v>
      </c>
      <c r="M2855">
        <v>29901.11</v>
      </c>
      <c r="N2855">
        <v>0</v>
      </c>
      <c r="O2855">
        <v>1525668.89</v>
      </c>
      <c r="P2855" t="s">
        <v>32</v>
      </c>
      <c r="Q2855" t="s">
        <v>32</v>
      </c>
    </row>
    <row r="2856" spans="1:17" x14ac:dyDescent="0.25">
      <c r="A2856" t="s">
        <v>2973</v>
      </c>
      <c r="B2856" s="1">
        <v>45996</v>
      </c>
      <c r="C2856" t="s">
        <v>60</v>
      </c>
      <c r="D2856" t="s">
        <v>61</v>
      </c>
      <c r="E2856" t="s">
        <v>41</v>
      </c>
      <c r="F2856" t="s">
        <v>112</v>
      </c>
      <c r="G2856" t="s">
        <v>22</v>
      </c>
      <c r="H2856" t="s">
        <v>44</v>
      </c>
      <c r="I2856" t="s">
        <v>45</v>
      </c>
      <c r="J2856">
        <v>34</v>
      </c>
      <c r="K2856">
        <v>2273.62</v>
      </c>
      <c r="L2856">
        <v>77303.08</v>
      </c>
      <c r="M2856">
        <v>0</v>
      </c>
      <c r="N2856">
        <v>0</v>
      </c>
      <c r="O2856">
        <v>77303.08</v>
      </c>
      <c r="P2856" t="s">
        <v>31</v>
      </c>
      <c r="Q2856" t="s">
        <v>32</v>
      </c>
    </row>
    <row r="2857" spans="1:17" x14ac:dyDescent="0.25">
      <c r="A2857" t="s">
        <v>2974</v>
      </c>
      <c r="B2857" s="1">
        <v>46005</v>
      </c>
      <c r="C2857" t="s">
        <v>79</v>
      </c>
      <c r="D2857" t="s">
        <v>80</v>
      </c>
      <c r="E2857" t="s">
        <v>20</v>
      </c>
      <c r="F2857" t="s">
        <v>105</v>
      </c>
      <c r="G2857" t="s">
        <v>89</v>
      </c>
      <c r="H2857" t="s">
        <v>67</v>
      </c>
      <c r="I2857" t="s">
        <v>154</v>
      </c>
      <c r="J2857">
        <v>16</v>
      </c>
      <c r="K2857">
        <v>39018.26</v>
      </c>
      <c r="L2857">
        <v>624292.16</v>
      </c>
      <c r="M2857">
        <v>0</v>
      </c>
      <c r="N2857">
        <v>0</v>
      </c>
      <c r="O2857">
        <v>624292.16</v>
      </c>
      <c r="P2857" t="s">
        <v>73</v>
      </c>
      <c r="Q2857" t="s">
        <v>26</v>
      </c>
    </row>
    <row r="2858" spans="1:17" x14ac:dyDescent="0.25">
      <c r="A2858" t="s">
        <v>2975</v>
      </c>
      <c r="B2858" s="1">
        <v>45989</v>
      </c>
      <c r="C2858" t="s">
        <v>18</v>
      </c>
      <c r="D2858" t="s">
        <v>34</v>
      </c>
      <c r="E2858" t="s">
        <v>49</v>
      </c>
      <c r="F2858" t="s">
        <v>21</v>
      </c>
      <c r="G2858" t="s">
        <v>138</v>
      </c>
      <c r="H2858" t="s">
        <v>23</v>
      </c>
      <c r="I2858" t="s">
        <v>110</v>
      </c>
      <c r="J2858">
        <v>7</v>
      </c>
      <c r="K2858">
        <v>24060.3</v>
      </c>
      <c r="L2858">
        <v>168422.1</v>
      </c>
      <c r="M2858">
        <v>17815.060000000001</v>
      </c>
      <c r="N2858">
        <v>0</v>
      </c>
      <c r="O2858">
        <v>150607.04000000001</v>
      </c>
      <c r="P2858" t="s">
        <v>25</v>
      </c>
      <c r="Q2858" t="s">
        <v>26</v>
      </c>
    </row>
    <row r="2859" spans="1:17" x14ac:dyDescent="0.25">
      <c r="A2859" t="s">
        <v>2976</v>
      </c>
      <c r="B2859" s="1">
        <v>45958</v>
      </c>
      <c r="C2859" t="s">
        <v>47</v>
      </c>
      <c r="D2859" t="s">
        <v>127</v>
      </c>
      <c r="E2859" t="s">
        <v>35</v>
      </c>
      <c r="F2859" t="s">
        <v>71</v>
      </c>
      <c r="G2859" t="s">
        <v>43</v>
      </c>
      <c r="H2859" t="s">
        <v>38</v>
      </c>
      <c r="I2859" t="s">
        <v>39</v>
      </c>
      <c r="J2859">
        <v>48</v>
      </c>
      <c r="K2859">
        <v>14071.87</v>
      </c>
      <c r="L2859">
        <v>675449.76</v>
      </c>
      <c r="M2859">
        <v>9162</v>
      </c>
      <c r="N2859">
        <v>0</v>
      </c>
      <c r="O2859">
        <v>666287.76</v>
      </c>
      <c r="P2859" t="s">
        <v>32</v>
      </c>
      <c r="Q2859" t="s">
        <v>32</v>
      </c>
    </row>
    <row r="2860" spans="1:17" x14ac:dyDescent="0.25">
      <c r="A2860" t="s">
        <v>2977</v>
      </c>
      <c r="B2860" s="1">
        <v>45966</v>
      </c>
      <c r="C2860" t="s">
        <v>54</v>
      </c>
      <c r="D2860" t="s">
        <v>97</v>
      </c>
      <c r="E2860" t="s">
        <v>41</v>
      </c>
      <c r="F2860" t="s">
        <v>62</v>
      </c>
      <c r="G2860" t="s">
        <v>85</v>
      </c>
      <c r="H2860" t="s">
        <v>38</v>
      </c>
      <c r="I2860" t="s">
        <v>86</v>
      </c>
      <c r="J2860">
        <v>33</v>
      </c>
      <c r="K2860">
        <v>8090.29</v>
      </c>
      <c r="L2860">
        <v>266979.57</v>
      </c>
      <c r="M2860">
        <v>1568.77</v>
      </c>
      <c r="N2860">
        <v>0</v>
      </c>
      <c r="O2860">
        <v>265410.8</v>
      </c>
      <c r="P2860" t="s">
        <v>31</v>
      </c>
      <c r="Q2860" t="s">
        <v>32</v>
      </c>
    </row>
    <row r="2861" spans="1:17" x14ac:dyDescent="0.25">
      <c r="A2861" t="s">
        <v>2978</v>
      </c>
      <c r="B2861" s="1">
        <v>46006</v>
      </c>
      <c r="C2861" t="s">
        <v>60</v>
      </c>
      <c r="D2861" t="s">
        <v>123</v>
      </c>
      <c r="E2861" t="s">
        <v>41</v>
      </c>
      <c r="F2861" t="s">
        <v>84</v>
      </c>
      <c r="G2861" t="s">
        <v>37</v>
      </c>
      <c r="H2861" t="s">
        <v>94</v>
      </c>
      <c r="I2861" t="s">
        <v>95</v>
      </c>
      <c r="J2861">
        <v>12</v>
      </c>
      <c r="K2861">
        <v>7546.45</v>
      </c>
      <c r="L2861">
        <v>90557.4</v>
      </c>
      <c r="M2861">
        <v>1599.6</v>
      </c>
      <c r="N2861">
        <v>19645.36</v>
      </c>
      <c r="O2861">
        <v>69312.44</v>
      </c>
      <c r="P2861" t="s">
        <v>31</v>
      </c>
      <c r="Q2861" t="s">
        <v>32</v>
      </c>
    </row>
    <row r="2862" spans="1:17" x14ac:dyDescent="0.25">
      <c r="A2862" t="s">
        <v>2979</v>
      </c>
      <c r="B2862" s="1">
        <v>46026</v>
      </c>
      <c r="C2862" t="s">
        <v>54</v>
      </c>
      <c r="D2862" t="s">
        <v>133</v>
      </c>
      <c r="E2862" t="s">
        <v>41</v>
      </c>
      <c r="F2862" t="s">
        <v>42</v>
      </c>
      <c r="G2862" t="s">
        <v>37</v>
      </c>
      <c r="H2862" t="s">
        <v>67</v>
      </c>
      <c r="I2862" t="s">
        <v>154</v>
      </c>
      <c r="J2862">
        <v>23</v>
      </c>
      <c r="K2862">
        <v>40286.620000000003</v>
      </c>
      <c r="L2862">
        <v>926592.26</v>
      </c>
      <c r="M2862">
        <v>104203.85</v>
      </c>
      <c r="N2862">
        <v>0</v>
      </c>
      <c r="O2862">
        <v>822388.41</v>
      </c>
      <c r="P2862" t="s">
        <v>32</v>
      </c>
      <c r="Q2862" t="s">
        <v>32</v>
      </c>
    </row>
    <row r="2863" spans="1:17" x14ac:dyDescent="0.25">
      <c r="A2863" t="s">
        <v>2980</v>
      </c>
      <c r="B2863" s="1">
        <v>46023</v>
      </c>
      <c r="C2863" t="s">
        <v>79</v>
      </c>
      <c r="D2863" t="s">
        <v>107</v>
      </c>
      <c r="E2863" t="s">
        <v>20</v>
      </c>
      <c r="F2863" t="s">
        <v>105</v>
      </c>
      <c r="G2863" t="s">
        <v>81</v>
      </c>
      <c r="H2863" t="s">
        <v>67</v>
      </c>
      <c r="I2863" t="s">
        <v>154</v>
      </c>
      <c r="J2863">
        <v>41</v>
      </c>
      <c r="K2863">
        <v>20528.45</v>
      </c>
      <c r="L2863">
        <v>841666.45</v>
      </c>
      <c r="M2863">
        <v>166578.26</v>
      </c>
      <c r="N2863">
        <v>0</v>
      </c>
      <c r="O2863">
        <v>675088.19</v>
      </c>
      <c r="P2863" t="s">
        <v>31</v>
      </c>
      <c r="Q2863" t="s">
        <v>32</v>
      </c>
    </row>
    <row r="2864" spans="1:17" x14ac:dyDescent="0.25">
      <c r="A2864" t="s">
        <v>2981</v>
      </c>
      <c r="B2864" s="1">
        <v>46008</v>
      </c>
      <c r="C2864" t="s">
        <v>79</v>
      </c>
      <c r="D2864" t="s">
        <v>107</v>
      </c>
      <c r="E2864" t="s">
        <v>49</v>
      </c>
      <c r="F2864" t="s">
        <v>105</v>
      </c>
      <c r="G2864" t="s">
        <v>138</v>
      </c>
      <c r="H2864" t="s">
        <v>38</v>
      </c>
      <c r="I2864" t="s">
        <v>86</v>
      </c>
      <c r="J2864">
        <v>4</v>
      </c>
      <c r="K2864">
        <v>22370.55</v>
      </c>
      <c r="L2864">
        <v>89482.2</v>
      </c>
      <c r="M2864">
        <v>7808.46</v>
      </c>
      <c r="N2864">
        <v>0</v>
      </c>
      <c r="O2864">
        <v>81673.740000000005</v>
      </c>
      <c r="P2864" t="s">
        <v>73</v>
      </c>
      <c r="Q2864" t="s">
        <v>32</v>
      </c>
    </row>
    <row r="2865" spans="1:17" x14ac:dyDescent="0.25">
      <c r="A2865" t="s">
        <v>2982</v>
      </c>
      <c r="B2865" s="1">
        <v>45965</v>
      </c>
      <c r="C2865" t="s">
        <v>47</v>
      </c>
      <c r="D2865" t="s">
        <v>88</v>
      </c>
      <c r="E2865" t="s">
        <v>41</v>
      </c>
      <c r="F2865" t="s">
        <v>36</v>
      </c>
      <c r="G2865" t="s">
        <v>37</v>
      </c>
      <c r="H2865" t="s">
        <v>23</v>
      </c>
      <c r="I2865" t="s">
        <v>30</v>
      </c>
      <c r="J2865">
        <v>27</v>
      </c>
      <c r="K2865">
        <v>40627.879999999997</v>
      </c>
      <c r="L2865">
        <v>1096952.76</v>
      </c>
      <c r="M2865">
        <v>0</v>
      </c>
      <c r="N2865">
        <v>126424.44</v>
      </c>
      <c r="O2865">
        <v>970528.32</v>
      </c>
      <c r="P2865" t="s">
        <v>25</v>
      </c>
      <c r="Q2865" t="s">
        <v>26</v>
      </c>
    </row>
    <row r="2866" spans="1:17" x14ac:dyDescent="0.25">
      <c r="A2866" t="s">
        <v>2983</v>
      </c>
      <c r="B2866" s="1">
        <v>46018</v>
      </c>
      <c r="C2866" t="s">
        <v>54</v>
      </c>
      <c r="D2866" t="s">
        <v>55</v>
      </c>
      <c r="E2866" t="s">
        <v>20</v>
      </c>
      <c r="F2866" t="s">
        <v>84</v>
      </c>
      <c r="G2866" t="s">
        <v>22</v>
      </c>
      <c r="H2866" t="s">
        <v>57</v>
      </c>
      <c r="I2866" t="s">
        <v>92</v>
      </c>
      <c r="J2866">
        <v>33</v>
      </c>
      <c r="K2866">
        <v>35487.93</v>
      </c>
      <c r="L2866">
        <v>1171101.69</v>
      </c>
      <c r="M2866">
        <v>68438.240000000005</v>
      </c>
      <c r="N2866">
        <v>224988.41</v>
      </c>
      <c r="O2866">
        <v>877675.04</v>
      </c>
      <c r="P2866" t="s">
        <v>32</v>
      </c>
      <c r="Q2866" t="s">
        <v>32</v>
      </c>
    </row>
    <row r="2867" spans="1:17" x14ac:dyDescent="0.25">
      <c r="A2867" t="s">
        <v>2984</v>
      </c>
      <c r="B2867" s="1">
        <v>45991</v>
      </c>
      <c r="C2867" t="s">
        <v>79</v>
      </c>
      <c r="D2867" t="s">
        <v>91</v>
      </c>
      <c r="E2867" t="s">
        <v>49</v>
      </c>
      <c r="F2867" t="s">
        <v>137</v>
      </c>
      <c r="G2867" t="s">
        <v>56</v>
      </c>
      <c r="H2867" t="s">
        <v>94</v>
      </c>
      <c r="I2867" t="s">
        <v>193</v>
      </c>
      <c r="J2867">
        <v>46</v>
      </c>
      <c r="K2867">
        <v>4134.1000000000004</v>
      </c>
      <c r="L2867">
        <v>190168.6</v>
      </c>
      <c r="M2867">
        <v>34569.64</v>
      </c>
      <c r="N2867">
        <v>0</v>
      </c>
      <c r="O2867">
        <v>155598.96</v>
      </c>
      <c r="P2867" t="s">
        <v>31</v>
      </c>
      <c r="Q2867" t="s">
        <v>32</v>
      </c>
    </row>
    <row r="2868" spans="1:17" x14ac:dyDescent="0.25">
      <c r="A2868" t="s">
        <v>2985</v>
      </c>
      <c r="B2868" s="1">
        <v>45979</v>
      </c>
      <c r="C2868" t="s">
        <v>47</v>
      </c>
      <c r="D2868" t="s">
        <v>114</v>
      </c>
      <c r="E2868" t="s">
        <v>49</v>
      </c>
      <c r="F2868" t="s">
        <v>71</v>
      </c>
      <c r="G2868" t="s">
        <v>81</v>
      </c>
      <c r="H2868" t="s">
        <v>23</v>
      </c>
      <c r="I2868" t="s">
        <v>24</v>
      </c>
      <c r="J2868">
        <v>4</v>
      </c>
      <c r="K2868">
        <v>49001.03</v>
      </c>
      <c r="L2868">
        <v>196004.12</v>
      </c>
      <c r="M2868">
        <v>37144.589999999997</v>
      </c>
      <c r="N2868">
        <v>24309.1</v>
      </c>
      <c r="O2868">
        <v>134550.43</v>
      </c>
      <c r="P2868" t="s">
        <v>73</v>
      </c>
      <c r="Q2868" t="s">
        <v>26</v>
      </c>
    </row>
    <row r="2869" spans="1:17" x14ac:dyDescent="0.25">
      <c r="A2869" t="s">
        <v>2986</v>
      </c>
      <c r="B2869" s="1">
        <v>46018</v>
      </c>
      <c r="C2869" t="s">
        <v>18</v>
      </c>
      <c r="D2869" t="s">
        <v>19</v>
      </c>
      <c r="E2869" t="s">
        <v>41</v>
      </c>
      <c r="F2869" t="s">
        <v>21</v>
      </c>
      <c r="G2869" t="s">
        <v>138</v>
      </c>
      <c r="H2869" t="s">
        <v>23</v>
      </c>
      <c r="I2869" t="s">
        <v>99</v>
      </c>
      <c r="J2869">
        <v>36</v>
      </c>
      <c r="K2869">
        <v>4983.37</v>
      </c>
      <c r="L2869">
        <v>179401.32</v>
      </c>
      <c r="M2869">
        <v>3715.4</v>
      </c>
      <c r="N2869">
        <v>0</v>
      </c>
      <c r="O2869">
        <v>175685.92</v>
      </c>
      <c r="P2869" t="s">
        <v>32</v>
      </c>
      <c r="Q2869" t="s">
        <v>26</v>
      </c>
    </row>
    <row r="2870" spans="1:17" x14ac:dyDescent="0.25">
      <c r="A2870" t="s">
        <v>2987</v>
      </c>
      <c r="B2870" s="1">
        <v>45972</v>
      </c>
      <c r="C2870" t="s">
        <v>54</v>
      </c>
      <c r="D2870" t="s">
        <v>97</v>
      </c>
      <c r="E2870" t="s">
        <v>35</v>
      </c>
      <c r="F2870" t="s">
        <v>62</v>
      </c>
      <c r="G2870" t="s">
        <v>37</v>
      </c>
      <c r="H2870" t="s">
        <v>57</v>
      </c>
      <c r="I2870" t="s">
        <v>118</v>
      </c>
      <c r="J2870">
        <v>31</v>
      </c>
      <c r="K2870">
        <v>48404.800000000003</v>
      </c>
      <c r="L2870">
        <v>1500548.8</v>
      </c>
      <c r="M2870">
        <v>81556.06</v>
      </c>
      <c r="N2870">
        <v>0</v>
      </c>
      <c r="O2870">
        <v>1418992.74</v>
      </c>
      <c r="P2870" t="s">
        <v>25</v>
      </c>
      <c r="Q2870" t="s">
        <v>26</v>
      </c>
    </row>
    <row r="2871" spans="1:17" x14ac:dyDescent="0.25">
      <c r="A2871" t="s">
        <v>2988</v>
      </c>
      <c r="B2871" s="1">
        <v>45974</v>
      </c>
      <c r="C2871" t="s">
        <v>18</v>
      </c>
      <c r="D2871" t="s">
        <v>75</v>
      </c>
      <c r="E2871" t="s">
        <v>49</v>
      </c>
      <c r="F2871" t="s">
        <v>105</v>
      </c>
      <c r="G2871" t="s">
        <v>29</v>
      </c>
      <c r="H2871" t="s">
        <v>44</v>
      </c>
      <c r="I2871" t="s">
        <v>141</v>
      </c>
      <c r="J2871">
        <v>34</v>
      </c>
      <c r="K2871">
        <v>4154.75</v>
      </c>
      <c r="L2871">
        <v>141261.5</v>
      </c>
      <c r="M2871">
        <v>10719.6</v>
      </c>
      <c r="N2871">
        <v>0</v>
      </c>
      <c r="O2871">
        <v>130541.9</v>
      </c>
      <c r="P2871" t="s">
        <v>73</v>
      </c>
      <c r="Q2871" t="s">
        <v>32</v>
      </c>
    </row>
    <row r="2872" spans="1:17" x14ac:dyDescent="0.25">
      <c r="A2872" t="s">
        <v>2989</v>
      </c>
      <c r="B2872" s="1">
        <v>46024</v>
      </c>
      <c r="C2872" t="s">
        <v>79</v>
      </c>
      <c r="D2872" t="s">
        <v>80</v>
      </c>
      <c r="E2872" t="s">
        <v>20</v>
      </c>
      <c r="F2872" t="s">
        <v>62</v>
      </c>
      <c r="G2872" t="s">
        <v>63</v>
      </c>
      <c r="H2872" t="s">
        <v>67</v>
      </c>
      <c r="I2872" t="s">
        <v>68</v>
      </c>
      <c r="J2872">
        <v>34</v>
      </c>
      <c r="K2872">
        <v>9068.83</v>
      </c>
      <c r="L2872">
        <v>308340.21999999997</v>
      </c>
      <c r="M2872">
        <v>0</v>
      </c>
      <c r="N2872">
        <v>0</v>
      </c>
      <c r="O2872">
        <v>308340.21999999997</v>
      </c>
      <c r="P2872" t="s">
        <v>32</v>
      </c>
      <c r="Q2872" t="s">
        <v>26</v>
      </c>
    </row>
    <row r="2873" spans="1:17" x14ac:dyDescent="0.25">
      <c r="A2873" t="s">
        <v>2990</v>
      </c>
      <c r="B2873" s="1">
        <v>46036</v>
      </c>
      <c r="C2873" t="s">
        <v>47</v>
      </c>
      <c r="D2873" t="s">
        <v>88</v>
      </c>
      <c r="E2873" t="s">
        <v>35</v>
      </c>
      <c r="F2873" t="s">
        <v>84</v>
      </c>
      <c r="G2873" t="s">
        <v>66</v>
      </c>
      <c r="H2873" t="s">
        <v>44</v>
      </c>
      <c r="I2873" t="s">
        <v>152</v>
      </c>
      <c r="J2873">
        <v>19</v>
      </c>
      <c r="K2873">
        <v>36721.9</v>
      </c>
      <c r="L2873">
        <v>697716.1</v>
      </c>
      <c r="M2873">
        <v>0</v>
      </c>
      <c r="N2873">
        <v>0</v>
      </c>
      <c r="O2873">
        <v>697716.1</v>
      </c>
      <c r="P2873" t="s">
        <v>32</v>
      </c>
      <c r="Q2873" t="s">
        <v>32</v>
      </c>
    </row>
    <row r="2874" spans="1:17" x14ac:dyDescent="0.25">
      <c r="A2874" t="s">
        <v>2991</v>
      </c>
      <c r="B2874" s="1">
        <v>46020</v>
      </c>
      <c r="C2874" t="s">
        <v>60</v>
      </c>
      <c r="D2874" t="s">
        <v>123</v>
      </c>
      <c r="E2874" t="s">
        <v>41</v>
      </c>
      <c r="F2874" t="s">
        <v>112</v>
      </c>
      <c r="G2874" t="s">
        <v>98</v>
      </c>
      <c r="H2874" t="s">
        <v>57</v>
      </c>
      <c r="I2874" t="s">
        <v>118</v>
      </c>
      <c r="J2874">
        <v>25</v>
      </c>
      <c r="K2874">
        <v>20287.43</v>
      </c>
      <c r="L2874">
        <v>507185.75</v>
      </c>
      <c r="M2874">
        <v>8639.0400000000009</v>
      </c>
      <c r="N2874">
        <v>0</v>
      </c>
      <c r="O2874">
        <v>498546.71</v>
      </c>
      <c r="P2874" t="s">
        <v>32</v>
      </c>
      <c r="Q2874" t="s">
        <v>26</v>
      </c>
    </row>
    <row r="2875" spans="1:17" x14ac:dyDescent="0.25">
      <c r="A2875" t="s">
        <v>2992</v>
      </c>
      <c r="B2875" s="1">
        <v>45959</v>
      </c>
      <c r="C2875" t="s">
        <v>79</v>
      </c>
      <c r="D2875" t="s">
        <v>91</v>
      </c>
      <c r="E2875" t="s">
        <v>20</v>
      </c>
      <c r="F2875" t="s">
        <v>137</v>
      </c>
      <c r="G2875" t="s">
        <v>81</v>
      </c>
      <c r="H2875" t="s">
        <v>57</v>
      </c>
      <c r="I2875" t="s">
        <v>58</v>
      </c>
      <c r="J2875">
        <v>18</v>
      </c>
      <c r="K2875">
        <v>16293.93</v>
      </c>
      <c r="L2875">
        <v>293290.74</v>
      </c>
      <c r="M2875">
        <v>0</v>
      </c>
      <c r="N2875">
        <v>0</v>
      </c>
      <c r="O2875">
        <v>293290.74</v>
      </c>
      <c r="P2875" t="s">
        <v>31</v>
      </c>
      <c r="Q2875" t="s">
        <v>32</v>
      </c>
    </row>
    <row r="2876" spans="1:17" x14ac:dyDescent="0.25">
      <c r="A2876" t="s">
        <v>2993</v>
      </c>
      <c r="B2876" s="1">
        <v>45964</v>
      </c>
      <c r="C2876" t="s">
        <v>47</v>
      </c>
      <c r="D2876" t="s">
        <v>114</v>
      </c>
      <c r="E2876" t="s">
        <v>41</v>
      </c>
      <c r="F2876" t="s">
        <v>84</v>
      </c>
      <c r="G2876" t="s">
        <v>66</v>
      </c>
      <c r="H2876" t="s">
        <v>67</v>
      </c>
      <c r="I2876" t="s">
        <v>77</v>
      </c>
      <c r="J2876">
        <v>6</v>
      </c>
      <c r="K2876">
        <v>32598.6</v>
      </c>
      <c r="L2876">
        <v>195591.6</v>
      </c>
      <c r="M2876">
        <v>3088.96</v>
      </c>
      <c r="N2876">
        <v>0</v>
      </c>
      <c r="O2876">
        <v>192502.64</v>
      </c>
      <c r="P2876" t="s">
        <v>31</v>
      </c>
      <c r="Q2876" t="s">
        <v>32</v>
      </c>
    </row>
    <row r="2877" spans="1:17" x14ac:dyDescent="0.25">
      <c r="A2877" t="s">
        <v>2994</v>
      </c>
      <c r="B2877" s="1">
        <v>46026</v>
      </c>
      <c r="C2877" t="s">
        <v>79</v>
      </c>
      <c r="D2877" t="s">
        <v>101</v>
      </c>
      <c r="E2877" t="s">
        <v>41</v>
      </c>
      <c r="F2877" t="s">
        <v>71</v>
      </c>
      <c r="G2877" t="s">
        <v>66</v>
      </c>
      <c r="H2877" t="s">
        <v>23</v>
      </c>
      <c r="I2877" t="s">
        <v>110</v>
      </c>
      <c r="J2877">
        <v>20</v>
      </c>
      <c r="K2877">
        <v>8919.7800000000007</v>
      </c>
      <c r="L2877">
        <v>178395.6</v>
      </c>
      <c r="M2877">
        <v>26716.74</v>
      </c>
      <c r="N2877">
        <v>23561.1</v>
      </c>
      <c r="O2877">
        <v>128117.75999999999</v>
      </c>
      <c r="P2877" t="s">
        <v>32</v>
      </c>
      <c r="Q2877" t="s">
        <v>32</v>
      </c>
    </row>
    <row r="2878" spans="1:17" x14ac:dyDescent="0.25">
      <c r="A2878" t="s">
        <v>2995</v>
      </c>
      <c r="B2878" s="1">
        <v>46008</v>
      </c>
      <c r="C2878" t="s">
        <v>60</v>
      </c>
      <c r="D2878" t="s">
        <v>123</v>
      </c>
      <c r="E2878" t="s">
        <v>35</v>
      </c>
      <c r="F2878" t="s">
        <v>36</v>
      </c>
      <c r="G2878" t="s">
        <v>51</v>
      </c>
      <c r="H2878" t="s">
        <v>23</v>
      </c>
      <c r="I2878" t="s">
        <v>131</v>
      </c>
      <c r="J2878">
        <v>3</v>
      </c>
      <c r="K2878">
        <v>22372.79</v>
      </c>
      <c r="L2878">
        <v>67118.37</v>
      </c>
      <c r="M2878">
        <v>12565.46</v>
      </c>
      <c r="N2878">
        <v>0</v>
      </c>
      <c r="O2878">
        <v>54552.91</v>
      </c>
      <c r="P2878" t="s">
        <v>32</v>
      </c>
      <c r="Q2878" t="s">
        <v>32</v>
      </c>
    </row>
    <row r="2879" spans="1:17" x14ac:dyDescent="0.25">
      <c r="A2879" t="s">
        <v>2996</v>
      </c>
      <c r="B2879" s="1">
        <v>45990</v>
      </c>
      <c r="C2879" t="s">
        <v>18</v>
      </c>
      <c r="D2879" t="s">
        <v>19</v>
      </c>
      <c r="E2879" t="s">
        <v>41</v>
      </c>
      <c r="F2879" t="s">
        <v>137</v>
      </c>
      <c r="G2879" t="s">
        <v>37</v>
      </c>
      <c r="H2879" t="s">
        <v>23</v>
      </c>
      <c r="I2879" t="s">
        <v>131</v>
      </c>
      <c r="J2879">
        <v>17</v>
      </c>
      <c r="K2879">
        <v>29045.7</v>
      </c>
      <c r="L2879">
        <v>493776.9</v>
      </c>
      <c r="M2879">
        <v>73688.73</v>
      </c>
      <c r="N2879">
        <v>0</v>
      </c>
      <c r="O2879">
        <v>420088.17</v>
      </c>
      <c r="P2879" t="s">
        <v>32</v>
      </c>
      <c r="Q2879" t="s">
        <v>32</v>
      </c>
    </row>
    <row r="2880" spans="1:17" x14ac:dyDescent="0.25">
      <c r="A2880" t="s">
        <v>2997</v>
      </c>
      <c r="B2880" s="1">
        <v>46037</v>
      </c>
      <c r="C2880" t="s">
        <v>79</v>
      </c>
      <c r="D2880" t="s">
        <v>80</v>
      </c>
      <c r="E2880" t="s">
        <v>49</v>
      </c>
      <c r="F2880" t="s">
        <v>137</v>
      </c>
      <c r="G2880" t="s">
        <v>138</v>
      </c>
      <c r="H2880" t="s">
        <v>94</v>
      </c>
      <c r="I2880" t="s">
        <v>193</v>
      </c>
      <c r="J2880">
        <v>17</v>
      </c>
      <c r="K2880">
        <v>28050.68</v>
      </c>
      <c r="L2880">
        <v>476861.56</v>
      </c>
      <c r="M2880">
        <v>9215.3700000000008</v>
      </c>
      <c r="N2880">
        <v>0</v>
      </c>
      <c r="O2880">
        <v>467646.19</v>
      </c>
      <c r="P2880" t="s">
        <v>31</v>
      </c>
      <c r="Q2880" t="s">
        <v>32</v>
      </c>
    </row>
    <row r="2881" spans="1:17" x14ac:dyDescent="0.25">
      <c r="A2881" t="s">
        <v>2998</v>
      </c>
      <c r="B2881" s="1">
        <v>46017</v>
      </c>
      <c r="C2881" t="s">
        <v>18</v>
      </c>
      <c r="D2881" t="s">
        <v>75</v>
      </c>
      <c r="E2881" t="s">
        <v>20</v>
      </c>
      <c r="F2881" t="s">
        <v>36</v>
      </c>
      <c r="G2881" t="s">
        <v>85</v>
      </c>
      <c r="H2881" t="s">
        <v>44</v>
      </c>
      <c r="I2881" t="s">
        <v>124</v>
      </c>
      <c r="J2881">
        <v>39</v>
      </c>
      <c r="K2881">
        <v>20925.419999999998</v>
      </c>
      <c r="L2881">
        <v>816091.38</v>
      </c>
      <c r="M2881">
        <v>57873.29</v>
      </c>
      <c r="N2881">
        <v>225340.01</v>
      </c>
      <c r="O2881">
        <v>532878.07999999996</v>
      </c>
      <c r="P2881" t="s">
        <v>31</v>
      </c>
      <c r="Q2881" t="s">
        <v>32</v>
      </c>
    </row>
    <row r="2882" spans="1:17" x14ac:dyDescent="0.25">
      <c r="A2882" t="s">
        <v>2999</v>
      </c>
      <c r="B2882" s="1">
        <v>46003</v>
      </c>
      <c r="C2882" t="s">
        <v>47</v>
      </c>
      <c r="D2882" t="s">
        <v>48</v>
      </c>
      <c r="E2882" t="s">
        <v>49</v>
      </c>
      <c r="F2882" t="s">
        <v>137</v>
      </c>
      <c r="G2882" t="s">
        <v>138</v>
      </c>
      <c r="H2882" t="s">
        <v>38</v>
      </c>
      <c r="I2882" t="s">
        <v>86</v>
      </c>
      <c r="J2882">
        <v>28</v>
      </c>
      <c r="K2882">
        <v>34214.69</v>
      </c>
      <c r="L2882">
        <v>958011.32</v>
      </c>
      <c r="M2882">
        <v>0</v>
      </c>
      <c r="N2882">
        <v>0</v>
      </c>
      <c r="O2882">
        <v>958011.32</v>
      </c>
      <c r="P2882" t="s">
        <v>32</v>
      </c>
      <c r="Q2882" t="s">
        <v>32</v>
      </c>
    </row>
    <row r="2883" spans="1:17" x14ac:dyDescent="0.25">
      <c r="A2883" t="s">
        <v>3000</v>
      </c>
      <c r="B2883" s="1">
        <v>46023</v>
      </c>
      <c r="C2883" t="s">
        <v>79</v>
      </c>
      <c r="D2883" t="s">
        <v>107</v>
      </c>
      <c r="E2883" t="s">
        <v>41</v>
      </c>
      <c r="F2883" t="s">
        <v>71</v>
      </c>
      <c r="G2883" t="s">
        <v>81</v>
      </c>
      <c r="H2883" t="s">
        <v>57</v>
      </c>
      <c r="I2883" t="s">
        <v>160</v>
      </c>
      <c r="J2883">
        <v>22</v>
      </c>
      <c r="K2883">
        <v>8142</v>
      </c>
      <c r="L2883">
        <v>179124</v>
      </c>
      <c r="M2883">
        <v>15466.81</v>
      </c>
      <c r="N2883">
        <v>0</v>
      </c>
      <c r="O2883">
        <v>163657.19</v>
      </c>
      <c r="P2883" t="s">
        <v>32</v>
      </c>
      <c r="Q2883" t="s">
        <v>26</v>
      </c>
    </row>
    <row r="2884" spans="1:17" x14ac:dyDescent="0.25">
      <c r="A2884" t="s">
        <v>3001</v>
      </c>
      <c r="B2884" s="1">
        <v>45972</v>
      </c>
      <c r="C2884" t="s">
        <v>60</v>
      </c>
      <c r="D2884" t="s">
        <v>61</v>
      </c>
      <c r="E2884" t="s">
        <v>35</v>
      </c>
      <c r="F2884" t="s">
        <v>62</v>
      </c>
      <c r="G2884" t="s">
        <v>37</v>
      </c>
      <c r="H2884" t="s">
        <v>57</v>
      </c>
      <c r="I2884" t="s">
        <v>58</v>
      </c>
      <c r="J2884">
        <v>22</v>
      </c>
      <c r="K2884">
        <v>42604.32</v>
      </c>
      <c r="L2884">
        <v>937295.04</v>
      </c>
      <c r="M2884">
        <v>0</v>
      </c>
      <c r="N2884">
        <v>0</v>
      </c>
      <c r="O2884">
        <v>937295.04</v>
      </c>
      <c r="P2884" t="s">
        <v>31</v>
      </c>
      <c r="Q2884" t="s">
        <v>32</v>
      </c>
    </row>
    <row r="2885" spans="1:17" x14ac:dyDescent="0.25">
      <c r="A2885" t="s">
        <v>3002</v>
      </c>
      <c r="B2885" s="1">
        <v>46018</v>
      </c>
      <c r="C2885" t="s">
        <v>18</v>
      </c>
      <c r="D2885" t="s">
        <v>75</v>
      </c>
      <c r="E2885" t="s">
        <v>20</v>
      </c>
      <c r="F2885" t="s">
        <v>84</v>
      </c>
      <c r="G2885" t="s">
        <v>81</v>
      </c>
      <c r="H2885" t="s">
        <v>44</v>
      </c>
      <c r="I2885" t="s">
        <v>152</v>
      </c>
      <c r="J2885">
        <v>23</v>
      </c>
      <c r="K2885">
        <v>8011.52</v>
      </c>
      <c r="L2885">
        <v>184264.95999999999</v>
      </c>
      <c r="M2885">
        <v>0</v>
      </c>
      <c r="N2885">
        <v>0</v>
      </c>
      <c r="O2885">
        <v>184264.95999999999</v>
      </c>
      <c r="P2885" t="s">
        <v>31</v>
      </c>
      <c r="Q2885" t="s">
        <v>32</v>
      </c>
    </row>
    <row r="2886" spans="1:17" x14ac:dyDescent="0.25">
      <c r="A2886" t="s">
        <v>3003</v>
      </c>
      <c r="B2886" s="1">
        <v>45962</v>
      </c>
      <c r="C2886" t="s">
        <v>54</v>
      </c>
      <c r="D2886" t="s">
        <v>55</v>
      </c>
      <c r="E2886" t="s">
        <v>49</v>
      </c>
      <c r="F2886" t="s">
        <v>137</v>
      </c>
      <c r="G2886" t="s">
        <v>51</v>
      </c>
      <c r="H2886" t="s">
        <v>67</v>
      </c>
      <c r="I2886" t="s">
        <v>170</v>
      </c>
      <c r="J2886">
        <v>7</v>
      </c>
      <c r="K2886">
        <v>9641.36</v>
      </c>
      <c r="L2886">
        <v>67489.52</v>
      </c>
      <c r="M2886">
        <v>6508.71</v>
      </c>
      <c r="N2886">
        <v>0</v>
      </c>
      <c r="O2886">
        <v>60980.81</v>
      </c>
      <c r="P2886" t="s">
        <v>32</v>
      </c>
      <c r="Q2886" t="s">
        <v>32</v>
      </c>
    </row>
    <row r="2887" spans="1:17" x14ac:dyDescent="0.25">
      <c r="A2887" t="s">
        <v>3004</v>
      </c>
      <c r="B2887" s="1">
        <v>45995</v>
      </c>
      <c r="C2887" t="s">
        <v>79</v>
      </c>
      <c r="D2887" t="s">
        <v>80</v>
      </c>
      <c r="E2887" t="s">
        <v>35</v>
      </c>
      <c r="F2887" t="s">
        <v>50</v>
      </c>
      <c r="G2887" t="s">
        <v>51</v>
      </c>
      <c r="H2887" t="s">
        <v>67</v>
      </c>
      <c r="I2887" t="s">
        <v>154</v>
      </c>
      <c r="J2887">
        <v>18</v>
      </c>
      <c r="K2887">
        <v>32404.42</v>
      </c>
      <c r="L2887">
        <v>583279.56000000006</v>
      </c>
      <c r="M2887">
        <v>0</v>
      </c>
      <c r="N2887">
        <v>0</v>
      </c>
      <c r="O2887">
        <v>583279.56000000006</v>
      </c>
      <c r="P2887" t="s">
        <v>32</v>
      </c>
      <c r="Q2887" t="s">
        <v>26</v>
      </c>
    </row>
    <row r="2888" spans="1:17" x14ac:dyDescent="0.25">
      <c r="A2888" t="s">
        <v>3005</v>
      </c>
      <c r="B2888" s="1">
        <v>46018</v>
      </c>
      <c r="C2888" t="s">
        <v>60</v>
      </c>
      <c r="D2888" t="s">
        <v>61</v>
      </c>
      <c r="E2888" t="s">
        <v>20</v>
      </c>
      <c r="F2888" t="s">
        <v>105</v>
      </c>
      <c r="G2888" t="s">
        <v>140</v>
      </c>
      <c r="H2888" t="s">
        <v>38</v>
      </c>
      <c r="I2888" t="s">
        <v>39</v>
      </c>
      <c r="J2888">
        <v>6</v>
      </c>
      <c r="K2888">
        <v>34682.75</v>
      </c>
      <c r="L2888">
        <v>208096.5</v>
      </c>
      <c r="M2888">
        <v>0</v>
      </c>
      <c r="N2888">
        <v>0</v>
      </c>
      <c r="O2888">
        <v>208096.5</v>
      </c>
      <c r="P2888" t="s">
        <v>31</v>
      </c>
      <c r="Q2888" t="s">
        <v>32</v>
      </c>
    </row>
    <row r="2889" spans="1:17" x14ac:dyDescent="0.25">
      <c r="A2889" t="s">
        <v>3006</v>
      </c>
      <c r="B2889" s="1">
        <v>45954</v>
      </c>
      <c r="C2889" t="s">
        <v>54</v>
      </c>
      <c r="D2889" t="s">
        <v>70</v>
      </c>
      <c r="E2889" t="s">
        <v>20</v>
      </c>
      <c r="F2889" t="s">
        <v>62</v>
      </c>
      <c r="G2889" t="s">
        <v>63</v>
      </c>
      <c r="H2889" t="s">
        <v>38</v>
      </c>
      <c r="I2889" t="s">
        <v>108</v>
      </c>
      <c r="J2889">
        <v>36</v>
      </c>
      <c r="K2889">
        <v>23804.73</v>
      </c>
      <c r="L2889">
        <v>856970.28</v>
      </c>
      <c r="M2889">
        <v>0</v>
      </c>
      <c r="N2889">
        <v>0</v>
      </c>
      <c r="O2889">
        <v>856970.28</v>
      </c>
      <c r="P2889" t="s">
        <v>31</v>
      </c>
      <c r="Q2889" t="s">
        <v>32</v>
      </c>
    </row>
    <row r="2890" spans="1:17" x14ac:dyDescent="0.25">
      <c r="A2890" t="s">
        <v>3007</v>
      </c>
      <c r="B2890" s="1">
        <v>45969</v>
      </c>
      <c r="C2890" t="s">
        <v>47</v>
      </c>
      <c r="D2890" t="s">
        <v>127</v>
      </c>
      <c r="E2890" t="s">
        <v>49</v>
      </c>
      <c r="F2890" t="s">
        <v>105</v>
      </c>
      <c r="G2890" t="s">
        <v>98</v>
      </c>
      <c r="H2890" t="s">
        <v>44</v>
      </c>
      <c r="I2890" t="s">
        <v>124</v>
      </c>
      <c r="J2890">
        <v>42</v>
      </c>
      <c r="K2890">
        <v>16624.259999999998</v>
      </c>
      <c r="L2890">
        <v>698218.92</v>
      </c>
      <c r="M2890">
        <v>16959.13</v>
      </c>
      <c r="N2890">
        <v>103910.28</v>
      </c>
      <c r="O2890">
        <v>577349.51</v>
      </c>
      <c r="P2890" t="s">
        <v>73</v>
      </c>
      <c r="Q2890" t="s">
        <v>32</v>
      </c>
    </row>
    <row r="2891" spans="1:17" x14ac:dyDescent="0.25">
      <c r="A2891" t="s">
        <v>3008</v>
      </c>
      <c r="B2891" s="1">
        <v>45982</v>
      </c>
      <c r="C2891" t="s">
        <v>79</v>
      </c>
      <c r="D2891" t="s">
        <v>101</v>
      </c>
      <c r="E2891" t="s">
        <v>41</v>
      </c>
      <c r="F2891" t="s">
        <v>50</v>
      </c>
      <c r="G2891" t="s">
        <v>140</v>
      </c>
      <c r="H2891" t="s">
        <v>67</v>
      </c>
      <c r="I2891" t="s">
        <v>103</v>
      </c>
      <c r="J2891">
        <v>35</v>
      </c>
      <c r="K2891">
        <v>44536.62</v>
      </c>
      <c r="L2891">
        <v>1558781.7</v>
      </c>
      <c r="M2891">
        <v>0</v>
      </c>
      <c r="N2891">
        <v>0</v>
      </c>
      <c r="O2891">
        <v>1558781.7</v>
      </c>
      <c r="P2891" t="s">
        <v>32</v>
      </c>
      <c r="Q2891" t="s">
        <v>26</v>
      </c>
    </row>
    <row r="2892" spans="1:17" x14ac:dyDescent="0.25">
      <c r="A2892" t="s">
        <v>3009</v>
      </c>
      <c r="B2892" s="1">
        <v>46020</v>
      </c>
      <c r="C2892" t="s">
        <v>47</v>
      </c>
      <c r="D2892" t="s">
        <v>127</v>
      </c>
      <c r="E2892" t="s">
        <v>35</v>
      </c>
      <c r="F2892" t="s">
        <v>71</v>
      </c>
      <c r="G2892" t="s">
        <v>22</v>
      </c>
      <c r="H2892" t="s">
        <v>94</v>
      </c>
      <c r="I2892" t="s">
        <v>163</v>
      </c>
      <c r="J2892">
        <v>12</v>
      </c>
      <c r="K2892">
        <v>25278.18</v>
      </c>
      <c r="L2892">
        <v>303338.15999999997</v>
      </c>
      <c r="M2892">
        <v>0</v>
      </c>
      <c r="N2892">
        <v>0</v>
      </c>
      <c r="O2892">
        <v>303338.15999999997</v>
      </c>
      <c r="P2892" t="s">
        <v>73</v>
      </c>
      <c r="Q2892" t="s">
        <v>26</v>
      </c>
    </row>
    <row r="2893" spans="1:17" x14ac:dyDescent="0.25">
      <c r="A2893" t="s">
        <v>3010</v>
      </c>
      <c r="B2893" s="1">
        <v>46042</v>
      </c>
      <c r="C2893" t="s">
        <v>60</v>
      </c>
      <c r="D2893" t="s">
        <v>151</v>
      </c>
      <c r="E2893" t="s">
        <v>49</v>
      </c>
      <c r="F2893" t="s">
        <v>62</v>
      </c>
      <c r="G2893" t="s">
        <v>140</v>
      </c>
      <c r="H2893" t="s">
        <v>23</v>
      </c>
      <c r="I2893" t="s">
        <v>52</v>
      </c>
      <c r="J2893">
        <v>3</v>
      </c>
      <c r="K2893">
        <v>20473.77</v>
      </c>
      <c r="L2893">
        <v>61421.31</v>
      </c>
      <c r="M2893">
        <v>2306.73</v>
      </c>
      <c r="N2893">
        <v>0</v>
      </c>
      <c r="O2893">
        <v>59114.58</v>
      </c>
      <c r="P2893" t="s">
        <v>32</v>
      </c>
      <c r="Q2893" t="s">
        <v>32</v>
      </c>
    </row>
    <row r="2894" spans="1:17" x14ac:dyDescent="0.25">
      <c r="A2894" t="s">
        <v>3011</v>
      </c>
      <c r="B2894" s="1">
        <v>45983</v>
      </c>
      <c r="C2894" t="s">
        <v>54</v>
      </c>
      <c r="D2894" t="s">
        <v>133</v>
      </c>
      <c r="E2894" t="s">
        <v>49</v>
      </c>
      <c r="F2894" t="s">
        <v>50</v>
      </c>
      <c r="G2894" t="s">
        <v>56</v>
      </c>
      <c r="H2894" t="s">
        <v>67</v>
      </c>
      <c r="I2894" t="s">
        <v>170</v>
      </c>
      <c r="J2894">
        <v>27</v>
      </c>
      <c r="K2894">
        <v>37228.21</v>
      </c>
      <c r="L2894">
        <v>1005161.67</v>
      </c>
      <c r="M2894">
        <v>0</v>
      </c>
      <c r="N2894">
        <v>0</v>
      </c>
      <c r="O2894">
        <v>1005161.67</v>
      </c>
      <c r="P2894" t="s">
        <v>32</v>
      </c>
      <c r="Q2894" t="s">
        <v>26</v>
      </c>
    </row>
    <row r="2895" spans="1:17" x14ac:dyDescent="0.25">
      <c r="A2895" t="s">
        <v>3012</v>
      </c>
      <c r="B2895" s="1">
        <v>46032</v>
      </c>
      <c r="C2895" t="s">
        <v>54</v>
      </c>
      <c r="D2895" t="s">
        <v>133</v>
      </c>
      <c r="E2895" t="s">
        <v>49</v>
      </c>
      <c r="F2895" t="s">
        <v>71</v>
      </c>
      <c r="G2895" t="s">
        <v>138</v>
      </c>
      <c r="H2895" t="s">
        <v>44</v>
      </c>
      <c r="I2895" t="s">
        <v>152</v>
      </c>
      <c r="J2895">
        <v>28</v>
      </c>
      <c r="K2895">
        <v>39504.550000000003</v>
      </c>
      <c r="L2895">
        <v>1106127.3999999999</v>
      </c>
      <c r="M2895">
        <v>0</v>
      </c>
      <c r="N2895">
        <v>0</v>
      </c>
      <c r="O2895">
        <v>1106127.3999999999</v>
      </c>
      <c r="P2895" t="s">
        <v>32</v>
      </c>
      <c r="Q2895" t="s">
        <v>32</v>
      </c>
    </row>
    <row r="2896" spans="1:17" x14ac:dyDescent="0.25">
      <c r="A2896" t="s">
        <v>3013</v>
      </c>
      <c r="B2896" s="1">
        <v>46000</v>
      </c>
      <c r="C2896" t="s">
        <v>54</v>
      </c>
      <c r="D2896" t="s">
        <v>55</v>
      </c>
      <c r="E2896" t="s">
        <v>20</v>
      </c>
      <c r="F2896" t="s">
        <v>36</v>
      </c>
      <c r="G2896" t="s">
        <v>140</v>
      </c>
      <c r="H2896" t="s">
        <v>44</v>
      </c>
      <c r="I2896" t="s">
        <v>45</v>
      </c>
      <c r="J2896">
        <v>31</v>
      </c>
      <c r="K2896">
        <v>12041.93</v>
      </c>
      <c r="L2896">
        <v>373299.83</v>
      </c>
      <c r="M2896">
        <v>0</v>
      </c>
      <c r="N2896">
        <v>21020.15</v>
      </c>
      <c r="O2896">
        <v>352279.68</v>
      </c>
      <c r="P2896" t="s">
        <v>73</v>
      </c>
      <c r="Q2896" t="s">
        <v>32</v>
      </c>
    </row>
    <row r="2897" spans="1:17" x14ac:dyDescent="0.25">
      <c r="A2897" t="s">
        <v>3014</v>
      </c>
      <c r="B2897" s="1">
        <v>45989</v>
      </c>
      <c r="C2897" t="s">
        <v>79</v>
      </c>
      <c r="D2897" t="s">
        <v>91</v>
      </c>
      <c r="E2897" t="s">
        <v>49</v>
      </c>
      <c r="F2897" t="s">
        <v>84</v>
      </c>
      <c r="G2897" t="s">
        <v>29</v>
      </c>
      <c r="H2897" t="s">
        <v>44</v>
      </c>
      <c r="I2897" t="s">
        <v>141</v>
      </c>
      <c r="J2897">
        <v>37</v>
      </c>
      <c r="K2897">
        <v>38954.379999999997</v>
      </c>
      <c r="L2897">
        <v>1441312.06</v>
      </c>
      <c r="M2897">
        <v>0</v>
      </c>
      <c r="N2897">
        <v>0</v>
      </c>
      <c r="O2897">
        <v>1441312.06</v>
      </c>
      <c r="P2897" t="s">
        <v>31</v>
      </c>
      <c r="Q2897" t="s">
        <v>32</v>
      </c>
    </row>
    <row r="2898" spans="1:17" x14ac:dyDescent="0.25">
      <c r="A2898" t="s">
        <v>3015</v>
      </c>
      <c r="B2898" s="1">
        <v>45970</v>
      </c>
      <c r="C2898" t="s">
        <v>18</v>
      </c>
      <c r="D2898" t="s">
        <v>28</v>
      </c>
      <c r="E2898" t="s">
        <v>20</v>
      </c>
      <c r="F2898" t="s">
        <v>36</v>
      </c>
      <c r="G2898" t="s">
        <v>56</v>
      </c>
      <c r="H2898" t="s">
        <v>57</v>
      </c>
      <c r="I2898" t="s">
        <v>118</v>
      </c>
      <c r="J2898">
        <v>41</v>
      </c>
      <c r="K2898">
        <v>1583.46</v>
      </c>
      <c r="L2898">
        <v>64921.86</v>
      </c>
      <c r="M2898">
        <v>9334.89</v>
      </c>
      <c r="N2898">
        <v>0</v>
      </c>
      <c r="O2898">
        <v>55586.97</v>
      </c>
      <c r="P2898" t="s">
        <v>31</v>
      </c>
      <c r="Q2898" t="s">
        <v>32</v>
      </c>
    </row>
    <row r="2899" spans="1:17" x14ac:dyDescent="0.25">
      <c r="A2899" t="s">
        <v>3016</v>
      </c>
      <c r="B2899" s="1">
        <v>46017</v>
      </c>
      <c r="C2899" t="s">
        <v>79</v>
      </c>
      <c r="D2899" t="s">
        <v>91</v>
      </c>
      <c r="E2899" t="s">
        <v>49</v>
      </c>
      <c r="F2899" t="s">
        <v>50</v>
      </c>
      <c r="G2899" t="s">
        <v>85</v>
      </c>
      <c r="H2899" t="s">
        <v>44</v>
      </c>
      <c r="I2899" t="s">
        <v>45</v>
      </c>
      <c r="J2899">
        <v>45</v>
      </c>
      <c r="K2899">
        <v>47574.63</v>
      </c>
      <c r="L2899">
        <v>2140858.35</v>
      </c>
      <c r="M2899">
        <v>249172.29</v>
      </c>
      <c r="N2899">
        <v>0</v>
      </c>
      <c r="O2899">
        <v>1891686.06</v>
      </c>
      <c r="P2899" t="s">
        <v>31</v>
      </c>
      <c r="Q2899" t="s">
        <v>32</v>
      </c>
    </row>
    <row r="2900" spans="1:17" x14ac:dyDescent="0.25">
      <c r="A2900" t="s">
        <v>3017</v>
      </c>
      <c r="B2900" s="1">
        <v>46003</v>
      </c>
      <c r="C2900" t="s">
        <v>47</v>
      </c>
      <c r="D2900" t="s">
        <v>127</v>
      </c>
      <c r="E2900" t="s">
        <v>41</v>
      </c>
      <c r="F2900" t="s">
        <v>137</v>
      </c>
      <c r="G2900" t="s">
        <v>66</v>
      </c>
      <c r="H2900" t="s">
        <v>44</v>
      </c>
      <c r="I2900" t="s">
        <v>124</v>
      </c>
      <c r="J2900">
        <v>38</v>
      </c>
      <c r="K2900">
        <v>30598.61</v>
      </c>
      <c r="L2900">
        <v>1162747.18</v>
      </c>
      <c r="M2900">
        <v>0</v>
      </c>
      <c r="N2900">
        <v>0</v>
      </c>
      <c r="O2900">
        <v>1162747.18</v>
      </c>
      <c r="P2900" t="s">
        <v>73</v>
      </c>
      <c r="Q2900" t="s">
        <v>32</v>
      </c>
    </row>
    <row r="2901" spans="1:17" x14ac:dyDescent="0.25">
      <c r="A2901" t="s">
        <v>3018</v>
      </c>
      <c r="B2901" s="1">
        <v>46020</v>
      </c>
      <c r="C2901" t="s">
        <v>54</v>
      </c>
      <c r="D2901" t="s">
        <v>70</v>
      </c>
      <c r="E2901" t="s">
        <v>41</v>
      </c>
      <c r="F2901" t="s">
        <v>105</v>
      </c>
      <c r="G2901" t="s">
        <v>102</v>
      </c>
      <c r="H2901" t="s">
        <v>57</v>
      </c>
      <c r="I2901" t="s">
        <v>72</v>
      </c>
      <c r="J2901">
        <v>37</v>
      </c>
      <c r="K2901">
        <v>29185.52</v>
      </c>
      <c r="L2901">
        <v>1079864.24</v>
      </c>
      <c r="M2901">
        <v>105415.32</v>
      </c>
      <c r="N2901">
        <v>0</v>
      </c>
      <c r="O2901">
        <v>974448.92</v>
      </c>
      <c r="P2901" t="s">
        <v>32</v>
      </c>
      <c r="Q2901" t="s">
        <v>32</v>
      </c>
    </row>
    <row r="2902" spans="1:17" x14ac:dyDescent="0.25">
      <c r="A2902" t="s">
        <v>3019</v>
      </c>
      <c r="B2902" s="1">
        <v>46038</v>
      </c>
      <c r="C2902" t="s">
        <v>79</v>
      </c>
      <c r="D2902" t="s">
        <v>80</v>
      </c>
      <c r="E2902" t="s">
        <v>49</v>
      </c>
      <c r="F2902" t="s">
        <v>62</v>
      </c>
      <c r="G2902" t="s">
        <v>85</v>
      </c>
      <c r="H2902" t="s">
        <v>67</v>
      </c>
      <c r="I2902" t="s">
        <v>103</v>
      </c>
      <c r="J2902">
        <v>25</v>
      </c>
      <c r="K2902">
        <v>36756.06</v>
      </c>
      <c r="L2902">
        <v>918901.5</v>
      </c>
      <c r="M2902">
        <v>0</v>
      </c>
      <c r="N2902">
        <v>0</v>
      </c>
      <c r="O2902">
        <v>918901.5</v>
      </c>
      <c r="P2902" t="s">
        <v>25</v>
      </c>
      <c r="Q2902" t="s">
        <v>26</v>
      </c>
    </row>
    <row r="2903" spans="1:17" x14ac:dyDescent="0.25">
      <c r="A2903" t="s">
        <v>3020</v>
      </c>
      <c r="B2903" s="1">
        <v>46018</v>
      </c>
      <c r="C2903" t="s">
        <v>47</v>
      </c>
      <c r="D2903" t="s">
        <v>48</v>
      </c>
      <c r="E2903" t="s">
        <v>20</v>
      </c>
      <c r="F2903" t="s">
        <v>36</v>
      </c>
      <c r="G2903" t="s">
        <v>89</v>
      </c>
      <c r="H2903" t="s">
        <v>38</v>
      </c>
      <c r="I2903" t="s">
        <v>86</v>
      </c>
      <c r="J2903">
        <v>10</v>
      </c>
      <c r="K2903">
        <v>34251.94</v>
      </c>
      <c r="L2903">
        <v>342519.4</v>
      </c>
      <c r="M2903">
        <v>0</v>
      </c>
      <c r="N2903">
        <v>0</v>
      </c>
      <c r="O2903">
        <v>342519.4</v>
      </c>
      <c r="P2903" t="s">
        <v>31</v>
      </c>
      <c r="Q2903" t="s">
        <v>32</v>
      </c>
    </row>
    <row r="2904" spans="1:17" x14ac:dyDescent="0.25">
      <c r="A2904" t="s">
        <v>3021</v>
      </c>
      <c r="B2904" s="1">
        <v>46040</v>
      </c>
      <c r="C2904" t="s">
        <v>47</v>
      </c>
      <c r="D2904" t="s">
        <v>88</v>
      </c>
      <c r="E2904" t="s">
        <v>49</v>
      </c>
      <c r="F2904" t="s">
        <v>21</v>
      </c>
      <c r="G2904" t="s">
        <v>98</v>
      </c>
      <c r="H2904" t="s">
        <v>67</v>
      </c>
      <c r="I2904" t="s">
        <v>154</v>
      </c>
      <c r="J2904">
        <v>40</v>
      </c>
      <c r="K2904">
        <v>25036.53</v>
      </c>
      <c r="L2904">
        <v>1001461.2</v>
      </c>
      <c r="M2904">
        <v>70346.320000000007</v>
      </c>
      <c r="N2904">
        <v>0</v>
      </c>
      <c r="O2904">
        <v>931114.88</v>
      </c>
      <c r="P2904" t="s">
        <v>32</v>
      </c>
      <c r="Q2904" t="s">
        <v>32</v>
      </c>
    </row>
    <row r="2905" spans="1:17" x14ac:dyDescent="0.25">
      <c r="A2905" t="s">
        <v>3022</v>
      </c>
      <c r="B2905" s="1">
        <v>46006</v>
      </c>
      <c r="C2905" t="s">
        <v>54</v>
      </c>
      <c r="D2905" t="s">
        <v>97</v>
      </c>
      <c r="E2905" t="s">
        <v>49</v>
      </c>
      <c r="F2905" t="s">
        <v>42</v>
      </c>
      <c r="G2905" t="s">
        <v>85</v>
      </c>
      <c r="H2905" t="s">
        <v>23</v>
      </c>
      <c r="I2905" t="s">
        <v>110</v>
      </c>
      <c r="J2905">
        <v>2</v>
      </c>
      <c r="K2905">
        <v>32876.01</v>
      </c>
      <c r="L2905">
        <v>65752.02</v>
      </c>
      <c r="M2905">
        <v>12247.2</v>
      </c>
      <c r="N2905">
        <v>0</v>
      </c>
      <c r="O2905">
        <v>53504.82</v>
      </c>
      <c r="P2905" t="s">
        <v>73</v>
      </c>
      <c r="Q2905" t="s">
        <v>32</v>
      </c>
    </row>
    <row r="2906" spans="1:17" x14ac:dyDescent="0.25">
      <c r="A2906" t="s">
        <v>3023</v>
      </c>
      <c r="B2906" s="1">
        <v>45992</v>
      </c>
      <c r="C2906" t="s">
        <v>47</v>
      </c>
      <c r="D2906" t="s">
        <v>48</v>
      </c>
      <c r="E2906" t="s">
        <v>41</v>
      </c>
      <c r="F2906" t="s">
        <v>84</v>
      </c>
      <c r="G2906" t="s">
        <v>29</v>
      </c>
      <c r="H2906" t="s">
        <v>57</v>
      </c>
      <c r="I2906" t="s">
        <v>160</v>
      </c>
      <c r="J2906">
        <v>47</v>
      </c>
      <c r="K2906">
        <v>3577.85</v>
      </c>
      <c r="L2906">
        <v>168158.95</v>
      </c>
      <c r="M2906">
        <v>0</v>
      </c>
      <c r="N2906">
        <v>0</v>
      </c>
      <c r="O2906">
        <v>168158.95</v>
      </c>
      <c r="P2906" t="s">
        <v>31</v>
      </c>
      <c r="Q2906" t="s">
        <v>32</v>
      </c>
    </row>
    <row r="2907" spans="1:17" x14ac:dyDescent="0.25">
      <c r="A2907" t="s">
        <v>3024</v>
      </c>
      <c r="B2907" s="1">
        <v>46031</v>
      </c>
      <c r="C2907" t="s">
        <v>60</v>
      </c>
      <c r="D2907" t="s">
        <v>123</v>
      </c>
      <c r="E2907" t="s">
        <v>35</v>
      </c>
      <c r="F2907" t="s">
        <v>112</v>
      </c>
      <c r="G2907" t="s">
        <v>51</v>
      </c>
      <c r="H2907" t="s">
        <v>38</v>
      </c>
      <c r="I2907" t="s">
        <v>175</v>
      </c>
      <c r="J2907">
        <v>23</v>
      </c>
      <c r="K2907">
        <v>21969.599999999999</v>
      </c>
      <c r="L2907">
        <v>505300.8</v>
      </c>
      <c r="M2907">
        <v>68357.5</v>
      </c>
      <c r="N2907">
        <v>0</v>
      </c>
      <c r="O2907">
        <v>436943.3</v>
      </c>
      <c r="P2907" t="s">
        <v>73</v>
      </c>
      <c r="Q2907" t="s">
        <v>26</v>
      </c>
    </row>
    <row r="2908" spans="1:17" x14ac:dyDescent="0.25">
      <c r="A2908" t="s">
        <v>3025</v>
      </c>
      <c r="B2908" s="1">
        <v>45973</v>
      </c>
      <c r="C2908" t="s">
        <v>60</v>
      </c>
      <c r="D2908" t="s">
        <v>151</v>
      </c>
      <c r="E2908" t="s">
        <v>35</v>
      </c>
      <c r="F2908" t="s">
        <v>42</v>
      </c>
      <c r="G2908" t="s">
        <v>140</v>
      </c>
      <c r="H2908" t="s">
        <v>44</v>
      </c>
      <c r="I2908" t="s">
        <v>141</v>
      </c>
      <c r="J2908">
        <v>50</v>
      </c>
      <c r="K2908">
        <v>27641.63</v>
      </c>
      <c r="L2908">
        <v>1382081.5</v>
      </c>
      <c r="M2908">
        <v>211324.52</v>
      </c>
      <c r="N2908">
        <v>0</v>
      </c>
      <c r="O2908">
        <v>1170756.98</v>
      </c>
      <c r="P2908" t="s">
        <v>25</v>
      </c>
      <c r="Q2908" t="s">
        <v>26</v>
      </c>
    </row>
    <row r="2909" spans="1:17" x14ac:dyDescent="0.25">
      <c r="A2909" t="s">
        <v>3026</v>
      </c>
      <c r="B2909" s="1">
        <v>45999</v>
      </c>
      <c r="C2909" t="s">
        <v>60</v>
      </c>
      <c r="D2909" t="s">
        <v>151</v>
      </c>
      <c r="E2909" t="s">
        <v>35</v>
      </c>
      <c r="F2909" t="s">
        <v>137</v>
      </c>
      <c r="G2909" t="s">
        <v>29</v>
      </c>
      <c r="H2909" t="s">
        <v>57</v>
      </c>
      <c r="I2909" t="s">
        <v>92</v>
      </c>
      <c r="J2909">
        <v>39</v>
      </c>
      <c r="K2909">
        <v>18803.919999999998</v>
      </c>
      <c r="L2909">
        <v>733352.88</v>
      </c>
      <c r="M2909">
        <v>87586.02</v>
      </c>
      <c r="N2909">
        <v>66502.289999999994</v>
      </c>
      <c r="O2909">
        <v>579264.56999999995</v>
      </c>
      <c r="P2909" t="s">
        <v>32</v>
      </c>
      <c r="Q2909" t="s">
        <v>32</v>
      </c>
    </row>
    <row r="2910" spans="1:17" x14ac:dyDescent="0.25">
      <c r="A2910" t="s">
        <v>3027</v>
      </c>
      <c r="B2910" s="1">
        <v>45984</v>
      </c>
      <c r="C2910" t="s">
        <v>60</v>
      </c>
      <c r="D2910" t="s">
        <v>65</v>
      </c>
      <c r="E2910" t="s">
        <v>49</v>
      </c>
      <c r="F2910" t="s">
        <v>36</v>
      </c>
      <c r="G2910" t="s">
        <v>66</v>
      </c>
      <c r="H2910" t="s">
        <v>44</v>
      </c>
      <c r="I2910" t="s">
        <v>281</v>
      </c>
      <c r="J2910">
        <v>28</v>
      </c>
      <c r="K2910">
        <v>37189.78</v>
      </c>
      <c r="L2910">
        <v>1041313.84</v>
      </c>
      <c r="M2910">
        <v>0</v>
      </c>
      <c r="N2910">
        <v>0</v>
      </c>
      <c r="O2910">
        <v>1041313.84</v>
      </c>
      <c r="P2910" t="s">
        <v>31</v>
      </c>
      <c r="Q2910" t="s">
        <v>32</v>
      </c>
    </row>
    <row r="2911" spans="1:17" x14ac:dyDescent="0.25">
      <c r="A2911" t="s">
        <v>3028</v>
      </c>
      <c r="B2911" s="1">
        <v>46003</v>
      </c>
      <c r="C2911" t="s">
        <v>47</v>
      </c>
      <c r="D2911" t="s">
        <v>48</v>
      </c>
      <c r="E2911" t="s">
        <v>35</v>
      </c>
      <c r="F2911" t="s">
        <v>84</v>
      </c>
      <c r="G2911" t="s">
        <v>37</v>
      </c>
      <c r="H2911" t="s">
        <v>44</v>
      </c>
      <c r="I2911" t="s">
        <v>281</v>
      </c>
      <c r="J2911">
        <v>2</v>
      </c>
      <c r="K2911">
        <v>15513.01</v>
      </c>
      <c r="L2911">
        <v>31026.02</v>
      </c>
      <c r="M2911">
        <v>0</v>
      </c>
      <c r="N2911">
        <v>0</v>
      </c>
      <c r="O2911">
        <v>31026.02</v>
      </c>
      <c r="P2911" t="s">
        <v>73</v>
      </c>
      <c r="Q2911" t="s">
        <v>32</v>
      </c>
    </row>
    <row r="2912" spans="1:17" x14ac:dyDescent="0.25">
      <c r="A2912" t="s">
        <v>3029</v>
      </c>
      <c r="B2912" s="1">
        <v>46005</v>
      </c>
      <c r="C2912" t="s">
        <v>47</v>
      </c>
      <c r="D2912" t="s">
        <v>48</v>
      </c>
      <c r="E2912" t="s">
        <v>49</v>
      </c>
      <c r="F2912" t="s">
        <v>137</v>
      </c>
      <c r="G2912" t="s">
        <v>37</v>
      </c>
      <c r="H2912" t="s">
        <v>94</v>
      </c>
      <c r="I2912" t="s">
        <v>144</v>
      </c>
      <c r="J2912">
        <v>39</v>
      </c>
      <c r="K2912">
        <v>14997.14</v>
      </c>
      <c r="L2912">
        <v>584888.46</v>
      </c>
      <c r="M2912">
        <v>110998.25</v>
      </c>
      <c r="N2912">
        <v>0</v>
      </c>
      <c r="O2912">
        <v>473890.21</v>
      </c>
      <c r="P2912" t="s">
        <v>31</v>
      </c>
      <c r="Q2912" t="s">
        <v>32</v>
      </c>
    </row>
    <row r="2913" spans="1:17" x14ac:dyDescent="0.25">
      <c r="A2913" t="s">
        <v>3030</v>
      </c>
      <c r="B2913" s="1">
        <v>46020</v>
      </c>
      <c r="C2913" t="s">
        <v>18</v>
      </c>
      <c r="D2913" t="s">
        <v>28</v>
      </c>
      <c r="E2913" t="s">
        <v>20</v>
      </c>
      <c r="F2913" t="s">
        <v>50</v>
      </c>
      <c r="G2913" t="s">
        <v>81</v>
      </c>
      <c r="H2913" t="s">
        <v>38</v>
      </c>
      <c r="I2913" t="s">
        <v>39</v>
      </c>
      <c r="J2913">
        <v>39</v>
      </c>
      <c r="K2913">
        <v>38738.269999999997</v>
      </c>
      <c r="L2913">
        <v>1510792.53</v>
      </c>
      <c r="M2913">
        <v>57897.97</v>
      </c>
      <c r="N2913">
        <v>0</v>
      </c>
      <c r="O2913">
        <v>1452894.56</v>
      </c>
      <c r="P2913" t="s">
        <v>73</v>
      </c>
      <c r="Q2913" t="s">
        <v>26</v>
      </c>
    </row>
    <row r="2914" spans="1:17" x14ac:dyDescent="0.25">
      <c r="A2914" t="s">
        <v>3031</v>
      </c>
      <c r="B2914" s="1">
        <v>45954</v>
      </c>
      <c r="C2914" t="s">
        <v>60</v>
      </c>
      <c r="D2914" t="s">
        <v>61</v>
      </c>
      <c r="E2914" t="s">
        <v>20</v>
      </c>
      <c r="F2914" t="s">
        <v>105</v>
      </c>
      <c r="G2914" t="s">
        <v>43</v>
      </c>
      <c r="H2914" t="s">
        <v>23</v>
      </c>
      <c r="I2914" t="s">
        <v>52</v>
      </c>
      <c r="J2914">
        <v>3</v>
      </c>
      <c r="K2914">
        <v>9079.14</v>
      </c>
      <c r="L2914">
        <v>27237.42</v>
      </c>
      <c r="M2914">
        <v>2164.25</v>
      </c>
      <c r="N2914">
        <v>0</v>
      </c>
      <c r="O2914">
        <v>25073.17</v>
      </c>
      <c r="P2914" t="s">
        <v>25</v>
      </c>
      <c r="Q2914" t="s">
        <v>26</v>
      </c>
    </row>
    <row r="2915" spans="1:17" x14ac:dyDescent="0.25">
      <c r="A2915" t="s">
        <v>3032</v>
      </c>
      <c r="B2915" s="1">
        <v>45969</v>
      </c>
      <c r="C2915" t="s">
        <v>79</v>
      </c>
      <c r="D2915" t="s">
        <v>101</v>
      </c>
      <c r="E2915" t="s">
        <v>49</v>
      </c>
      <c r="F2915" t="s">
        <v>36</v>
      </c>
      <c r="G2915" t="s">
        <v>89</v>
      </c>
      <c r="H2915" t="s">
        <v>44</v>
      </c>
      <c r="I2915" t="s">
        <v>45</v>
      </c>
      <c r="J2915">
        <v>37</v>
      </c>
      <c r="K2915">
        <v>25098.86</v>
      </c>
      <c r="L2915">
        <v>928657.82</v>
      </c>
      <c r="M2915">
        <v>128452.52</v>
      </c>
      <c r="N2915">
        <v>0</v>
      </c>
      <c r="O2915">
        <v>800205.3</v>
      </c>
      <c r="P2915" t="s">
        <v>73</v>
      </c>
      <c r="Q2915" t="s">
        <v>32</v>
      </c>
    </row>
    <row r="2916" spans="1:17" x14ac:dyDescent="0.25">
      <c r="A2916" t="s">
        <v>3033</v>
      </c>
      <c r="B2916" s="1">
        <v>45960</v>
      </c>
      <c r="C2916" t="s">
        <v>79</v>
      </c>
      <c r="D2916" t="s">
        <v>91</v>
      </c>
      <c r="E2916" t="s">
        <v>41</v>
      </c>
      <c r="F2916" t="s">
        <v>105</v>
      </c>
      <c r="G2916" t="s">
        <v>56</v>
      </c>
      <c r="H2916" t="s">
        <v>23</v>
      </c>
      <c r="I2916" t="s">
        <v>99</v>
      </c>
      <c r="J2916">
        <v>36</v>
      </c>
      <c r="K2916">
        <v>26069.040000000001</v>
      </c>
      <c r="L2916">
        <v>938485.44</v>
      </c>
      <c r="M2916">
        <v>136231.14000000001</v>
      </c>
      <c r="N2916">
        <v>0</v>
      </c>
      <c r="O2916">
        <v>802254.3</v>
      </c>
      <c r="P2916" t="s">
        <v>31</v>
      </c>
      <c r="Q2916" t="s">
        <v>32</v>
      </c>
    </row>
    <row r="2917" spans="1:17" x14ac:dyDescent="0.25">
      <c r="A2917" t="s">
        <v>3034</v>
      </c>
      <c r="B2917" s="1">
        <v>46011</v>
      </c>
      <c r="C2917" t="s">
        <v>54</v>
      </c>
      <c r="D2917" t="s">
        <v>70</v>
      </c>
      <c r="E2917" t="s">
        <v>41</v>
      </c>
      <c r="F2917" t="s">
        <v>21</v>
      </c>
      <c r="G2917" t="s">
        <v>29</v>
      </c>
      <c r="H2917" t="s">
        <v>67</v>
      </c>
      <c r="I2917" t="s">
        <v>68</v>
      </c>
      <c r="J2917">
        <v>34</v>
      </c>
      <c r="K2917">
        <v>18908.650000000001</v>
      </c>
      <c r="L2917">
        <v>642894.1</v>
      </c>
      <c r="M2917">
        <v>0</v>
      </c>
      <c r="N2917">
        <v>0</v>
      </c>
      <c r="O2917">
        <v>642894.1</v>
      </c>
      <c r="P2917" t="s">
        <v>32</v>
      </c>
      <c r="Q2917" t="s">
        <v>32</v>
      </c>
    </row>
    <row r="2918" spans="1:17" x14ac:dyDescent="0.25">
      <c r="A2918" t="s">
        <v>3035</v>
      </c>
      <c r="B2918" s="1">
        <v>46020</v>
      </c>
      <c r="C2918" t="s">
        <v>18</v>
      </c>
      <c r="D2918" t="s">
        <v>34</v>
      </c>
      <c r="E2918" t="s">
        <v>20</v>
      </c>
      <c r="F2918" t="s">
        <v>42</v>
      </c>
      <c r="G2918" t="s">
        <v>66</v>
      </c>
      <c r="H2918" t="s">
        <v>57</v>
      </c>
      <c r="I2918" t="s">
        <v>148</v>
      </c>
      <c r="J2918">
        <v>15</v>
      </c>
      <c r="K2918">
        <v>1554.62</v>
      </c>
      <c r="L2918">
        <v>23319.3</v>
      </c>
      <c r="M2918">
        <v>3135.69</v>
      </c>
      <c r="N2918">
        <v>0</v>
      </c>
      <c r="O2918">
        <v>20183.61</v>
      </c>
      <c r="P2918" t="s">
        <v>31</v>
      </c>
      <c r="Q2918" t="s">
        <v>32</v>
      </c>
    </row>
    <row r="2919" spans="1:17" x14ac:dyDescent="0.25">
      <c r="A2919" t="s">
        <v>3036</v>
      </c>
      <c r="B2919" s="1">
        <v>45966</v>
      </c>
      <c r="C2919" t="s">
        <v>54</v>
      </c>
      <c r="D2919" t="s">
        <v>70</v>
      </c>
      <c r="E2919" t="s">
        <v>35</v>
      </c>
      <c r="F2919" t="s">
        <v>112</v>
      </c>
      <c r="G2919" t="s">
        <v>102</v>
      </c>
      <c r="H2919" t="s">
        <v>23</v>
      </c>
      <c r="I2919" t="s">
        <v>110</v>
      </c>
      <c r="J2919">
        <v>12</v>
      </c>
      <c r="K2919">
        <v>16792.38</v>
      </c>
      <c r="L2919">
        <v>201508.56</v>
      </c>
      <c r="M2919">
        <v>12873.01</v>
      </c>
      <c r="N2919">
        <v>0</v>
      </c>
      <c r="O2919">
        <v>188635.55</v>
      </c>
      <c r="P2919" t="s">
        <v>31</v>
      </c>
      <c r="Q2919" t="s">
        <v>32</v>
      </c>
    </row>
    <row r="2920" spans="1:17" x14ac:dyDescent="0.25">
      <c r="A2920" t="s">
        <v>3037</v>
      </c>
      <c r="B2920" s="1">
        <v>46029</v>
      </c>
      <c r="C2920" t="s">
        <v>54</v>
      </c>
      <c r="D2920" t="s">
        <v>70</v>
      </c>
      <c r="E2920" t="s">
        <v>35</v>
      </c>
      <c r="F2920" t="s">
        <v>36</v>
      </c>
      <c r="G2920" t="s">
        <v>63</v>
      </c>
      <c r="H2920" t="s">
        <v>44</v>
      </c>
      <c r="I2920" t="s">
        <v>281</v>
      </c>
      <c r="J2920">
        <v>10</v>
      </c>
      <c r="K2920">
        <v>40669.78</v>
      </c>
      <c r="L2920">
        <v>406697.8</v>
      </c>
      <c r="M2920">
        <v>0</v>
      </c>
      <c r="N2920">
        <v>0</v>
      </c>
      <c r="O2920">
        <v>406697.8</v>
      </c>
      <c r="P2920" t="s">
        <v>32</v>
      </c>
      <c r="Q2920" t="s">
        <v>32</v>
      </c>
    </row>
    <row r="2921" spans="1:17" x14ac:dyDescent="0.25">
      <c r="A2921" t="s">
        <v>3038</v>
      </c>
      <c r="B2921" s="1">
        <v>45965</v>
      </c>
      <c r="C2921" t="s">
        <v>60</v>
      </c>
      <c r="D2921" t="s">
        <v>123</v>
      </c>
      <c r="E2921" t="s">
        <v>35</v>
      </c>
      <c r="F2921" t="s">
        <v>71</v>
      </c>
      <c r="G2921" t="s">
        <v>63</v>
      </c>
      <c r="H2921" t="s">
        <v>38</v>
      </c>
      <c r="I2921" t="s">
        <v>175</v>
      </c>
      <c r="J2921">
        <v>15</v>
      </c>
      <c r="K2921">
        <v>20173.91</v>
      </c>
      <c r="L2921">
        <v>302608.65000000002</v>
      </c>
      <c r="M2921">
        <v>2601.48</v>
      </c>
      <c r="N2921">
        <v>0</v>
      </c>
      <c r="O2921">
        <v>300007.17</v>
      </c>
      <c r="P2921" t="s">
        <v>73</v>
      </c>
      <c r="Q2921" t="s">
        <v>26</v>
      </c>
    </row>
    <row r="2922" spans="1:17" x14ac:dyDescent="0.25">
      <c r="A2922" t="s">
        <v>3039</v>
      </c>
      <c r="B2922" s="1">
        <v>45975</v>
      </c>
      <c r="C2922" t="s">
        <v>18</v>
      </c>
      <c r="D2922" t="s">
        <v>34</v>
      </c>
      <c r="E2922" t="s">
        <v>35</v>
      </c>
      <c r="F2922" t="s">
        <v>84</v>
      </c>
      <c r="G2922" t="s">
        <v>140</v>
      </c>
      <c r="H2922" t="s">
        <v>94</v>
      </c>
      <c r="I2922" t="s">
        <v>163</v>
      </c>
      <c r="J2922">
        <v>22</v>
      </c>
      <c r="K2922">
        <v>15732.71</v>
      </c>
      <c r="L2922">
        <v>346119.62</v>
      </c>
      <c r="M2922">
        <v>16713.189999999999</v>
      </c>
      <c r="N2922">
        <v>0</v>
      </c>
      <c r="O2922">
        <v>329406.43</v>
      </c>
      <c r="P2922" t="s">
        <v>25</v>
      </c>
      <c r="Q2922" t="s">
        <v>128</v>
      </c>
    </row>
    <row r="2923" spans="1:17" x14ac:dyDescent="0.25">
      <c r="A2923" t="s">
        <v>3040</v>
      </c>
      <c r="B2923" s="1">
        <v>45954</v>
      </c>
      <c r="C2923" t="s">
        <v>47</v>
      </c>
      <c r="D2923" t="s">
        <v>127</v>
      </c>
      <c r="E2923" t="s">
        <v>41</v>
      </c>
      <c r="F2923" t="s">
        <v>84</v>
      </c>
      <c r="G2923" t="s">
        <v>102</v>
      </c>
      <c r="H2923" t="s">
        <v>94</v>
      </c>
      <c r="I2923" t="s">
        <v>193</v>
      </c>
      <c r="J2923">
        <v>9</v>
      </c>
      <c r="K2923">
        <v>19298.39</v>
      </c>
      <c r="L2923">
        <v>173685.51</v>
      </c>
      <c r="M2923">
        <v>3633.16</v>
      </c>
      <c r="N2923">
        <v>0</v>
      </c>
      <c r="O2923">
        <v>170052.35</v>
      </c>
      <c r="P2923" t="s">
        <v>25</v>
      </c>
      <c r="Q2923" t="s">
        <v>26</v>
      </c>
    </row>
    <row r="2924" spans="1:17" x14ac:dyDescent="0.25">
      <c r="A2924" t="s">
        <v>3041</v>
      </c>
      <c r="B2924" s="1">
        <v>46010</v>
      </c>
      <c r="C2924" t="s">
        <v>18</v>
      </c>
      <c r="D2924" t="s">
        <v>19</v>
      </c>
      <c r="E2924" t="s">
        <v>49</v>
      </c>
      <c r="F2924" t="s">
        <v>71</v>
      </c>
      <c r="G2924" t="s">
        <v>51</v>
      </c>
      <c r="H2924" t="s">
        <v>67</v>
      </c>
      <c r="I2924" t="s">
        <v>170</v>
      </c>
      <c r="J2924">
        <v>34</v>
      </c>
      <c r="K2924">
        <v>27774.77</v>
      </c>
      <c r="L2924">
        <v>944342.18</v>
      </c>
      <c r="M2924">
        <v>51567.02</v>
      </c>
      <c r="N2924">
        <v>0</v>
      </c>
      <c r="O2924">
        <v>892775.16</v>
      </c>
      <c r="P2924" t="s">
        <v>25</v>
      </c>
      <c r="Q2924" t="s">
        <v>26</v>
      </c>
    </row>
    <row r="2925" spans="1:17" x14ac:dyDescent="0.25">
      <c r="A2925" t="s">
        <v>3042</v>
      </c>
      <c r="B2925" s="1">
        <v>45958</v>
      </c>
      <c r="C2925" t="s">
        <v>79</v>
      </c>
      <c r="D2925" t="s">
        <v>101</v>
      </c>
      <c r="E2925" t="s">
        <v>20</v>
      </c>
      <c r="F2925" t="s">
        <v>105</v>
      </c>
      <c r="G2925" t="s">
        <v>98</v>
      </c>
      <c r="H2925" t="s">
        <v>57</v>
      </c>
      <c r="I2925" t="s">
        <v>58</v>
      </c>
      <c r="J2925">
        <v>14</v>
      </c>
      <c r="K2925">
        <v>22490.06</v>
      </c>
      <c r="L2925">
        <v>314860.84000000003</v>
      </c>
      <c r="M2925">
        <v>40701.01</v>
      </c>
      <c r="N2925">
        <v>0</v>
      </c>
      <c r="O2925">
        <v>274159.83</v>
      </c>
      <c r="P2925" t="s">
        <v>73</v>
      </c>
      <c r="Q2925" t="s">
        <v>32</v>
      </c>
    </row>
    <row r="2926" spans="1:17" x14ac:dyDescent="0.25">
      <c r="A2926" t="s">
        <v>3043</v>
      </c>
      <c r="B2926" s="1">
        <v>45993</v>
      </c>
      <c r="C2926" t="s">
        <v>60</v>
      </c>
      <c r="D2926" t="s">
        <v>151</v>
      </c>
      <c r="E2926" t="s">
        <v>20</v>
      </c>
      <c r="F2926" t="s">
        <v>105</v>
      </c>
      <c r="G2926" t="s">
        <v>56</v>
      </c>
      <c r="H2926" t="s">
        <v>67</v>
      </c>
      <c r="I2926" t="s">
        <v>103</v>
      </c>
      <c r="J2926">
        <v>43</v>
      </c>
      <c r="K2926">
        <v>26120.52</v>
      </c>
      <c r="L2926">
        <v>1123182.3600000001</v>
      </c>
      <c r="M2926">
        <v>192588.15</v>
      </c>
      <c r="N2926">
        <v>475.64</v>
      </c>
      <c r="O2926">
        <v>930118.57</v>
      </c>
      <c r="P2926" t="s">
        <v>73</v>
      </c>
      <c r="Q2926" t="s">
        <v>26</v>
      </c>
    </row>
    <row r="2927" spans="1:17" x14ac:dyDescent="0.25">
      <c r="A2927" t="s">
        <v>3044</v>
      </c>
      <c r="B2927" s="1">
        <v>46023</v>
      </c>
      <c r="C2927" t="s">
        <v>18</v>
      </c>
      <c r="D2927" t="s">
        <v>28</v>
      </c>
      <c r="E2927" t="s">
        <v>20</v>
      </c>
      <c r="F2927" t="s">
        <v>62</v>
      </c>
      <c r="G2927" t="s">
        <v>81</v>
      </c>
      <c r="H2927" t="s">
        <v>23</v>
      </c>
      <c r="I2927" t="s">
        <v>52</v>
      </c>
      <c r="J2927">
        <v>16</v>
      </c>
      <c r="K2927">
        <v>32475.439999999999</v>
      </c>
      <c r="L2927">
        <v>519607.03999999998</v>
      </c>
      <c r="M2927">
        <v>91615.91</v>
      </c>
      <c r="N2927">
        <v>0</v>
      </c>
      <c r="O2927">
        <v>427991.13</v>
      </c>
      <c r="P2927" t="s">
        <v>25</v>
      </c>
      <c r="Q2927" t="s">
        <v>26</v>
      </c>
    </row>
    <row r="2928" spans="1:17" x14ac:dyDescent="0.25">
      <c r="A2928" t="s">
        <v>3045</v>
      </c>
      <c r="B2928" s="1">
        <v>46035</v>
      </c>
      <c r="C2928" t="s">
        <v>79</v>
      </c>
      <c r="D2928" t="s">
        <v>107</v>
      </c>
      <c r="E2928" t="s">
        <v>20</v>
      </c>
      <c r="F2928" t="s">
        <v>112</v>
      </c>
      <c r="G2928" t="s">
        <v>98</v>
      </c>
      <c r="H2928" t="s">
        <v>38</v>
      </c>
      <c r="I2928" t="s">
        <v>175</v>
      </c>
      <c r="J2928">
        <v>9</v>
      </c>
      <c r="K2928">
        <v>17495.37</v>
      </c>
      <c r="L2928">
        <v>157458.32999999999</v>
      </c>
      <c r="M2928">
        <v>27799.599999999999</v>
      </c>
      <c r="N2928">
        <v>0</v>
      </c>
      <c r="O2928">
        <v>129658.73</v>
      </c>
      <c r="P2928" t="s">
        <v>31</v>
      </c>
      <c r="Q2928" t="s">
        <v>32</v>
      </c>
    </row>
    <row r="2929" spans="1:17" x14ac:dyDescent="0.25">
      <c r="A2929" t="s">
        <v>3046</v>
      </c>
      <c r="B2929" s="1">
        <v>45962</v>
      </c>
      <c r="C2929" t="s">
        <v>60</v>
      </c>
      <c r="D2929" t="s">
        <v>151</v>
      </c>
      <c r="E2929" t="s">
        <v>35</v>
      </c>
      <c r="F2929" t="s">
        <v>112</v>
      </c>
      <c r="G2929" t="s">
        <v>66</v>
      </c>
      <c r="H2929" t="s">
        <v>57</v>
      </c>
      <c r="I2929" t="s">
        <v>58</v>
      </c>
      <c r="J2929">
        <v>24</v>
      </c>
      <c r="K2929">
        <v>9990.82</v>
      </c>
      <c r="L2929">
        <v>239779.68</v>
      </c>
      <c r="M2929">
        <v>30670.76</v>
      </c>
      <c r="N2929">
        <v>0</v>
      </c>
      <c r="O2929">
        <v>209108.92</v>
      </c>
      <c r="P2929" t="s">
        <v>25</v>
      </c>
      <c r="Q2929" t="s">
        <v>26</v>
      </c>
    </row>
    <row r="2930" spans="1:17" x14ac:dyDescent="0.25">
      <c r="A2930" t="s">
        <v>3047</v>
      </c>
      <c r="B2930" s="1">
        <v>45981</v>
      </c>
      <c r="C2930" t="s">
        <v>79</v>
      </c>
      <c r="D2930" t="s">
        <v>91</v>
      </c>
      <c r="E2930" t="s">
        <v>49</v>
      </c>
      <c r="F2930" t="s">
        <v>21</v>
      </c>
      <c r="G2930" t="s">
        <v>85</v>
      </c>
      <c r="H2930" t="s">
        <v>38</v>
      </c>
      <c r="I2930" t="s">
        <v>86</v>
      </c>
      <c r="J2930">
        <v>3</v>
      </c>
      <c r="K2930">
        <v>25943.16</v>
      </c>
      <c r="L2930">
        <v>77829.48</v>
      </c>
      <c r="M2930">
        <v>473.08</v>
      </c>
      <c r="N2930">
        <v>0</v>
      </c>
      <c r="O2930">
        <v>77356.399999999994</v>
      </c>
      <c r="P2930" t="s">
        <v>73</v>
      </c>
      <c r="Q2930" t="s">
        <v>32</v>
      </c>
    </row>
    <row r="2931" spans="1:17" x14ac:dyDescent="0.25">
      <c r="A2931" t="s">
        <v>3048</v>
      </c>
      <c r="B2931" s="1">
        <v>46029</v>
      </c>
      <c r="C2931" t="s">
        <v>60</v>
      </c>
      <c r="D2931" t="s">
        <v>61</v>
      </c>
      <c r="E2931" t="s">
        <v>41</v>
      </c>
      <c r="F2931" t="s">
        <v>50</v>
      </c>
      <c r="G2931" t="s">
        <v>81</v>
      </c>
      <c r="H2931" t="s">
        <v>44</v>
      </c>
      <c r="I2931" t="s">
        <v>281</v>
      </c>
      <c r="J2931">
        <v>47</v>
      </c>
      <c r="K2931">
        <v>18438.55</v>
      </c>
      <c r="L2931">
        <v>866611.85</v>
      </c>
      <c r="M2931">
        <v>25754.36</v>
      </c>
      <c r="N2931">
        <v>24551.95</v>
      </c>
      <c r="O2931">
        <v>816305.54</v>
      </c>
      <c r="P2931" t="s">
        <v>32</v>
      </c>
      <c r="Q2931" t="s">
        <v>26</v>
      </c>
    </row>
    <row r="2932" spans="1:17" x14ac:dyDescent="0.25">
      <c r="A2932" t="s">
        <v>3049</v>
      </c>
      <c r="B2932" s="1">
        <v>45996</v>
      </c>
      <c r="C2932" t="s">
        <v>54</v>
      </c>
      <c r="D2932" t="s">
        <v>55</v>
      </c>
      <c r="E2932" t="s">
        <v>49</v>
      </c>
      <c r="F2932" t="s">
        <v>105</v>
      </c>
      <c r="G2932" t="s">
        <v>37</v>
      </c>
      <c r="H2932" t="s">
        <v>23</v>
      </c>
      <c r="I2932" t="s">
        <v>52</v>
      </c>
      <c r="J2932">
        <v>28</v>
      </c>
      <c r="K2932">
        <v>6421.08</v>
      </c>
      <c r="L2932">
        <v>179790.24</v>
      </c>
      <c r="M2932">
        <v>10665.34</v>
      </c>
      <c r="N2932">
        <v>31713.49</v>
      </c>
      <c r="O2932">
        <v>137411.41</v>
      </c>
      <c r="P2932" t="s">
        <v>25</v>
      </c>
      <c r="Q2932" t="s">
        <v>26</v>
      </c>
    </row>
    <row r="2933" spans="1:17" x14ac:dyDescent="0.25">
      <c r="A2933" t="s">
        <v>3050</v>
      </c>
      <c r="B2933" s="1">
        <v>46021</v>
      </c>
      <c r="C2933" t="s">
        <v>60</v>
      </c>
      <c r="D2933" t="s">
        <v>65</v>
      </c>
      <c r="E2933" t="s">
        <v>20</v>
      </c>
      <c r="F2933" t="s">
        <v>112</v>
      </c>
      <c r="G2933" t="s">
        <v>81</v>
      </c>
      <c r="H2933" t="s">
        <v>23</v>
      </c>
      <c r="I2933" t="s">
        <v>30</v>
      </c>
      <c r="J2933">
        <v>1</v>
      </c>
      <c r="K2933">
        <v>16911.849999999999</v>
      </c>
      <c r="L2933">
        <v>16911.849999999999</v>
      </c>
      <c r="M2933">
        <v>2371.06</v>
      </c>
      <c r="N2933">
        <v>0</v>
      </c>
      <c r="O2933">
        <v>14540.79</v>
      </c>
      <c r="P2933" t="s">
        <v>73</v>
      </c>
      <c r="Q2933" t="s">
        <v>32</v>
      </c>
    </row>
    <row r="2934" spans="1:17" x14ac:dyDescent="0.25">
      <c r="A2934" t="s">
        <v>3051</v>
      </c>
      <c r="B2934" s="1">
        <v>45976</v>
      </c>
      <c r="C2934" t="s">
        <v>60</v>
      </c>
      <c r="D2934" t="s">
        <v>65</v>
      </c>
      <c r="E2934" t="s">
        <v>20</v>
      </c>
      <c r="F2934" t="s">
        <v>50</v>
      </c>
      <c r="G2934" t="s">
        <v>138</v>
      </c>
      <c r="H2934" t="s">
        <v>23</v>
      </c>
      <c r="I2934" t="s">
        <v>99</v>
      </c>
      <c r="J2934">
        <v>46</v>
      </c>
      <c r="K2934">
        <v>6864.26</v>
      </c>
      <c r="L2934">
        <v>315755.96000000002</v>
      </c>
      <c r="M2934">
        <v>0</v>
      </c>
      <c r="N2934">
        <v>0</v>
      </c>
      <c r="O2934">
        <v>315755.96000000002</v>
      </c>
      <c r="P2934" t="s">
        <v>73</v>
      </c>
      <c r="Q2934" t="s">
        <v>32</v>
      </c>
    </row>
    <row r="2935" spans="1:17" x14ac:dyDescent="0.25">
      <c r="A2935" t="s">
        <v>3052</v>
      </c>
      <c r="B2935" s="1">
        <v>45969</v>
      </c>
      <c r="C2935" t="s">
        <v>54</v>
      </c>
      <c r="D2935" t="s">
        <v>133</v>
      </c>
      <c r="E2935" t="s">
        <v>41</v>
      </c>
      <c r="F2935" t="s">
        <v>21</v>
      </c>
      <c r="G2935" t="s">
        <v>140</v>
      </c>
      <c r="H2935" t="s">
        <v>38</v>
      </c>
      <c r="I2935" t="s">
        <v>175</v>
      </c>
      <c r="J2935">
        <v>40</v>
      </c>
      <c r="K2935">
        <v>42020.03</v>
      </c>
      <c r="L2935">
        <v>1680801.2</v>
      </c>
      <c r="M2935">
        <v>170795.82</v>
      </c>
      <c r="N2935">
        <v>0</v>
      </c>
      <c r="O2935">
        <v>1510005.38</v>
      </c>
      <c r="P2935" t="s">
        <v>25</v>
      </c>
      <c r="Q2935" t="s">
        <v>26</v>
      </c>
    </row>
    <row r="2936" spans="1:17" x14ac:dyDescent="0.25">
      <c r="A2936" t="s">
        <v>3053</v>
      </c>
      <c r="B2936" s="1">
        <v>46045</v>
      </c>
      <c r="C2936" t="s">
        <v>54</v>
      </c>
      <c r="D2936" t="s">
        <v>97</v>
      </c>
      <c r="E2936" t="s">
        <v>35</v>
      </c>
      <c r="F2936" t="s">
        <v>62</v>
      </c>
      <c r="G2936" t="s">
        <v>98</v>
      </c>
      <c r="H2936" t="s">
        <v>38</v>
      </c>
      <c r="I2936" t="s">
        <v>82</v>
      </c>
      <c r="J2936">
        <v>1</v>
      </c>
      <c r="K2936">
        <v>39802.980000000003</v>
      </c>
      <c r="L2936">
        <v>39802.980000000003</v>
      </c>
      <c r="M2936">
        <v>0</v>
      </c>
      <c r="N2936">
        <v>0</v>
      </c>
      <c r="O2936">
        <v>39802.980000000003</v>
      </c>
      <c r="P2936" t="s">
        <v>73</v>
      </c>
      <c r="Q2936" t="s">
        <v>32</v>
      </c>
    </row>
    <row r="2937" spans="1:17" x14ac:dyDescent="0.25">
      <c r="A2937" t="s">
        <v>3054</v>
      </c>
      <c r="B2937" s="1">
        <v>46041</v>
      </c>
      <c r="C2937" t="s">
        <v>47</v>
      </c>
      <c r="D2937" t="s">
        <v>127</v>
      </c>
      <c r="E2937" t="s">
        <v>20</v>
      </c>
      <c r="F2937" t="s">
        <v>42</v>
      </c>
      <c r="G2937" t="s">
        <v>140</v>
      </c>
      <c r="H2937" t="s">
        <v>94</v>
      </c>
      <c r="I2937" t="s">
        <v>193</v>
      </c>
      <c r="J2937">
        <v>46</v>
      </c>
      <c r="K2937">
        <v>13057.15</v>
      </c>
      <c r="L2937">
        <v>600628.9</v>
      </c>
      <c r="M2937">
        <v>0</v>
      </c>
      <c r="N2937">
        <v>0</v>
      </c>
      <c r="O2937">
        <v>600628.9</v>
      </c>
      <c r="P2937" t="s">
        <v>25</v>
      </c>
      <c r="Q2937" t="s">
        <v>26</v>
      </c>
    </row>
    <row r="2938" spans="1:17" x14ac:dyDescent="0.25">
      <c r="A2938" t="s">
        <v>3055</v>
      </c>
      <c r="B2938" s="1">
        <v>46041</v>
      </c>
      <c r="C2938" t="s">
        <v>79</v>
      </c>
      <c r="D2938" t="s">
        <v>101</v>
      </c>
      <c r="E2938" t="s">
        <v>35</v>
      </c>
      <c r="F2938" t="s">
        <v>137</v>
      </c>
      <c r="G2938" t="s">
        <v>102</v>
      </c>
      <c r="H2938" t="s">
        <v>94</v>
      </c>
      <c r="I2938" t="s">
        <v>193</v>
      </c>
      <c r="J2938">
        <v>38</v>
      </c>
      <c r="K2938">
        <v>49653.94</v>
      </c>
      <c r="L2938">
        <v>1886849.72</v>
      </c>
      <c r="M2938">
        <v>0</v>
      </c>
      <c r="N2938">
        <v>65834.850000000006</v>
      </c>
      <c r="O2938">
        <v>1821014.87</v>
      </c>
      <c r="P2938" t="s">
        <v>25</v>
      </c>
      <c r="Q2938" t="s">
        <v>26</v>
      </c>
    </row>
    <row r="2939" spans="1:17" x14ac:dyDescent="0.25">
      <c r="A2939" t="s">
        <v>3056</v>
      </c>
      <c r="B2939" s="1">
        <v>46037</v>
      </c>
      <c r="C2939" t="s">
        <v>54</v>
      </c>
      <c r="D2939" t="s">
        <v>55</v>
      </c>
      <c r="E2939" t="s">
        <v>35</v>
      </c>
      <c r="F2939" t="s">
        <v>105</v>
      </c>
      <c r="G2939" t="s">
        <v>81</v>
      </c>
      <c r="H2939" t="s">
        <v>44</v>
      </c>
      <c r="I2939" t="s">
        <v>152</v>
      </c>
      <c r="J2939">
        <v>31</v>
      </c>
      <c r="K2939">
        <v>21065.79</v>
      </c>
      <c r="L2939">
        <v>653039.49</v>
      </c>
      <c r="M2939">
        <v>114770.15</v>
      </c>
      <c r="N2939">
        <v>106532.98</v>
      </c>
      <c r="O2939">
        <v>431736.36</v>
      </c>
      <c r="P2939" t="s">
        <v>31</v>
      </c>
      <c r="Q2939" t="s">
        <v>32</v>
      </c>
    </row>
    <row r="2940" spans="1:17" x14ac:dyDescent="0.25">
      <c r="A2940" t="s">
        <v>3057</v>
      </c>
      <c r="B2940" s="1">
        <v>46006</v>
      </c>
      <c r="C2940" t="s">
        <v>60</v>
      </c>
      <c r="D2940" t="s">
        <v>65</v>
      </c>
      <c r="E2940" t="s">
        <v>41</v>
      </c>
      <c r="F2940" t="s">
        <v>84</v>
      </c>
      <c r="G2940" t="s">
        <v>98</v>
      </c>
      <c r="H2940" t="s">
        <v>38</v>
      </c>
      <c r="I2940" t="s">
        <v>175</v>
      </c>
      <c r="J2940">
        <v>8</v>
      </c>
      <c r="K2940">
        <v>32635.34</v>
      </c>
      <c r="L2940">
        <v>261082.72</v>
      </c>
      <c r="M2940">
        <v>0</v>
      </c>
      <c r="N2940">
        <v>0</v>
      </c>
      <c r="O2940">
        <v>261082.72</v>
      </c>
      <c r="P2940" t="s">
        <v>73</v>
      </c>
      <c r="Q2940" t="s">
        <v>32</v>
      </c>
    </row>
    <row r="2941" spans="1:17" x14ac:dyDescent="0.25">
      <c r="A2941" t="s">
        <v>3058</v>
      </c>
      <c r="B2941" s="1">
        <v>45977</v>
      </c>
      <c r="C2941" t="s">
        <v>60</v>
      </c>
      <c r="D2941" t="s">
        <v>151</v>
      </c>
      <c r="E2941" t="s">
        <v>41</v>
      </c>
      <c r="F2941" t="s">
        <v>21</v>
      </c>
      <c r="G2941" t="s">
        <v>22</v>
      </c>
      <c r="H2941" t="s">
        <v>94</v>
      </c>
      <c r="I2941" t="s">
        <v>115</v>
      </c>
      <c r="J2941">
        <v>41</v>
      </c>
      <c r="K2941">
        <v>17633.11</v>
      </c>
      <c r="L2941">
        <v>722957.51</v>
      </c>
      <c r="M2941">
        <v>92262.66</v>
      </c>
      <c r="N2941">
        <v>0</v>
      </c>
      <c r="O2941">
        <v>630694.85</v>
      </c>
      <c r="P2941" t="s">
        <v>73</v>
      </c>
      <c r="Q2941" t="s">
        <v>26</v>
      </c>
    </row>
    <row r="2942" spans="1:17" x14ac:dyDescent="0.25">
      <c r="A2942" t="s">
        <v>3059</v>
      </c>
      <c r="B2942" s="1">
        <v>46003</v>
      </c>
      <c r="C2942" t="s">
        <v>18</v>
      </c>
      <c r="D2942" t="s">
        <v>75</v>
      </c>
      <c r="E2942" t="s">
        <v>41</v>
      </c>
      <c r="F2942" t="s">
        <v>84</v>
      </c>
      <c r="G2942" t="s">
        <v>63</v>
      </c>
      <c r="H2942" t="s">
        <v>23</v>
      </c>
      <c r="I2942" t="s">
        <v>99</v>
      </c>
      <c r="J2942">
        <v>23</v>
      </c>
      <c r="K2942">
        <v>3253.41</v>
      </c>
      <c r="L2942">
        <v>74828.429999999993</v>
      </c>
      <c r="M2942">
        <v>2678.36</v>
      </c>
      <c r="N2942">
        <v>0</v>
      </c>
      <c r="O2942">
        <v>72150.070000000007</v>
      </c>
      <c r="P2942" t="s">
        <v>31</v>
      </c>
      <c r="Q2942" t="s">
        <v>32</v>
      </c>
    </row>
    <row r="2943" spans="1:17" x14ac:dyDescent="0.25">
      <c r="A2943" t="s">
        <v>3060</v>
      </c>
      <c r="B2943" s="1">
        <v>46024</v>
      </c>
      <c r="C2943" t="s">
        <v>60</v>
      </c>
      <c r="D2943" t="s">
        <v>123</v>
      </c>
      <c r="E2943" t="s">
        <v>20</v>
      </c>
      <c r="F2943" t="s">
        <v>84</v>
      </c>
      <c r="G2943" t="s">
        <v>85</v>
      </c>
      <c r="H2943" t="s">
        <v>57</v>
      </c>
      <c r="I2943" t="s">
        <v>148</v>
      </c>
      <c r="J2943">
        <v>13</v>
      </c>
      <c r="K2943">
        <v>10807.76</v>
      </c>
      <c r="L2943">
        <v>140500.88</v>
      </c>
      <c r="M2943">
        <v>8166.24</v>
      </c>
      <c r="N2943">
        <v>0</v>
      </c>
      <c r="O2943">
        <v>132334.64000000001</v>
      </c>
      <c r="P2943" t="s">
        <v>32</v>
      </c>
      <c r="Q2943" t="s">
        <v>32</v>
      </c>
    </row>
    <row r="2944" spans="1:17" x14ac:dyDescent="0.25">
      <c r="A2944" t="s">
        <v>3061</v>
      </c>
      <c r="B2944" s="1">
        <v>45960</v>
      </c>
      <c r="C2944" t="s">
        <v>54</v>
      </c>
      <c r="D2944" t="s">
        <v>70</v>
      </c>
      <c r="E2944" t="s">
        <v>20</v>
      </c>
      <c r="F2944" t="s">
        <v>21</v>
      </c>
      <c r="G2944" t="s">
        <v>43</v>
      </c>
      <c r="H2944" t="s">
        <v>38</v>
      </c>
      <c r="I2944" t="s">
        <v>175</v>
      </c>
      <c r="J2944">
        <v>6</v>
      </c>
      <c r="K2944">
        <v>47198.34</v>
      </c>
      <c r="L2944">
        <v>283190.03999999998</v>
      </c>
      <c r="M2944">
        <v>20118.330000000002</v>
      </c>
      <c r="N2944">
        <v>0</v>
      </c>
      <c r="O2944">
        <v>263071.71000000002</v>
      </c>
      <c r="P2944" t="s">
        <v>25</v>
      </c>
      <c r="Q2944" t="s">
        <v>26</v>
      </c>
    </row>
    <row r="2945" spans="1:17" x14ac:dyDescent="0.25">
      <c r="A2945" t="s">
        <v>3062</v>
      </c>
      <c r="B2945" s="1">
        <v>45996</v>
      </c>
      <c r="C2945" t="s">
        <v>60</v>
      </c>
      <c r="D2945" t="s">
        <v>151</v>
      </c>
      <c r="E2945" t="s">
        <v>20</v>
      </c>
      <c r="F2945" t="s">
        <v>36</v>
      </c>
      <c r="G2945" t="s">
        <v>89</v>
      </c>
      <c r="H2945" t="s">
        <v>38</v>
      </c>
      <c r="I2945" t="s">
        <v>39</v>
      </c>
      <c r="J2945">
        <v>30</v>
      </c>
      <c r="K2945">
        <v>17228.29</v>
      </c>
      <c r="L2945">
        <v>516848.7</v>
      </c>
      <c r="M2945">
        <v>57720.12</v>
      </c>
      <c r="N2945">
        <v>11933.06</v>
      </c>
      <c r="O2945">
        <v>447195.52</v>
      </c>
      <c r="P2945" t="s">
        <v>31</v>
      </c>
      <c r="Q2945" t="s">
        <v>32</v>
      </c>
    </row>
    <row r="2946" spans="1:17" x14ac:dyDescent="0.25">
      <c r="A2946" t="s">
        <v>3063</v>
      </c>
      <c r="B2946" s="1">
        <v>45958</v>
      </c>
      <c r="C2946" t="s">
        <v>18</v>
      </c>
      <c r="D2946" t="s">
        <v>34</v>
      </c>
      <c r="E2946" t="s">
        <v>20</v>
      </c>
      <c r="F2946" t="s">
        <v>36</v>
      </c>
      <c r="G2946" t="s">
        <v>81</v>
      </c>
      <c r="H2946" t="s">
        <v>44</v>
      </c>
      <c r="I2946" t="s">
        <v>45</v>
      </c>
      <c r="J2946">
        <v>43</v>
      </c>
      <c r="K2946">
        <v>37311.22</v>
      </c>
      <c r="L2946">
        <v>1604382.46</v>
      </c>
      <c r="M2946">
        <v>292511.7</v>
      </c>
      <c r="N2946">
        <v>0</v>
      </c>
      <c r="O2946">
        <v>1311870.76</v>
      </c>
      <c r="P2946" t="s">
        <v>73</v>
      </c>
      <c r="Q2946" t="s">
        <v>26</v>
      </c>
    </row>
    <row r="2947" spans="1:17" x14ac:dyDescent="0.25">
      <c r="A2947" t="s">
        <v>3064</v>
      </c>
      <c r="B2947" s="1">
        <v>45965</v>
      </c>
      <c r="C2947" t="s">
        <v>79</v>
      </c>
      <c r="D2947" t="s">
        <v>80</v>
      </c>
      <c r="E2947" t="s">
        <v>41</v>
      </c>
      <c r="F2947" t="s">
        <v>112</v>
      </c>
      <c r="G2947" t="s">
        <v>81</v>
      </c>
      <c r="H2947" t="s">
        <v>94</v>
      </c>
      <c r="I2947" t="s">
        <v>193</v>
      </c>
      <c r="J2947">
        <v>43</v>
      </c>
      <c r="K2947">
        <v>22805.68</v>
      </c>
      <c r="L2947">
        <v>980644.24</v>
      </c>
      <c r="M2947">
        <v>0</v>
      </c>
      <c r="N2947">
        <v>0</v>
      </c>
      <c r="O2947">
        <v>980644.24</v>
      </c>
      <c r="P2947" t="s">
        <v>73</v>
      </c>
      <c r="Q2947" t="s">
        <v>26</v>
      </c>
    </row>
    <row r="2948" spans="1:17" x14ac:dyDescent="0.25">
      <c r="A2948" t="s">
        <v>3065</v>
      </c>
      <c r="B2948" s="1">
        <v>46033</v>
      </c>
      <c r="C2948" t="s">
        <v>54</v>
      </c>
      <c r="D2948" t="s">
        <v>133</v>
      </c>
      <c r="E2948" t="s">
        <v>49</v>
      </c>
      <c r="F2948" t="s">
        <v>137</v>
      </c>
      <c r="G2948" t="s">
        <v>66</v>
      </c>
      <c r="H2948" t="s">
        <v>67</v>
      </c>
      <c r="I2948" t="s">
        <v>68</v>
      </c>
      <c r="J2948">
        <v>24</v>
      </c>
      <c r="K2948">
        <v>43104.88</v>
      </c>
      <c r="L2948">
        <v>1034517.12</v>
      </c>
      <c r="M2948">
        <v>179403.04</v>
      </c>
      <c r="N2948">
        <v>0</v>
      </c>
      <c r="O2948">
        <v>855114.08</v>
      </c>
      <c r="P2948" t="s">
        <v>73</v>
      </c>
      <c r="Q2948" t="s">
        <v>32</v>
      </c>
    </row>
    <row r="2949" spans="1:17" x14ac:dyDescent="0.25">
      <c r="A2949" t="s">
        <v>3066</v>
      </c>
      <c r="B2949" s="1">
        <v>46017</v>
      </c>
      <c r="C2949" t="s">
        <v>79</v>
      </c>
      <c r="D2949" t="s">
        <v>91</v>
      </c>
      <c r="E2949" t="s">
        <v>35</v>
      </c>
      <c r="F2949" t="s">
        <v>42</v>
      </c>
      <c r="G2949" t="s">
        <v>66</v>
      </c>
      <c r="H2949" t="s">
        <v>67</v>
      </c>
      <c r="I2949" t="s">
        <v>68</v>
      </c>
      <c r="J2949">
        <v>37</v>
      </c>
      <c r="K2949">
        <v>34074.44</v>
      </c>
      <c r="L2949">
        <v>1260754.28</v>
      </c>
      <c r="M2949">
        <v>0</v>
      </c>
      <c r="N2949">
        <v>0</v>
      </c>
      <c r="O2949">
        <v>1260754.28</v>
      </c>
      <c r="P2949" t="s">
        <v>73</v>
      </c>
      <c r="Q2949" t="s">
        <v>32</v>
      </c>
    </row>
    <row r="2950" spans="1:17" x14ac:dyDescent="0.25">
      <c r="A2950" t="s">
        <v>3067</v>
      </c>
      <c r="B2950" s="1">
        <v>46036</v>
      </c>
      <c r="C2950" t="s">
        <v>60</v>
      </c>
      <c r="D2950" t="s">
        <v>123</v>
      </c>
      <c r="E2950" t="s">
        <v>49</v>
      </c>
      <c r="F2950" t="s">
        <v>71</v>
      </c>
      <c r="G2950" t="s">
        <v>63</v>
      </c>
      <c r="H2950" t="s">
        <v>23</v>
      </c>
      <c r="I2950" t="s">
        <v>99</v>
      </c>
      <c r="J2950">
        <v>22</v>
      </c>
      <c r="K2950">
        <v>19451.09</v>
      </c>
      <c r="L2950">
        <v>427923.98</v>
      </c>
      <c r="M2950">
        <v>0</v>
      </c>
      <c r="N2950">
        <v>0</v>
      </c>
      <c r="O2950">
        <v>427923.98</v>
      </c>
      <c r="P2950" t="s">
        <v>31</v>
      </c>
      <c r="Q2950" t="s">
        <v>32</v>
      </c>
    </row>
    <row r="2951" spans="1:17" x14ac:dyDescent="0.25">
      <c r="A2951" t="s">
        <v>3068</v>
      </c>
      <c r="B2951" s="1">
        <v>45979</v>
      </c>
      <c r="C2951" t="s">
        <v>54</v>
      </c>
      <c r="D2951" t="s">
        <v>97</v>
      </c>
      <c r="E2951" t="s">
        <v>49</v>
      </c>
      <c r="F2951" t="s">
        <v>112</v>
      </c>
      <c r="G2951" t="s">
        <v>140</v>
      </c>
      <c r="H2951" t="s">
        <v>57</v>
      </c>
      <c r="I2951" t="s">
        <v>58</v>
      </c>
      <c r="J2951">
        <v>2</v>
      </c>
      <c r="K2951">
        <v>45724.43</v>
      </c>
      <c r="L2951">
        <v>91448.86</v>
      </c>
      <c r="M2951">
        <v>8729.4</v>
      </c>
      <c r="N2951">
        <v>0</v>
      </c>
      <c r="O2951">
        <v>82719.460000000006</v>
      </c>
      <c r="P2951" t="s">
        <v>31</v>
      </c>
      <c r="Q2951" t="s">
        <v>32</v>
      </c>
    </row>
    <row r="2952" spans="1:17" x14ac:dyDescent="0.25">
      <c r="A2952" t="s">
        <v>3069</v>
      </c>
      <c r="B2952" s="1">
        <v>45964</v>
      </c>
      <c r="C2952" t="s">
        <v>60</v>
      </c>
      <c r="D2952" t="s">
        <v>151</v>
      </c>
      <c r="E2952" t="s">
        <v>49</v>
      </c>
      <c r="F2952" t="s">
        <v>50</v>
      </c>
      <c r="G2952" t="s">
        <v>22</v>
      </c>
      <c r="H2952" t="s">
        <v>57</v>
      </c>
      <c r="I2952" t="s">
        <v>160</v>
      </c>
      <c r="J2952">
        <v>49</v>
      </c>
      <c r="K2952">
        <v>16160.14</v>
      </c>
      <c r="L2952">
        <v>791846.86</v>
      </c>
      <c r="M2952">
        <v>0</v>
      </c>
      <c r="N2952">
        <v>0</v>
      </c>
      <c r="O2952">
        <v>791846.86</v>
      </c>
      <c r="P2952" t="s">
        <v>25</v>
      </c>
      <c r="Q2952" t="s">
        <v>26</v>
      </c>
    </row>
    <row r="2953" spans="1:17" x14ac:dyDescent="0.25">
      <c r="A2953" t="s">
        <v>3070</v>
      </c>
      <c r="B2953" s="1">
        <v>46039</v>
      </c>
      <c r="C2953" t="s">
        <v>54</v>
      </c>
      <c r="D2953" t="s">
        <v>55</v>
      </c>
      <c r="E2953" t="s">
        <v>49</v>
      </c>
      <c r="F2953" t="s">
        <v>50</v>
      </c>
      <c r="G2953" t="s">
        <v>89</v>
      </c>
      <c r="H2953" t="s">
        <v>67</v>
      </c>
      <c r="I2953" t="s">
        <v>77</v>
      </c>
      <c r="J2953">
        <v>10</v>
      </c>
      <c r="K2953">
        <v>19998.47</v>
      </c>
      <c r="L2953">
        <v>199984.7</v>
      </c>
      <c r="M2953">
        <v>39336.5</v>
      </c>
      <c r="N2953">
        <v>0</v>
      </c>
      <c r="O2953">
        <v>160648.20000000001</v>
      </c>
      <c r="P2953" t="s">
        <v>31</v>
      </c>
      <c r="Q2953" t="s">
        <v>32</v>
      </c>
    </row>
    <row r="2954" spans="1:17" x14ac:dyDescent="0.25">
      <c r="A2954" t="s">
        <v>3071</v>
      </c>
      <c r="B2954" s="1">
        <v>46034</v>
      </c>
      <c r="C2954" t="s">
        <v>54</v>
      </c>
      <c r="D2954" t="s">
        <v>55</v>
      </c>
      <c r="E2954" t="s">
        <v>20</v>
      </c>
      <c r="F2954" t="s">
        <v>50</v>
      </c>
      <c r="G2954" t="s">
        <v>89</v>
      </c>
      <c r="H2954" t="s">
        <v>23</v>
      </c>
      <c r="I2954" t="s">
        <v>52</v>
      </c>
      <c r="J2954">
        <v>3</v>
      </c>
      <c r="K2954">
        <v>39182.19</v>
      </c>
      <c r="L2954">
        <v>117546.57</v>
      </c>
      <c r="M2954">
        <v>0</v>
      </c>
      <c r="N2954">
        <v>0</v>
      </c>
      <c r="O2954">
        <v>117546.57</v>
      </c>
      <c r="P2954" t="s">
        <v>31</v>
      </c>
      <c r="Q2954" t="s">
        <v>32</v>
      </c>
    </row>
    <row r="2955" spans="1:17" x14ac:dyDescent="0.25">
      <c r="A2955" t="s">
        <v>3072</v>
      </c>
      <c r="B2955" s="1">
        <v>45954</v>
      </c>
      <c r="C2955" t="s">
        <v>79</v>
      </c>
      <c r="D2955" t="s">
        <v>107</v>
      </c>
      <c r="E2955" t="s">
        <v>49</v>
      </c>
      <c r="F2955" t="s">
        <v>42</v>
      </c>
      <c r="G2955" t="s">
        <v>43</v>
      </c>
      <c r="H2955" t="s">
        <v>67</v>
      </c>
      <c r="I2955" t="s">
        <v>170</v>
      </c>
      <c r="J2955">
        <v>50</v>
      </c>
      <c r="K2955">
        <v>44242.53</v>
      </c>
      <c r="L2955">
        <v>2212126.5</v>
      </c>
      <c r="M2955">
        <v>401709.76</v>
      </c>
      <c r="N2955">
        <v>0</v>
      </c>
      <c r="O2955">
        <v>1810416.74</v>
      </c>
      <c r="P2955" t="s">
        <v>25</v>
      </c>
      <c r="Q2955" t="s">
        <v>26</v>
      </c>
    </row>
    <row r="2956" spans="1:17" x14ac:dyDescent="0.25">
      <c r="A2956" t="s">
        <v>3073</v>
      </c>
      <c r="B2956" s="1">
        <v>45965</v>
      </c>
      <c r="C2956" t="s">
        <v>79</v>
      </c>
      <c r="D2956" t="s">
        <v>107</v>
      </c>
      <c r="E2956" t="s">
        <v>35</v>
      </c>
      <c r="F2956" t="s">
        <v>105</v>
      </c>
      <c r="G2956" t="s">
        <v>81</v>
      </c>
      <c r="H2956" t="s">
        <v>38</v>
      </c>
      <c r="I2956" t="s">
        <v>82</v>
      </c>
      <c r="J2956">
        <v>13</v>
      </c>
      <c r="K2956">
        <v>20422.349999999999</v>
      </c>
      <c r="L2956">
        <v>265490.55</v>
      </c>
      <c r="M2956">
        <v>0</v>
      </c>
      <c r="N2956">
        <v>0</v>
      </c>
      <c r="O2956">
        <v>265490.55</v>
      </c>
      <c r="P2956" t="s">
        <v>73</v>
      </c>
      <c r="Q2956" t="s">
        <v>32</v>
      </c>
    </row>
    <row r="2957" spans="1:17" x14ac:dyDescent="0.25">
      <c r="A2957" t="s">
        <v>3074</v>
      </c>
      <c r="B2957" s="1">
        <v>45966</v>
      </c>
      <c r="C2957" t="s">
        <v>60</v>
      </c>
      <c r="D2957" t="s">
        <v>61</v>
      </c>
      <c r="E2957" t="s">
        <v>35</v>
      </c>
      <c r="F2957" t="s">
        <v>42</v>
      </c>
      <c r="G2957" t="s">
        <v>81</v>
      </c>
      <c r="H2957" t="s">
        <v>23</v>
      </c>
      <c r="I2957" t="s">
        <v>52</v>
      </c>
      <c r="J2957">
        <v>43</v>
      </c>
      <c r="K2957">
        <v>3576.84</v>
      </c>
      <c r="L2957">
        <v>153804.12</v>
      </c>
      <c r="M2957">
        <v>0</v>
      </c>
      <c r="N2957">
        <v>44911.199999999997</v>
      </c>
      <c r="O2957">
        <v>108892.92</v>
      </c>
      <c r="P2957" t="s">
        <v>32</v>
      </c>
      <c r="Q2957" t="s">
        <v>32</v>
      </c>
    </row>
    <row r="2958" spans="1:17" x14ac:dyDescent="0.25">
      <c r="A2958" t="s">
        <v>3075</v>
      </c>
      <c r="B2958" s="1">
        <v>46041</v>
      </c>
      <c r="C2958" t="s">
        <v>54</v>
      </c>
      <c r="D2958" t="s">
        <v>97</v>
      </c>
      <c r="E2958" t="s">
        <v>35</v>
      </c>
      <c r="F2958" t="s">
        <v>112</v>
      </c>
      <c r="G2958" t="s">
        <v>85</v>
      </c>
      <c r="H2958" t="s">
        <v>44</v>
      </c>
      <c r="I2958" t="s">
        <v>141</v>
      </c>
      <c r="J2958">
        <v>48</v>
      </c>
      <c r="K2958">
        <v>11941.75</v>
      </c>
      <c r="L2958">
        <v>573204</v>
      </c>
      <c r="M2958">
        <v>0</v>
      </c>
      <c r="N2958">
        <v>0</v>
      </c>
      <c r="O2958">
        <v>573204</v>
      </c>
      <c r="P2958" t="s">
        <v>32</v>
      </c>
      <c r="Q2958" t="s">
        <v>32</v>
      </c>
    </row>
    <row r="2959" spans="1:17" x14ac:dyDescent="0.25">
      <c r="A2959" t="s">
        <v>3076</v>
      </c>
      <c r="B2959" s="1">
        <v>45954</v>
      </c>
      <c r="C2959" t="s">
        <v>79</v>
      </c>
      <c r="D2959" t="s">
        <v>80</v>
      </c>
      <c r="E2959" t="s">
        <v>49</v>
      </c>
      <c r="F2959" t="s">
        <v>105</v>
      </c>
      <c r="G2959" t="s">
        <v>51</v>
      </c>
      <c r="H2959" t="s">
        <v>38</v>
      </c>
      <c r="I2959" t="s">
        <v>120</v>
      </c>
      <c r="J2959">
        <v>2</v>
      </c>
      <c r="K2959">
        <v>42360.1</v>
      </c>
      <c r="L2959">
        <v>84720.2</v>
      </c>
      <c r="M2959">
        <v>0</v>
      </c>
      <c r="N2959">
        <v>0</v>
      </c>
      <c r="O2959">
        <v>84720.2</v>
      </c>
      <c r="P2959" t="s">
        <v>73</v>
      </c>
      <c r="Q2959" t="s">
        <v>26</v>
      </c>
    </row>
    <row r="2960" spans="1:17" x14ac:dyDescent="0.25">
      <c r="A2960" t="s">
        <v>3077</v>
      </c>
      <c r="B2960" s="1">
        <v>46038</v>
      </c>
      <c r="C2960" t="s">
        <v>18</v>
      </c>
      <c r="D2960" t="s">
        <v>75</v>
      </c>
      <c r="E2960" t="s">
        <v>35</v>
      </c>
      <c r="F2960" t="s">
        <v>71</v>
      </c>
      <c r="G2960" t="s">
        <v>22</v>
      </c>
      <c r="H2960" t="s">
        <v>57</v>
      </c>
      <c r="I2960" t="s">
        <v>118</v>
      </c>
      <c r="J2960">
        <v>13</v>
      </c>
      <c r="K2960">
        <v>42586.41</v>
      </c>
      <c r="L2960">
        <v>553623.32999999996</v>
      </c>
      <c r="M2960">
        <v>8475.19</v>
      </c>
      <c r="N2960">
        <v>0</v>
      </c>
      <c r="O2960">
        <v>545148.14</v>
      </c>
      <c r="P2960" t="s">
        <v>31</v>
      </c>
      <c r="Q2960" t="s">
        <v>32</v>
      </c>
    </row>
    <row r="2961" spans="1:17" x14ac:dyDescent="0.25">
      <c r="A2961" t="s">
        <v>3078</v>
      </c>
      <c r="B2961" s="1">
        <v>46035</v>
      </c>
      <c r="C2961" t="s">
        <v>18</v>
      </c>
      <c r="D2961" t="s">
        <v>19</v>
      </c>
      <c r="E2961" t="s">
        <v>20</v>
      </c>
      <c r="F2961" t="s">
        <v>137</v>
      </c>
      <c r="G2961" t="s">
        <v>81</v>
      </c>
      <c r="H2961" t="s">
        <v>57</v>
      </c>
      <c r="I2961" t="s">
        <v>160</v>
      </c>
      <c r="J2961">
        <v>23</v>
      </c>
      <c r="K2961">
        <v>37475.300000000003</v>
      </c>
      <c r="L2961">
        <v>861931.9</v>
      </c>
      <c r="M2961">
        <v>3097.13</v>
      </c>
      <c r="N2961">
        <v>0</v>
      </c>
      <c r="O2961">
        <v>858834.77</v>
      </c>
      <c r="P2961" t="s">
        <v>31</v>
      </c>
      <c r="Q2961" t="s">
        <v>32</v>
      </c>
    </row>
    <row r="2962" spans="1:17" x14ac:dyDescent="0.25">
      <c r="A2962" t="s">
        <v>3079</v>
      </c>
      <c r="B2962" s="1">
        <v>46015</v>
      </c>
      <c r="C2962" t="s">
        <v>60</v>
      </c>
      <c r="D2962" t="s">
        <v>151</v>
      </c>
      <c r="E2962" t="s">
        <v>49</v>
      </c>
      <c r="F2962" t="s">
        <v>137</v>
      </c>
      <c r="G2962" t="s">
        <v>22</v>
      </c>
      <c r="H2962" t="s">
        <v>23</v>
      </c>
      <c r="I2962" t="s">
        <v>24</v>
      </c>
      <c r="J2962">
        <v>33</v>
      </c>
      <c r="K2962">
        <v>39024.1</v>
      </c>
      <c r="L2962">
        <v>1287795.3</v>
      </c>
      <c r="M2962">
        <v>155589.28</v>
      </c>
      <c r="N2962">
        <v>0</v>
      </c>
      <c r="O2962">
        <v>1132206.02</v>
      </c>
      <c r="P2962" t="s">
        <v>73</v>
      </c>
      <c r="Q2962" t="s">
        <v>26</v>
      </c>
    </row>
    <row r="2963" spans="1:17" x14ac:dyDescent="0.25">
      <c r="A2963" t="s">
        <v>3080</v>
      </c>
      <c r="B2963" s="1">
        <v>45973</v>
      </c>
      <c r="C2963" t="s">
        <v>60</v>
      </c>
      <c r="D2963" t="s">
        <v>65</v>
      </c>
      <c r="E2963" t="s">
        <v>41</v>
      </c>
      <c r="F2963" t="s">
        <v>62</v>
      </c>
      <c r="G2963" t="s">
        <v>63</v>
      </c>
      <c r="H2963" t="s">
        <v>44</v>
      </c>
      <c r="I2963" t="s">
        <v>45</v>
      </c>
      <c r="J2963">
        <v>2</v>
      </c>
      <c r="K2963">
        <v>22643.31</v>
      </c>
      <c r="L2963">
        <v>45286.62</v>
      </c>
      <c r="M2963">
        <v>0</v>
      </c>
      <c r="N2963">
        <v>0</v>
      </c>
      <c r="O2963">
        <v>45286.62</v>
      </c>
      <c r="P2963" t="s">
        <v>31</v>
      </c>
      <c r="Q2963" t="s">
        <v>32</v>
      </c>
    </row>
    <row r="2964" spans="1:17" x14ac:dyDescent="0.25">
      <c r="A2964" t="s">
        <v>3081</v>
      </c>
      <c r="B2964" s="1">
        <v>45994</v>
      </c>
      <c r="C2964" t="s">
        <v>47</v>
      </c>
      <c r="D2964" t="s">
        <v>48</v>
      </c>
      <c r="E2964" t="s">
        <v>20</v>
      </c>
      <c r="F2964" t="s">
        <v>105</v>
      </c>
      <c r="G2964" t="s">
        <v>29</v>
      </c>
      <c r="H2964" t="s">
        <v>67</v>
      </c>
      <c r="I2964" t="s">
        <v>154</v>
      </c>
      <c r="J2964">
        <v>38</v>
      </c>
      <c r="K2964">
        <v>48261.36</v>
      </c>
      <c r="L2964">
        <v>1833931.68</v>
      </c>
      <c r="M2964">
        <v>0</v>
      </c>
      <c r="N2964">
        <v>0</v>
      </c>
      <c r="O2964">
        <v>1833931.68</v>
      </c>
      <c r="P2964" t="s">
        <v>32</v>
      </c>
      <c r="Q2964" t="s">
        <v>32</v>
      </c>
    </row>
    <row r="2965" spans="1:17" x14ac:dyDescent="0.25">
      <c r="A2965" t="s">
        <v>3082</v>
      </c>
      <c r="B2965" s="1">
        <v>45989</v>
      </c>
      <c r="C2965" t="s">
        <v>60</v>
      </c>
      <c r="D2965" t="s">
        <v>123</v>
      </c>
      <c r="E2965" t="s">
        <v>35</v>
      </c>
      <c r="F2965" t="s">
        <v>71</v>
      </c>
      <c r="G2965" t="s">
        <v>63</v>
      </c>
      <c r="H2965" t="s">
        <v>38</v>
      </c>
      <c r="I2965" t="s">
        <v>120</v>
      </c>
      <c r="J2965">
        <v>27</v>
      </c>
      <c r="K2965">
        <v>7105.17</v>
      </c>
      <c r="L2965">
        <v>191839.59</v>
      </c>
      <c r="M2965">
        <v>16317.12</v>
      </c>
      <c r="N2965">
        <v>43318.49</v>
      </c>
      <c r="O2965">
        <v>132203.98000000001</v>
      </c>
      <c r="P2965" t="s">
        <v>32</v>
      </c>
      <c r="Q2965" t="s">
        <v>26</v>
      </c>
    </row>
    <row r="2966" spans="1:17" x14ac:dyDescent="0.25">
      <c r="A2966" t="s">
        <v>3083</v>
      </c>
      <c r="B2966" s="1">
        <v>46011</v>
      </c>
      <c r="C2966" t="s">
        <v>18</v>
      </c>
      <c r="D2966" t="s">
        <v>75</v>
      </c>
      <c r="E2966" t="s">
        <v>49</v>
      </c>
      <c r="F2966" t="s">
        <v>62</v>
      </c>
      <c r="G2966" t="s">
        <v>56</v>
      </c>
      <c r="H2966" t="s">
        <v>57</v>
      </c>
      <c r="I2966" t="s">
        <v>148</v>
      </c>
      <c r="J2966">
        <v>29</v>
      </c>
      <c r="K2966">
        <v>44435.360000000001</v>
      </c>
      <c r="L2966">
        <v>1288625.44</v>
      </c>
      <c r="M2966">
        <v>12355.66</v>
      </c>
      <c r="N2966">
        <v>0</v>
      </c>
      <c r="O2966">
        <v>1276269.78</v>
      </c>
      <c r="P2966" t="s">
        <v>73</v>
      </c>
      <c r="Q2966" t="s">
        <v>32</v>
      </c>
    </row>
    <row r="2967" spans="1:17" x14ac:dyDescent="0.25">
      <c r="A2967" t="s">
        <v>3084</v>
      </c>
      <c r="B2967" s="1">
        <v>45981</v>
      </c>
      <c r="C2967" t="s">
        <v>47</v>
      </c>
      <c r="D2967" t="s">
        <v>48</v>
      </c>
      <c r="E2967" t="s">
        <v>35</v>
      </c>
      <c r="F2967" t="s">
        <v>71</v>
      </c>
      <c r="G2967" t="s">
        <v>51</v>
      </c>
      <c r="H2967" t="s">
        <v>38</v>
      </c>
      <c r="I2967" t="s">
        <v>82</v>
      </c>
      <c r="J2967">
        <v>50</v>
      </c>
      <c r="K2967">
        <v>22908.65</v>
      </c>
      <c r="L2967">
        <v>1145432.5</v>
      </c>
      <c r="M2967">
        <v>167778.16</v>
      </c>
      <c r="N2967">
        <v>0</v>
      </c>
      <c r="O2967">
        <v>977654.34</v>
      </c>
      <c r="P2967" t="s">
        <v>73</v>
      </c>
      <c r="Q2967" t="s">
        <v>32</v>
      </c>
    </row>
    <row r="2968" spans="1:17" x14ac:dyDescent="0.25">
      <c r="A2968" t="s">
        <v>3085</v>
      </c>
      <c r="B2968" s="1">
        <v>45983</v>
      </c>
      <c r="C2968" t="s">
        <v>60</v>
      </c>
      <c r="D2968" t="s">
        <v>151</v>
      </c>
      <c r="E2968" t="s">
        <v>20</v>
      </c>
      <c r="F2968" t="s">
        <v>137</v>
      </c>
      <c r="G2968" t="s">
        <v>22</v>
      </c>
      <c r="H2968" t="s">
        <v>67</v>
      </c>
      <c r="I2968" t="s">
        <v>154</v>
      </c>
      <c r="J2968">
        <v>38</v>
      </c>
      <c r="K2968">
        <v>12229.41</v>
      </c>
      <c r="L2968">
        <v>464717.58</v>
      </c>
      <c r="M2968">
        <v>78100.710000000006</v>
      </c>
      <c r="N2968">
        <v>0</v>
      </c>
      <c r="O2968">
        <v>386616.87</v>
      </c>
      <c r="P2968" t="s">
        <v>32</v>
      </c>
      <c r="Q2968" t="s">
        <v>32</v>
      </c>
    </row>
    <row r="2969" spans="1:17" x14ac:dyDescent="0.25">
      <c r="A2969" t="s">
        <v>3086</v>
      </c>
      <c r="B2969" s="1">
        <v>46020</v>
      </c>
      <c r="C2969" t="s">
        <v>60</v>
      </c>
      <c r="D2969" t="s">
        <v>65</v>
      </c>
      <c r="E2969" t="s">
        <v>41</v>
      </c>
      <c r="F2969" t="s">
        <v>42</v>
      </c>
      <c r="G2969" t="s">
        <v>138</v>
      </c>
      <c r="H2969" t="s">
        <v>57</v>
      </c>
      <c r="I2969" t="s">
        <v>118</v>
      </c>
      <c r="J2969">
        <v>11</v>
      </c>
      <c r="K2969">
        <v>4526.21</v>
      </c>
      <c r="L2969">
        <v>49788.31</v>
      </c>
      <c r="M2969">
        <v>0</v>
      </c>
      <c r="N2969">
        <v>0</v>
      </c>
      <c r="O2969">
        <v>49788.31</v>
      </c>
      <c r="P2969" t="s">
        <v>25</v>
      </c>
      <c r="Q2969" t="s">
        <v>128</v>
      </c>
    </row>
    <row r="2970" spans="1:17" x14ac:dyDescent="0.25">
      <c r="A2970" t="s">
        <v>3087</v>
      </c>
      <c r="B2970" s="1">
        <v>45997</v>
      </c>
      <c r="C2970" t="s">
        <v>18</v>
      </c>
      <c r="D2970" t="s">
        <v>28</v>
      </c>
      <c r="E2970" t="s">
        <v>35</v>
      </c>
      <c r="F2970" t="s">
        <v>71</v>
      </c>
      <c r="G2970" t="s">
        <v>98</v>
      </c>
      <c r="H2970" t="s">
        <v>38</v>
      </c>
      <c r="I2970" t="s">
        <v>86</v>
      </c>
      <c r="J2970">
        <v>12</v>
      </c>
      <c r="K2970">
        <v>40877.08</v>
      </c>
      <c r="L2970">
        <v>490524.96</v>
      </c>
      <c r="M2970">
        <v>70249.509999999995</v>
      </c>
      <c r="N2970">
        <v>83089.13</v>
      </c>
      <c r="O2970">
        <v>337186.32</v>
      </c>
      <c r="P2970" t="s">
        <v>25</v>
      </c>
      <c r="Q2970" t="s">
        <v>26</v>
      </c>
    </row>
    <row r="2971" spans="1:17" x14ac:dyDescent="0.25">
      <c r="A2971" t="s">
        <v>3088</v>
      </c>
      <c r="B2971" s="1">
        <v>45954</v>
      </c>
      <c r="C2971" t="s">
        <v>54</v>
      </c>
      <c r="D2971" t="s">
        <v>97</v>
      </c>
      <c r="E2971" t="s">
        <v>49</v>
      </c>
      <c r="F2971" t="s">
        <v>71</v>
      </c>
      <c r="G2971" t="s">
        <v>66</v>
      </c>
      <c r="H2971" t="s">
        <v>38</v>
      </c>
      <c r="I2971" t="s">
        <v>82</v>
      </c>
      <c r="J2971">
        <v>32</v>
      </c>
      <c r="K2971">
        <v>41926.519999999997</v>
      </c>
      <c r="L2971">
        <v>1341648.6399999999</v>
      </c>
      <c r="M2971">
        <v>118370.18</v>
      </c>
      <c r="N2971">
        <v>0</v>
      </c>
      <c r="O2971">
        <v>1223278.46</v>
      </c>
      <c r="P2971" t="s">
        <v>31</v>
      </c>
      <c r="Q2971" t="s">
        <v>32</v>
      </c>
    </row>
    <row r="2972" spans="1:17" x14ac:dyDescent="0.25">
      <c r="A2972" t="s">
        <v>3089</v>
      </c>
      <c r="B2972" s="1">
        <v>46022</v>
      </c>
      <c r="C2972" t="s">
        <v>47</v>
      </c>
      <c r="D2972" t="s">
        <v>88</v>
      </c>
      <c r="E2972" t="s">
        <v>20</v>
      </c>
      <c r="F2972" t="s">
        <v>84</v>
      </c>
      <c r="G2972" t="s">
        <v>22</v>
      </c>
      <c r="H2972" t="s">
        <v>67</v>
      </c>
      <c r="I2972" t="s">
        <v>68</v>
      </c>
      <c r="J2972">
        <v>21</v>
      </c>
      <c r="K2972">
        <v>9075.73</v>
      </c>
      <c r="L2972">
        <v>190590.33</v>
      </c>
      <c r="M2972">
        <v>34143.160000000003</v>
      </c>
      <c r="N2972">
        <v>0</v>
      </c>
      <c r="O2972">
        <v>156447.17000000001</v>
      </c>
      <c r="P2972" t="s">
        <v>32</v>
      </c>
      <c r="Q2972" t="s">
        <v>32</v>
      </c>
    </row>
    <row r="2973" spans="1:17" x14ac:dyDescent="0.25">
      <c r="A2973" t="s">
        <v>3090</v>
      </c>
      <c r="B2973" s="1">
        <v>46015</v>
      </c>
      <c r="C2973" t="s">
        <v>54</v>
      </c>
      <c r="D2973" t="s">
        <v>70</v>
      </c>
      <c r="E2973" t="s">
        <v>49</v>
      </c>
      <c r="F2973" t="s">
        <v>36</v>
      </c>
      <c r="G2973" t="s">
        <v>22</v>
      </c>
      <c r="H2973" t="s">
        <v>67</v>
      </c>
      <c r="I2973" t="s">
        <v>201</v>
      </c>
      <c r="J2973">
        <v>11</v>
      </c>
      <c r="K2973">
        <v>5376.4</v>
      </c>
      <c r="L2973">
        <v>59140.4</v>
      </c>
      <c r="M2973">
        <v>9425.24</v>
      </c>
      <c r="N2973">
        <v>0</v>
      </c>
      <c r="O2973">
        <v>49715.16</v>
      </c>
      <c r="P2973" t="s">
        <v>25</v>
      </c>
      <c r="Q2973" t="s">
        <v>32</v>
      </c>
    </row>
    <row r="2974" spans="1:17" x14ac:dyDescent="0.25">
      <c r="A2974" t="s">
        <v>3091</v>
      </c>
      <c r="B2974" s="1">
        <v>46038</v>
      </c>
      <c r="C2974" t="s">
        <v>54</v>
      </c>
      <c r="D2974" t="s">
        <v>70</v>
      </c>
      <c r="E2974" t="s">
        <v>20</v>
      </c>
      <c r="F2974" t="s">
        <v>62</v>
      </c>
      <c r="G2974" t="s">
        <v>63</v>
      </c>
      <c r="H2974" t="s">
        <v>23</v>
      </c>
      <c r="I2974" t="s">
        <v>24</v>
      </c>
      <c r="J2974">
        <v>23</v>
      </c>
      <c r="K2974">
        <v>10472.280000000001</v>
      </c>
      <c r="L2974">
        <v>240862.44</v>
      </c>
      <c r="M2974">
        <v>13360.06</v>
      </c>
      <c r="N2974">
        <v>57180.69</v>
      </c>
      <c r="O2974">
        <v>170321.69</v>
      </c>
      <c r="P2974" t="s">
        <v>25</v>
      </c>
      <c r="Q2974" t="s">
        <v>26</v>
      </c>
    </row>
    <row r="2975" spans="1:17" x14ac:dyDescent="0.25">
      <c r="A2975" t="s">
        <v>3092</v>
      </c>
      <c r="B2975" s="1">
        <v>45983</v>
      </c>
      <c r="C2975" t="s">
        <v>47</v>
      </c>
      <c r="D2975" t="s">
        <v>88</v>
      </c>
      <c r="E2975" t="s">
        <v>49</v>
      </c>
      <c r="F2975" t="s">
        <v>21</v>
      </c>
      <c r="G2975" t="s">
        <v>37</v>
      </c>
      <c r="H2975" t="s">
        <v>23</v>
      </c>
      <c r="I2975" t="s">
        <v>52</v>
      </c>
      <c r="J2975">
        <v>39</v>
      </c>
      <c r="K2975">
        <v>19504.82</v>
      </c>
      <c r="L2975">
        <v>760687.98</v>
      </c>
      <c r="M2975">
        <v>125619.22</v>
      </c>
      <c r="N2975">
        <v>0</v>
      </c>
      <c r="O2975">
        <v>635068.76</v>
      </c>
      <c r="P2975" t="s">
        <v>25</v>
      </c>
      <c r="Q2975" t="s">
        <v>26</v>
      </c>
    </row>
    <row r="2976" spans="1:17" x14ac:dyDescent="0.25">
      <c r="A2976" t="s">
        <v>3093</v>
      </c>
      <c r="B2976" s="1">
        <v>46016</v>
      </c>
      <c r="C2976" t="s">
        <v>18</v>
      </c>
      <c r="D2976" t="s">
        <v>28</v>
      </c>
      <c r="E2976" t="s">
        <v>41</v>
      </c>
      <c r="F2976" t="s">
        <v>137</v>
      </c>
      <c r="G2976" t="s">
        <v>140</v>
      </c>
      <c r="H2976" t="s">
        <v>67</v>
      </c>
      <c r="I2976" t="s">
        <v>154</v>
      </c>
      <c r="J2976">
        <v>37</v>
      </c>
      <c r="K2976">
        <v>2114.5</v>
      </c>
      <c r="L2976">
        <v>78236.5</v>
      </c>
      <c r="M2976">
        <v>0</v>
      </c>
      <c r="N2976">
        <v>0</v>
      </c>
      <c r="O2976">
        <v>78236.5</v>
      </c>
      <c r="P2976" t="s">
        <v>32</v>
      </c>
      <c r="Q2976" t="s">
        <v>26</v>
      </c>
    </row>
    <row r="2977" spans="1:17" x14ac:dyDescent="0.25">
      <c r="A2977" t="s">
        <v>3094</v>
      </c>
      <c r="B2977" s="1">
        <v>46007</v>
      </c>
      <c r="C2977" t="s">
        <v>79</v>
      </c>
      <c r="D2977" t="s">
        <v>101</v>
      </c>
      <c r="E2977" t="s">
        <v>20</v>
      </c>
      <c r="F2977" t="s">
        <v>112</v>
      </c>
      <c r="G2977" t="s">
        <v>98</v>
      </c>
      <c r="H2977" t="s">
        <v>67</v>
      </c>
      <c r="I2977" t="s">
        <v>68</v>
      </c>
      <c r="J2977">
        <v>19</v>
      </c>
      <c r="K2977">
        <v>13606.13</v>
      </c>
      <c r="L2977">
        <v>258516.47</v>
      </c>
      <c r="M2977">
        <v>25518.99</v>
      </c>
      <c r="N2977">
        <v>0</v>
      </c>
      <c r="O2977">
        <v>232997.48</v>
      </c>
      <c r="P2977" t="s">
        <v>32</v>
      </c>
      <c r="Q2977" t="s">
        <v>26</v>
      </c>
    </row>
    <row r="2978" spans="1:17" x14ac:dyDescent="0.25">
      <c r="A2978" t="s">
        <v>3095</v>
      </c>
      <c r="B2978" s="1">
        <v>45987</v>
      </c>
      <c r="C2978" t="s">
        <v>18</v>
      </c>
      <c r="D2978" t="s">
        <v>19</v>
      </c>
      <c r="E2978" t="s">
        <v>41</v>
      </c>
      <c r="F2978" t="s">
        <v>42</v>
      </c>
      <c r="G2978" t="s">
        <v>37</v>
      </c>
      <c r="H2978" t="s">
        <v>57</v>
      </c>
      <c r="I2978" t="s">
        <v>58</v>
      </c>
      <c r="J2978">
        <v>13</v>
      </c>
      <c r="K2978">
        <v>32430.76</v>
      </c>
      <c r="L2978">
        <v>421599.88</v>
      </c>
      <c r="M2978">
        <v>24024.720000000001</v>
      </c>
      <c r="N2978">
        <v>0</v>
      </c>
      <c r="O2978">
        <v>397575.16</v>
      </c>
      <c r="P2978" t="s">
        <v>73</v>
      </c>
      <c r="Q2978" t="s">
        <v>26</v>
      </c>
    </row>
    <row r="2979" spans="1:17" x14ac:dyDescent="0.25">
      <c r="A2979" t="s">
        <v>3096</v>
      </c>
      <c r="B2979" s="1">
        <v>46008</v>
      </c>
      <c r="C2979" t="s">
        <v>54</v>
      </c>
      <c r="D2979" t="s">
        <v>70</v>
      </c>
      <c r="E2979" t="s">
        <v>41</v>
      </c>
      <c r="F2979" t="s">
        <v>137</v>
      </c>
      <c r="G2979" t="s">
        <v>85</v>
      </c>
      <c r="H2979" t="s">
        <v>38</v>
      </c>
      <c r="I2979" t="s">
        <v>120</v>
      </c>
      <c r="J2979">
        <v>18</v>
      </c>
      <c r="K2979">
        <v>12687.25</v>
      </c>
      <c r="L2979">
        <v>228370.5</v>
      </c>
      <c r="M2979">
        <v>23165.46</v>
      </c>
      <c r="N2979">
        <v>0</v>
      </c>
      <c r="O2979">
        <v>205205.04</v>
      </c>
      <c r="P2979" t="s">
        <v>73</v>
      </c>
      <c r="Q2979" t="s">
        <v>32</v>
      </c>
    </row>
    <row r="2980" spans="1:17" x14ac:dyDescent="0.25">
      <c r="A2980" t="s">
        <v>3097</v>
      </c>
      <c r="B2980" s="1">
        <v>46020</v>
      </c>
      <c r="C2980" t="s">
        <v>54</v>
      </c>
      <c r="D2980" t="s">
        <v>133</v>
      </c>
      <c r="E2980" t="s">
        <v>49</v>
      </c>
      <c r="F2980" t="s">
        <v>84</v>
      </c>
      <c r="G2980" t="s">
        <v>22</v>
      </c>
      <c r="H2980" t="s">
        <v>44</v>
      </c>
      <c r="I2980" t="s">
        <v>152</v>
      </c>
      <c r="J2980">
        <v>35</v>
      </c>
      <c r="K2980">
        <v>27978.33</v>
      </c>
      <c r="L2980">
        <v>979241.55</v>
      </c>
      <c r="M2980">
        <v>0</v>
      </c>
      <c r="N2980">
        <v>0</v>
      </c>
      <c r="O2980">
        <v>979241.55</v>
      </c>
      <c r="P2980" t="s">
        <v>31</v>
      </c>
      <c r="Q2980" t="s">
        <v>32</v>
      </c>
    </row>
    <row r="2981" spans="1:17" x14ac:dyDescent="0.25">
      <c r="A2981" t="s">
        <v>3098</v>
      </c>
      <c r="B2981" s="1">
        <v>45983</v>
      </c>
      <c r="C2981" t="s">
        <v>79</v>
      </c>
      <c r="D2981" t="s">
        <v>91</v>
      </c>
      <c r="E2981" t="s">
        <v>35</v>
      </c>
      <c r="F2981" t="s">
        <v>112</v>
      </c>
      <c r="G2981" t="s">
        <v>102</v>
      </c>
      <c r="H2981" t="s">
        <v>57</v>
      </c>
      <c r="I2981" t="s">
        <v>148</v>
      </c>
      <c r="J2981">
        <v>38</v>
      </c>
      <c r="K2981">
        <v>15049.98</v>
      </c>
      <c r="L2981">
        <v>571899.24</v>
      </c>
      <c r="M2981">
        <v>56243.97</v>
      </c>
      <c r="N2981">
        <v>0</v>
      </c>
      <c r="O2981">
        <v>515655.27</v>
      </c>
      <c r="P2981" t="s">
        <v>25</v>
      </c>
      <c r="Q2981" t="s">
        <v>26</v>
      </c>
    </row>
    <row r="2982" spans="1:17" x14ac:dyDescent="0.25">
      <c r="A2982" t="s">
        <v>3099</v>
      </c>
      <c r="B2982" s="1">
        <v>46045</v>
      </c>
      <c r="C2982" t="s">
        <v>54</v>
      </c>
      <c r="D2982" t="s">
        <v>55</v>
      </c>
      <c r="E2982" t="s">
        <v>41</v>
      </c>
      <c r="F2982" t="s">
        <v>137</v>
      </c>
      <c r="G2982" t="s">
        <v>56</v>
      </c>
      <c r="H2982" t="s">
        <v>23</v>
      </c>
      <c r="I2982" t="s">
        <v>52</v>
      </c>
      <c r="J2982">
        <v>21</v>
      </c>
      <c r="K2982">
        <v>23679.040000000001</v>
      </c>
      <c r="L2982">
        <v>497259.84</v>
      </c>
      <c r="M2982">
        <v>91326.52</v>
      </c>
      <c r="N2982">
        <v>0</v>
      </c>
      <c r="O2982">
        <v>405933.32</v>
      </c>
      <c r="P2982" t="s">
        <v>25</v>
      </c>
      <c r="Q2982" t="s">
        <v>26</v>
      </c>
    </row>
    <row r="2983" spans="1:17" x14ac:dyDescent="0.25">
      <c r="A2983" t="s">
        <v>3100</v>
      </c>
      <c r="B2983" s="1">
        <v>46012</v>
      </c>
      <c r="C2983" t="s">
        <v>60</v>
      </c>
      <c r="D2983" t="s">
        <v>61</v>
      </c>
      <c r="E2983" t="s">
        <v>49</v>
      </c>
      <c r="F2983" t="s">
        <v>71</v>
      </c>
      <c r="G2983" t="s">
        <v>138</v>
      </c>
      <c r="H2983" t="s">
        <v>38</v>
      </c>
      <c r="I2983" t="s">
        <v>82</v>
      </c>
      <c r="J2983">
        <v>20</v>
      </c>
      <c r="K2983">
        <v>47524.04</v>
      </c>
      <c r="L2983">
        <v>950480.8</v>
      </c>
      <c r="M2983">
        <v>153269.18</v>
      </c>
      <c r="N2983">
        <v>0</v>
      </c>
      <c r="O2983">
        <v>797211.62</v>
      </c>
      <c r="P2983" t="s">
        <v>25</v>
      </c>
      <c r="Q2983" t="s">
        <v>26</v>
      </c>
    </row>
    <row r="2984" spans="1:17" x14ac:dyDescent="0.25">
      <c r="A2984" t="s">
        <v>3101</v>
      </c>
      <c r="B2984" s="1">
        <v>46000</v>
      </c>
      <c r="C2984" t="s">
        <v>18</v>
      </c>
      <c r="D2984" t="s">
        <v>28</v>
      </c>
      <c r="E2984" t="s">
        <v>35</v>
      </c>
      <c r="F2984" t="s">
        <v>112</v>
      </c>
      <c r="G2984" t="s">
        <v>81</v>
      </c>
      <c r="H2984" t="s">
        <v>23</v>
      </c>
      <c r="I2984" t="s">
        <v>24</v>
      </c>
      <c r="J2984">
        <v>28</v>
      </c>
      <c r="K2984">
        <v>29502.54</v>
      </c>
      <c r="L2984">
        <v>826071.12</v>
      </c>
      <c r="M2984">
        <v>0</v>
      </c>
      <c r="N2984">
        <v>0</v>
      </c>
      <c r="O2984">
        <v>826071.12</v>
      </c>
      <c r="P2984" t="s">
        <v>31</v>
      </c>
      <c r="Q2984" t="s">
        <v>32</v>
      </c>
    </row>
    <row r="2985" spans="1:17" x14ac:dyDescent="0.25">
      <c r="A2985" t="s">
        <v>3102</v>
      </c>
      <c r="B2985" s="1">
        <v>46018</v>
      </c>
      <c r="C2985" t="s">
        <v>60</v>
      </c>
      <c r="D2985" t="s">
        <v>151</v>
      </c>
      <c r="E2985" t="s">
        <v>41</v>
      </c>
      <c r="F2985" t="s">
        <v>71</v>
      </c>
      <c r="G2985" t="s">
        <v>140</v>
      </c>
      <c r="H2985" t="s">
        <v>57</v>
      </c>
      <c r="I2985" t="s">
        <v>92</v>
      </c>
      <c r="J2985">
        <v>4</v>
      </c>
      <c r="K2985">
        <v>41867.279999999999</v>
      </c>
      <c r="L2985">
        <v>167469.12</v>
      </c>
      <c r="M2985">
        <v>29616.38</v>
      </c>
      <c r="N2985">
        <v>0</v>
      </c>
      <c r="O2985">
        <v>137852.74</v>
      </c>
      <c r="P2985" t="s">
        <v>73</v>
      </c>
      <c r="Q2985" t="s">
        <v>32</v>
      </c>
    </row>
    <row r="2986" spans="1:17" x14ac:dyDescent="0.25">
      <c r="A2986" t="s">
        <v>3103</v>
      </c>
      <c r="B2986" s="1">
        <v>45998</v>
      </c>
      <c r="C2986" t="s">
        <v>18</v>
      </c>
      <c r="D2986" t="s">
        <v>75</v>
      </c>
      <c r="E2986" t="s">
        <v>49</v>
      </c>
      <c r="F2986" t="s">
        <v>62</v>
      </c>
      <c r="G2986" t="s">
        <v>98</v>
      </c>
      <c r="H2986" t="s">
        <v>23</v>
      </c>
      <c r="I2986" t="s">
        <v>30</v>
      </c>
      <c r="J2986">
        <v>14</v>
      </c>
      <c r="K2986">
        <v>49667.01</v>
      </c>
      <c r="L2986">
        <v>695338.14</v>
      </c>
      <c r="M2986">
        <v>0</v>
      </c>
      <c r="N2986">
        <v>22305.81</v>
      </c>
      <c r="O2986">
        <v>673032.33</v>
      </c>
      <c r="P2986" t="s">
        <v>73</v>
      </c>
      <c r="Q2986" t="s">
        <v>32</v>
      </c>
    </row>
    <row r="2987" spans="1:17" x14ac:dyDescent="0.25">
      <c r="A2987" t="s">
        <v>3104</v>
      </c>
      <c r="B2987" s="1">
        <v>45972</v>
      </c>
      <c r="C2987" t="s">
        <v>60</v>
      </c>
      <c r="D2987" t="s">
        <v>151</v>
      </c>
      <c r="E2987" t="s">
        <v>35</v>
      </c>
      <c r="F2987" t="s">
        <v>36</v>
      </c>
      <c r="G2987" t="s">
        <v>85</v>
      </c>
      <c r="H2987" t="s">
        <v>44</v>
      </c>
      <c r="I2987" t="s">
        <v>152</v>
      </c>
      <c r="J2987">
        <v>2</v>
      </c>
      <c r="K2987">
        <v>34699.230000000003</v>
      </c>
      <c r="L2987">
        <v>69398.460000000006</v>
      </c>
      <c r="M2987">
        <v>0</v>
      </c>
      <c r="N2987">
        <v>0</v>
      </c>
      <c r="O2987">
        <v>69398.460000000006</v>
      </c>
      <c r="P2987" t="s">
        <v>73</v>
      </c>
      <c r="Q2987" t="s">
        <v>32</v>
      </c>
    </row>
    <row r="2988" spans="1:17" x14ac:dyDescent="0.25">
      <c r="A2988" t="s">
        <v>3105</v>
      </c>
      <c r="B2988" s="1">
        <v>46013</v>
      </c>
      <c r="C2988" t="s">
        <v>54</v>
      </c>
      <c r="D2988" t="s">
        <v>55</v>
      </c>
      <c r="E2988" t="s">
        <v>49</v>
      </c>
      <c r="F2988" t="s">
        <v>84</v>
      </c>
      <c r="G2988" t="s">
        <v>81</v>
      </c>
      <c r="H2988" t="s">
        <v>94</v>
      </c>
      <c r="I2988" t="s">
        <v>115</v>
      </c>
      <c r="J2988">
        <v>44</v>
      </c>
      <c r="K2988">
        <v>8594.1</v>
      </c>
      <c r="L2988">
        <v>378140.4</v>
      </c>
      <c r="M2988">
        <v>61670.52</v>
      </c>
      <c r="N2988">
        <v>35831.82</v>
      </c>
      <c r="O2988">
        <v>280638.06</v>
      </c>
      <c r="P2988" t="s">
        <v>73</v>
      </c>
      <c r="Q2988" t="s">
        <v>32</v>
      </c>
    </row>
    <row r="2989" spans="1:17" x14ac:dyDescent="0.25">
      <c r="A2989" t="s">
        <v>3106</v>
      </c>
      <c r="B2989" s="1">
        <v>46023</v>
      </c>
      <c r="C2989" t="s">
        <v>54</v>
      </c>
      <c r="D2989" t="s">
        <v>70</v>
      </c>
      <c r="E2989" t="s">
        <v>49</v>
      </c>
      <c r="F2989" t="s">
        <v>137</v>
      </c>
      <c r="G2989" t="s">
        <v>56</v>
      </c>
      <c r="H2989" t="s">
        <v>67</v>
      </c>
      <c r="I2989" t="s">
        <v>103</v>
      </c>
      <c r="J2989">
        <v>39</v>
      </c>
      <c r="K2989">
        <v>45639.68</v>
      </c>
      <c r="L2989">
        <v>1779947.52</v>
      </c>
      <c r="M2989">
        <v>266554.81</v>
      </c>
      <c r="N2989">
        <v>412758.14</v>
      </c>
      <c r="O2989">
        <v>1100634.57</v>
      </c>
      <c r="P2989" t="s">
        <v>32</v>
      </c>
      <c r="Q2989" t="s">
        <v>32</v>
      </c>
    </row>
    <row r="2990" spans="1:17" x14ac:dyDescent="0.25">
      <c r="A2990" t="s">
        <v>3107</v>
      </c>
      <c r="B2990" s="1">
        <v>45970</v>
      </c>
      <c r="C2990" t="s">
        <v>47</v>
      </c>
      <c r="D2990" t="s">
        <v>48</v>
      </c>
      <c r="E2990" t="s">
        <v>35</v>
      </c>
      <c r="F2990" t="s">
        <v>50</v>
      </c>
      <c r="G2990" t="s">
        <v>43</v>
      </c>
      <c r="H2990" t="s">
        <v>94</v>
      </c>
      <c r="I2990" t="s">
        <v>144</v>
      </c>
      <c r="J2990">
        <v>36</v>
      </c>
      <c r="K2990">
        <v>39938.239999999998</v>
      </c>
      <c r="L2990">
        <v>1437776.64</v>
      </c>
      <c r="M2990">
        <v>0</v>
      </c>
      <c r="N2990">
        <v>321318.02</v>
      </c>
      <c r="O2990">
        <v>1116458.6200000001</v>
      </c>
      <c r="P2990" t="s">
        <v>31</v>
      </c>
      <c r="Q2990" t="s">
        <v>32</v>
      </c>
    </row>
    <row r="2991" spans="1:17" x14ac:dyDescent="0.25">
      <c r="A2991" t="s">
        <v>3108</v>
      </c>
      <c r="B2991" s="1">
        <v>45976</v>
      </c>
      <c r="C2991" t="s">
        <v>54</v>
      </c>
      <c r="D2991" t="s">
        <v>70</v>
      </c>
      <c r="E2991" t="s">
        <v>41</v>
      </c>
      <c r="F2991" t="s">
        <v>105</v>
      </c>
      <c r="G2991" t="s">
        <v>138</v>
      </c>
      <c r="H2991" t="s">
        <v>38</v>
      </c>
      <c r="I2991" t="s">
        <v>175</v>
      </c>
      <c r="J2991">
        <v>7</v>
      </c>
      <c r="K2991">
        <v>5541.62</v>
      </c>
      <c r="L2991">
        <v>38791.339999999997</v>
      </c>
      <c r="M2991">
        <v>0</v>
      </c>
      <c r="N2991">
        <v>0</v>
      </c>
      <c r="O2991">
        <v>38791.339999999997</v>
      </c>
      <c r="P2991" t="s">
        <v>32</v>
      </c>
      <c r="Q2991" t="s">
        <v>32</v>
      </c>
    </row>
    <row r="2992" spans="1:17" x14ac:dyDescent="0.25">
      <c r="A2992" t="s">
        <v>3109</v>
      </c>
      <c r="B2992" s="1">
        <v>45988</v>
      </c>
      <c r="C2992" t="s">
        <v>60</v>
      </c>
      <c r="D2992" t="s">
        <v>123</v>
      </c>
      <c r="E2992" t="s">
        <v>41</v>
      </c>
      <c r="F2992" t="s">
        <v>84</v>
      </c>
      <c r="G2992" t="s">
        <v>98</v>
      </c>
      <c r="H2992" t="s">
        <v>57</v>
      </c>
      <c r="I2992" t="s">
        <v>148</v>
      </c>
      <c r="J2992">
        <v>8</v>
      </c>
      <c r="K2992">
        <v>26945.84</v>
      </c>
      <c r="L2992">
        <v>215566.72</v>
      </c>
      <c r="M2992">
        <v>0</v>
      </c>
      <c r="N2992">
        <v>0</v>
      </c>
      <c r="O2992">
        <v>215566.72</v>
      </c>
      <c r="P2992" t="s">
        <v>32</v>
      </c>
      <c r="Q2992" t="s">
        <v>32</v>
      </c>
    </row>
    <row r="2993" spans="1:17" x14ac:dyDescent="0.25">
      <c r="A2993" t="s">
        <v>3110</v>
      </c>
      <c r="B2993" s="1">
        <v>45995</v>
      </c>
      <c r="C2993" t="s">
        <v>54</v>
      </c>
      <c r="D2993" t="s">
        <v>55</v>
      </c>
      <c r="E2993" t="s">
        <v>35</v>
      </c>
      <c r="F2993" t="s">
        <v>42</v>
      </c>
      <c r="G2993" t="s">
        <v>89</v>
      </c>
      <c r="H2993" t="s">
        <v>94</v>
      </c>
      <c r="I2993" t="s">
        <v>95</v>
      </c>
      <c r="J2993">
        <v>16</v>
      </c>
      <c r="K2993">
        <v>1031.8399999999999</v>
      </c>
      <c r="L2993">
        <v>16509.439999999999</v>
      </c>
      <c r="M2993">
        <v>0</v>
      </c>
      <c r="N2993">
        <v>0</v>
      </c>
      <c r="O2993">
        <v>16509.439999999999</v>
      </c>
      <c r="P2993" t="s">
        <v>25</v>
      </c>
      <c r="Q2993" t="s">
        <v>32</v>
      </c>
    </row>
    <row r="2994" spans="1:17" x14ac:dyDescent="0.25">
      <c r="A2994" t="s">
        <v>3111</v>
      </c>
      <c r="B2994" s="1">
        <v>45964</v>
      </c>
      <c r="C2994" t="s">
        <v>54</v>
      </c>
      <c r="D2994" t="s">
        <v>133</v>
      </c>
      <c r="E2994" t="s">
        <v>41</v>
      </c>
      <c r="F2994" t="s">
        <v>137</v>
      </c>
      <c r="G2994" t="s">
        <v>98</v>
      </c>
      <c r="H2994" t="s">
        <v>57</v>
      </c>
      <c r="I2994" t="s">
        <v>58</v>
      </c>
      <c r="J2994">
        <v>1</v>
      </c>
      <c r="K2994">
        <v>10302.469999999999</v>
      </c>
      <c r="L2994">
        <v>10302.469999999999</v>
      </c>
      <c r="M2994">
        <v>113.35</v>
      </c>
      <c r="N2994">
        <v>0</v>
      </c>
      <c r="O2994">
        <v>10189.120000000001</v>
      </c>
      <c r="P2994" t="s">
        <v>73</v>
      </c>
      <c r="Q2994" t="s">
        <v>32</v>
      </c>
    </row>
    <row r="2995" spans="1:17" x14ac:dyDescent="0.25">
      <c r="A2995" t="s">
        <v>3112</v>
      </c>
      <c r="B2995" s="1">
        <v>45962</v>
      </c>
      <c r="C2995" t="s">
        <v>18</v>
      </c>
      <c r="D2995" t="s">
        <v>75</v>
      </c>
      <c r="E2995" t="s">
        <v>20</v>
      </c>
      <c r="F2995" t="s">
        <v>137</v>
      </c>
      <c r="G2995" t="s">
        <v>89</v>
      </c>
      <c r="H2995" t="s">
        <v>57</v>
      </c>
      <c r="I2995" t="s">
        <v>72</v>
      </c>
      <c r="J2995">
        <v>38</v>
      </c>
      <c r="K2995">
        <v>37750.160000000003</v>
      </c>
      <c r="L2995">
        <v>1434506.08</v>
      </c>
      <c r="M2995">
        <v>0</v>
      </c>
      <c r="N2995">
        <v>218454.6</v>
      </c>
      <c r="O2995">
        <v>1216051.48</v>
      </c>
      <c r="P2995" t="s">
        <v>31</v>
      </c>
      <c r="Q2995" t="s">
        <v>32</v>
      </c>
    </row>
    <row r="2996" spans="1:17" x14ac:dyDescent="0.25">
      <c r="A2996" t="s">
        <v>3113</v>
      </c>
      <c r="B2996" s="1">
        <v>46022</v>
      </c>
      <c r="C2996" t="s">
        <v>54</v>
      </c>
      <c r="D2996" t="s">
        <v>55</v>
      </c>
      <c r="E2996" t="s">
        <v>49</v>
      </c>
      <c r="F2996" t="s">
        <v>105</v>
      </c>
      <c r="G2996" t="s">
        <v>81</v>
      </c>
      <c r="H2996" t="s">
        <v>57</v>
      </c>
      <c r="I2996" t="s">
        <v>148</v>
      </c>
      <c r="J2996">
        <v>42</v>
      </c>
      <c r="K2996">
        <v>25752.18</v>
      </c>
      <c r="L2996">
        <v>1081591.56</v>
      </c>
      <c r="M2996">
        <v>200318.55</v>
      </c>
      <c r="N2996">
        <v>0</v>
      </c>
      <c r="O2996">
        <v>881273.01</v>
      </c>
      <c r="P2996" t="s">
        <v>32</v>
      </c>
      <c r="Q2996" t="s">
        <v>32</v>
      </c>
    </row>
    <row r="2997" spans="1:17" x14ac:dyDescent="0.25">
      <c r="A2997" t="s">
        <v>3114</v>
      </c>
      <c r="B2997" s="1">
        <v>45984</v>
      </c>
      <c r="C2997" t="s">
        <v>60</v>
      </c>
      <c r="D2997" t="s">
        <v>151</v>
      </c>
      <c r="E2997" t="s">
        <v>49</v>
      </c>
      <c r="F2997" t="s">
        <v>36</v>
      </c>
      <c r="G2997" t="s">
        <v>98</v>
      </c>
      <c r="H2997" t="s">
        <v>67</v>
      </c>
      <c r="I2997" t="s">
        <v>170</v>
      </c>
      <c r="J2997">
        <v>50</v>
      </c>
      <c r="K2997">
        <v>564.72</v>
      </c>
      <c r="L2997">
        <v>28236</v>
      </c>
      <c r="M2997">
        <v>0</v>
      </c>
      <c r="N2997">
        <v>0</v>
      </c>
      <c r="O2997">
        <v>28236</v>
      </c>
      <c r="P2997" t="s">
        <v>25</v>
      </c>
      <c r="Q2997" t="s">
        <v>26</v>
      </c>
    </row>
    <row r="2998" spans="1:17" x14ac:dyDescent="0.25">
      <c r="A2998" t="s">
        <v>3115</v>
      </c>
      <c r="B2998" s="1">
        <v>45981</v>
      </c>
      <c r="C2998" t="s">
        <v>47</v>
      </c>
      <c r="D2998" t="s">
        <v>88</v>
      </c>
      <c r="E2998" t="s">
        <v>35</v>
      </c>
      <c r="F2998" t="s">
        <v>71</v>
      </c>
      <c r="G2998" t="s">
        <v>29</v>
      </c>
      <c r="H2998" t="s">
        <v>57</v>
      </c>
      <c r="I2998" t="s">
        <v>72</v>
      </c>
      <c r="J2998">
        <v>24</v>
      </c>
      <c r="K2998">
        <v>25592.89</v>
      </c>
      <c r="L2998">
        <v>614229.36</v>
      </c>
      <c r="M2998">
        <v>28984.47</v>
      </c>
      <c r="N2998">
        <v>0</v>
      </c>
      <c r="O2998">
        <v>585244.89</v>
      </c>
      <c r="P2998" t="s">
        <v>31</v>
      </c>
      <c r="Q2998" t="s">
        <v>32</v>
      </c>
    </row>
    <row r="2999" spans="1:17" x14ac:dyDescent="0.25">
      <c r="A2999" t="s">
        <v>3116</v>
      </c>
      <c r="B2999" s="1">
        <v>46036</v>
      </c>
      <c r="C2999" t="s">
        <v>60</v>
      </c>
      <c r="D2999" t="s">
        <v>65</v>
      </c>
      <c r="E2999" t="s">
        <v>41</v>
      </c>
      <c r="F2999" t="s">
        <v>50</v>
      </c>
      <c r="G2999" t="s">
        <v>138</v>
      </c>
      <c r="H2999" t="s">
        <v>23</v>
      </c>
      <c r="I2999" t="s">
        <v>30</v>
      </c>
      <c r="J2999">
        <v>41</v>
      </c>
      <c r="K2999">
        <v>46065.78</v>
      </c>
      <c r="L2999">
        <v>1888696.98</v>
      </c>
      <c r="M2999">
        <v>369335.56</v>
      </c>
      <c r="N2999">
        <v>0</v>
      </c>
      <c r="O2999">
        <v>1519361.42</v>
      </c>
      <c r="P2999" t="s">
        <v>32</v>
      </c>
      <c r="Q2999" t="s">
        <v>32</v>
      </c>
    </row>
    <row r="3000" spans="1:17" x14ac:dyDescent="0.25">
      <c r="A3000" t="s">
        <v>3117</v>
      </c>
      <c r="B3000" s="1">
        <v>46005</v>
      </c>
      <c r="C3000" t="s">
        <v>54</v>
      </c>
      <c r="D3000" t="s">
        <v>97</v>
      </c>
      <c r="E3000" t="s">
        <v>41</v>
      </c>
      <c r="F3000" t="s">
        <v>112</v>
      </c>
      <c r="G3000" t="s">
        <v>51</v>
      </c>
      <c r="H3000" t="s">
        <v>57</v>
      </c>
      <c r="I3000" t="s">
        <v>58</v>
      </c>
      <c r="J3000">
        <v>9</v>
      </c>
      <c r="K3000">
        <v>50227.14</v>
      </c>
      <c r="L3000">
        <v>452044.26</v>
      </c>
      <c r="M3000">
        <v>29476.44</v>
      </c>
      <c r="N3000">
        <v>0</v>
      </c>
      <c r="O3000">
        <v>422567.82</v>
      </c>
      <c r="P3000" t="s">
        <v>25</v>
      </c>
      <c r="Q3000" t="s">
        <v>26</v>
      </c>
    </row>
    <row r="3001" spans="1:17" x14ac:dyDescent="0.25">
      <c r="A3001" t="s">
        <v>3118</v>
      </c>
      <c r="B3001" s="1">
        <v>46042</v>
      </c>
      <c r="C3001" t="s">
        <v>18</v>
      </c>
      <c r="D3001" t="s">
        <v>19</v>
      </c>
      <c r="E3001" t="s">
        <v>35</v>
      </c>
      <c r="F3001" t="s">
        <v>71</v>
      </c>
      <c r="G3001" t="s">
        <v>37</v>
      </c>
      <c r="H3001" t="s">
        <v>94</v>
      </c>
      <c r="I3001" t="s">
        <v>115</v>
      </c>
      <c r="J3001">
        <v>46</v>
      </c>
      <c r="K3001">
        <v>41173.269999999997</v>
      </c>
      <c r="L3001">
        <v>1893970.42</v>
      </c>
      <c r="M3001">
        <v>0</v>
      </c>
      <c r="N3001">
        <v>0</v>
      </c>
      <c r="O3001">
        <v>1893970.42</v>
      </c>
      <c r="P3001" t="s">
        <v>31</v>
      </c>
      <c r="Q3001" t="s">
        <v>32</v>
      </c>
    </row>
    <row r="3002" spans="1:17" x14ac:dyDescent="0.25">
      <c r="A3002" t="s">
        <v>3119</v>
      </c>
      <c r="B3002" s="1">
        <v>45982</v>
      </c>
      <c r="C3002" t="s">
        <v>60</v>
      </c>
      <c r="D3002" t="s">
        <v>61</v>
      </c>
      <c r="E3002" t="s">
        <v>41</v>
      </c>
      <c r="F3002" t="s">
        <v>71</v>
      </c>
      <c r="G3002" t="s">
        <v>51</v>
      </c>
      <c r="H3002" t="s">
        <v>38</v>
      </c>
      <c r="I3002" t="s">
        <v>108</v>
      </c>
      <c r="J3002">
        <v>27</v>
      </c>
      <c r="K3002">
        <v>36863.279999999999</v>
      </c>
      <c r="L3002">
        <v>995308.56</v>
      </c>
      <c r="M3002">
        <v>125875.89</v>
      </c>
      <c r="N3002">
        <v>0</v>
      </c>
      <c r="O3002">
        <v>869432.67</v>
      </c>
      <c r="P3002" t="s">
        <v>32</v>
      </c>
      <c r="Q3002" t="s">
        <v>26</v>
      </c>
    </row>
    <row r="3003" spans="1:17" x14ac:dyDescent="0.25">
      <c r="A3003" t="s">
        <v>3120</v>
      </c>
      <c r="B3003" s="1">
        <v>45995</v>
      </c>
      <c r="C3003" t="s">
        <v>18</v>
      </c>
      <c r="D3003" t="s">
        <v>19</v>
      </c>
      <c r="E3003" t="s">
        <v>35</v>
      </c>
      <c r="F3003" t="s">
        <v>50</v>
      </c>
      <c r="G3003" t="s">
        <v>81</v>
      </c>
      <c r="H3003" t="s">
        <v>23</v>
      </c>
      <c r="I3003" t="s">
        <v>99</v>
      </c>
      <c r="J3003">
        <v>44</v>
      </c>
      <c r="K3003">
        <v>1506.92</v>
      </c>
      <c r="L3003">
        <v>66304.479999999996</v>
      </c>
      <c r="M3003">
        <v>1725.01</v>
      </c>
      <c r="N3003">
        <v>0</v>
      </c>
      <c r="O3003">
        <v>64579.47</v>
      </c>
      <c r="P3003" t="s">
        <v>25</v>
      </c>
      <c r="Q3003" t="s">
        <v>26</v>
      </c>
    </row>
    <row r="3004" spans="1:17" x14ac:dyDescent="0.25">
      <c r="A3004" t="s">
        <v>3121</v>
      </c>
      <c r="B3004" s="1">
        <v>45965</v>
      </c>
      <c r="C3004" t="s">
        <v>54</v>
      </c>
      <c r="D3004" t="s">
        <v>55</v>
      </c>
      <c r="E3004" t="s">
        <v>20</v>
      </c>
      <c r="F3004" t="s">
        <v>112</v>
      </c>
      <c r="G3004" t="s">
        <v>56</v>
      </c>
      <c r="H3004" t="s">
        <v>94</v>
      </c>
      <c r="I3004" t="s">
        <v>163</v>
      </c>
      <c r="J3004">
        <v>38</v>
      </c>
      <c r="K3004">
        <v>13333.46</v>
      </c>
      <c r="L3004">
        <v>506671.48</v>
      </c>
      <c r="M3004">
        <v>64488.32</v>
      </c>
      <c r="N3004">
        <v>130749.52</v>
      </c>
      <c r="O3004">
        <v>311433.64</v>
      </c>
      <c r="P3004" t="s">
        <v>31</v>
      </c>
      <c r="Q3004" t="s">
        <v>32</v>
      </c>
    </row>
    <row r="3005" spans="1:17" x14ac:dyDescent="0.25">
      <c r="A3005" t="s">
        <v>3122</v>
      </c>
      <c r="B3005" s="1">
        <v>45986</v>
      </c>
      <c r="C3005" t="s">
        <v>79</v>
      </c>
      <c r="D3005" t="s">
        <v>101</v>
      </c>
      <c r="E3005" t="s">
        <v>49</v>
      </c>
      <c r="F3005" t="s">
        <v>112</v>
      </c>
      <c r="G3005" t="s">
        <v>89</v>
      </c>
      <c r="H3005" t="s">
        <v>44</v>
      </c>
      <c r="I3005" t="s">
        <v>45</v>
      </c>
      <c r="J3005">
        <v>23</v>
      </c>
      <c r="K3005">
        <v>3634.64</v>
      </c>
      <c r="L3005">
        <v>83596.72</v>
      </c>
      <c r="M3005">
        <v>9226.0499999999993</v>
      </c>
      <c r="N3005">
        <v>23898.25</v>
      </c>
      <c r="O3005">
        <v>50472.42</v>
      </c>
      <c r="P3005" t="s">
        <v>31</v>
      </c>
      <c r="Q3005" t="s">
        <v>32</v>
      </c>
    </row>
    <row r="3006" spans="1:17" x14ac:dyDescent="0.25">
      <c r="A3006" t="s">
        <v>3123</v>
      </c>
      <c r="B3006" s="1">
        <v>46043</v>
      </c>
      <c r="C3006" t="s">
        <v>54</v>
      </c>
      <c r="D3006" t="s">
        <v>133</v>
      </c>
      <c r="E3006" t="s">
        <v>49</v>
      </c>
      <c r="F3006" t="s">
        <v>112</v>
      </c>
      <c r="G3006" t="s">
        <v>51</v>
      </c>
      <c r="H3006" t="s">
        <v>57</v>
      </c>
      <c r="I3006" t="s">
        <v>72</v>
      </c>
      <c r="J3006">
        <v>39</v>
      </c>
      <c r="K3006">
        <v>31654.17</v>
      </c>
      <c r="L3006">
        <v>1234512.6299999999</v>
      </c>
      <c r="M3006">
        <v>0</v>
      </c>
      <c r="N3006">
        <v>0</v>
      </c>
      <c r="O3006">
        <v>1234512.6299999999</v>
      </c>
      <c r="P3006" t="s">
        <v>73</v>
      </c>
      <c r="Q3006" t="s">
        <v>32</v>
      </c>
    </row>
    <row r="3007" spans="1:17" x14ac:dyDescent="0.25">
      <c r="A3007" t="s">
        <v>3124</v>
      </c>
      <c r="B3007" s="1">
        <v>46032</v>
      </c>
      <c r="C3007" t="s">
        <v>79</v>
      </c>
      <c r="D3007" t="s">
        <v>107</v>
      </c>
      <c r="E3007" t="s">
        <v>41</v>
      </c>
      <c r="F3007" t="s">
        <v>105</v>
      </c>
      <c r="G3007" t="s">
        <v>37</v>
      </c>
      <c r="H3007" t="s">
        <v>38</v>
      </c>
      <c r="I3007" t="s">
        <v>86</v>
      </c>
      <c r="J3007">
        <v>1</v>
      </c>
      <c r="K3007">
        <v>44727.01</v>
      </c>
      <c r="L3007">
        <v>44727.01</v>
      </c>
      <c r="M3007">
        <v>2723.69</v>
      </c>
      <c r="N3007">
        <v>0</v>
      </c>
      <c r="O3007">
        <v>42003.32</v>
      </c>
      <c r="P3007" t="s">
        <v>25</v>
      </c>
      <c r="Q3007" t="s">
        <v>26</v>
      </c>
    </row>
    <row r="3008" spans="1:17" x14ac:dyDescent="0.25">
      <c r="A3008" t="s">
        <v>3125</v>
      </c>
      <c r="B3008" s="1">
        <v>46010</v>
      </c>
      <c r="C3008" t="s">
        <v>47</v>
      </c>
      <c r="D3008" t="s">
        <v>48</v>
      </c>
      <c r="E3008" t="s">
        <v>20</v>
      </c>
      <c r="F3008" t="s">
        <v>137</v>
      </c>
      <c r="G3008" t="s">
        <v>63</v>
      </c>
      <c r="H3008" t="s">
        <v>23</v>
      </c>
      <c r="I3008" t="s">
        <v>24</v>
      </c>
      <c r="J3008">
        <v>37</v>
      </c>
      <c r="K3008">
        <v>30744.880000000001</v>
      </c>
      <c r="L3008">
        <v>1137560.56</v>
      </c>
      <c r="M3008">
        <v>14605.09</v>
      </c>
      <c r="N3008">
        <v>0</v>
      </c>
      <c r="O3008">
        <v>1122955.47</v>
      </c>
      <c r="P3008" t="s">
        <v>25</v>
      </c>
      <c r="Q3008" t="s">
        <v>26</v>
      </c>
    </row>
    <row r="3009" spans="1:17" x14ac:dyDescent="0.25">
      <c r="A3009" t="s">
        <v>3126</v>
      </c>
      <c r="B3009" s="1">
        <v>45962</v>
      </c>
      <c r="C3009" t="s">
        <v>18</v>
      </c>
      <c r="D3009" t="s">
        <v>28</v>
      </c>
      <c r="E3009" t="s">
        <v>35</v>
      </c>
      <c r="F3009" t="s">
        <v>50</v>
      </c>
      <c r="G3009" t="s">
        <v>66</v>
      </c>
      <c r="H3009" t="s">
        <v>94</v>
      </c>
      <c r="I3009" t="s">
        <v>177</v>
      </c>
      <c r="J3009">
        <v>41</v>
      </c>
      <c r="K3009">
        <v>28426.55</v>
      </c>
      <c r="L3009">
        <v>1165488.55</v>
      </c>
      <c r="M3009">
        <v>210812.85</v>
      </c>
      <c r="N3009">
        <v>0</v>
      </c>
      <c r="O3009">
        <v>954675.7</v>
      </c>
      <c r="P3009" t="s">
        <v>73</v>
      </c>
      <c r="Q3009" t="s">
        <v>32</v>
      </c>
    </row>
    <row r="3010" spans="1:17" x14ac:dyDescent="0.25">
      <c r="A3010" t="s">
        <v>3127</v>
      </c>
      <c r="B3010" s="1">
        <v>46041</v>
      </c>
      <c r="C3010" t="s">
        <v>47</v>
      </c>
      <c r="D3010" t="s">
        <v>114</v>
      </c>
      <c r="E3010" t="s">
        <v>49</v>
      </c>
      <c r="F3010" t="s">
        <v>137</v>
      </c>
      <c r="G3010" t="s">
        <v>85</v>
      </c>
      <c r="H3010" t="s">
        <v>38</v>
      </c>
      <c r="I3010" t="s">
        <v>108</v>
      </c>
      <c r="J3010">
        <v>42</v>
      </c>
      <c r="K3010">
        <v>24019.24</v>
      </c>
      <c r="L3010">
        <v>1008808.08</v>
      </c>
      <c r="M3010">
        <v>117244.63</v>
      </c>
      <c r="N3010">
        <v>0</v>
      </c>
      <c r="O3010">
        <v>891563.45</v>
      </c>
      <c r="P3010" t="s">
        <v>31</v>
      </c>
      <c r="Q3010" t="s">
        <v>32</v>
      </c>
    </row>
    <row r="3011" spans="1:17" x14ac:dyDescent="0.25">
      <c r="A3011" t="s">
        <v>3128</v>
      </c>
      <c r="B3011" s="1">
        <v>46022</v>
      </c>
      <c r="C3011" t="s">
        <v>79</v>
      </c>
      <c r="D3011" t="s">
        <v>107</v>
      </c>
      <c r="E3011" t="s">
        <v>41</v>
      </c>
      <c r="F3011" t="s">
        <v>36</v>
      </c>
      <c r="G3011" t="s">
        <v>98</v>
      </c>
      <c r="H3011" t="s">
        <v>44</v>
      </c>
      <c r="I3011" t="s">
        <v>45</v>
      </c>
      <c r="J3011">
        <v>50</v>
      </c>
      <c r="K3011">
        <v>45135.38</v>
      </c>
      <c r="L3011">
        <v>2256769</v>
      </c>
      <c r="M3011">
        <v>0</v>
      </c>
      <c r="N3011">
        <v>0</v>
      </c>
      <c r="O3011">
        <v>2256769</v>
      </c>
      <c r="P3011" t="s">
        <v>73</v>
      </c>
      <c r="Q3011" t="s">
        <v>32</v>
      </c>
    </row>
    <row r="3012" spans="1:17" x14ac:dyDescent="0.25">
      <c r="A3012" t="s">
        <v>3129</v>
      </c>
      <c r="B3012" s="1">
        <v>45971</v>
      </c>
      <c r="C3012" t="s">
        <v>54</v>
      </c>
      <c r="D3012" t="s">
        <v>97</v>
      </c>
      <c r="E3012" t="s">
        <v>35</v>
      </c>
      <c r="F3012" t="s">
        <v>42</v>
      </c>
      <c r="G3012" t="s">
        <v>56</v>
      </c>
      <c r="H3012" t="s">
        <v>44</v>
      </c>
      <c r="I3012" t="s">
        <v>152</v>
      </c>
      <c r="J3012">
        <v>13</v>
      </c>
      <c r="K3012">
        <v>33765.89</v>
      </c>
      <c r="L3012">
        <v>438956.57</v>
      </c>
      <c r="M3012">
        <v>57777.78</v>
      </c>
      <c r="N3012">
        <v>0</v>
      </c>
      <c r="O3012">
        <v>381178.79</v>
      </c>
      <c r="P3012" t="s">
        <v>31</v>
      </c>
      <c r="Q3012" t="s">
        <v>32</v>
      </c>
    </row>
    <row r="3013" spans="1:17" x14ac:dyDescent="0.25">
      <c r="A3013" t="s">
        <v>3130</v>
      </c>
      <c r="B3013" s="1">
        <v>46018</v>
      </c>
      <c r="C3013" t="s">
        <v>79</v>
      </c>
      <c r="D3013" t="s">
        <v>91</v>
      </c>
      <c r="E3013" t="s">
        <v>20</v>
      </c>
      <c r="F3013" t="s">
        <v>21</v>
      </c>
      <c r="G3013" t="s">
        <v>56</v>
      </c>
      <c r="H3013" t="s">
        <v>57</v>
      </c>
      <c r="I3013" t="s">
        <v>92</v>
      </c>
      <c r="J3013">
        <v>4</v>
      </c>
      <c r="K3013">
        <v>42602.75</v>
      </c>
      <c r="L3013">
        <v>170411</v>
      </c>
      <c r="M3013">
        <v>33558.32</v>
      </c>
      <c r="N3013">
        <v>0</v>
      </c>
      <c r="O3013">
        <v>136852.68</v>
      </c>
      <c r="P3013" t="s">
        <v>31</v>
      </c>
      <c r="Q3013" t="s">
        <v>32</v>
      </c>
    </row>
    <row r="3014" spans="1:17" x14ac:dyDescent="0.25">
      <c r="A3014" t="s">
        <v>3131</v>
      </c>
      <c r="B3014" s="1">
        <v>46039</v>
      </c>
      <c r="C3014" t="s">
        <v>79</v>
      </c>
      <c r="D3014" t="s">
        <v>80</v>
      </c>
      <c r="E3014" t="s">
        <v>35</v>
      </c>
      <c r="F3014" t="s">
        <v>42</v>
      </c>
      <c r="G3014" t="s">
        <v>98</v>
      </c>
      <c r="H3014" t="s">
        <v>23</v>
      </c>
      <c r="I3014" t="s">
        <v>110</v>
      </c>
      <c r="J3014">
        <v>45</v>
      </c>
      <c r="K3014">
        <v>11493.01</v>
      </c>
      <c r="L3014">
        <v>517185.45</v>
      </c>
      <c r="M3014">
        <v>5367.58</v>
      </c>
      <c r="N3014">
        <v>0</v>
      </c>
      <c r="O3014">
        <v>511817.87</v>
      </c>
      <c r="P3014" t="s">
        <v>25</v>
      </c>
      <c r="Q3014" t="s">
        <v>26</v>
      </c>
    </row>
    <row r="3015" spans="1:17" x14ac:dyDescent="0.25">
      <c r="A3015" t="s">
        <v>3132</v>
      </c>
      <c r="B3015" s="1">
        <v>45967</v>
      </c>
      <c r="C3015" t="s">
        <v>60</v>
      </c>
      <c r="D3015" t="s">
        <v>61</v>
      </c>
      <c r="E3015" t="s">
        <v>41</v>
      </c>
      <c r="F3015" t="s">
        <v>50</v>
      </c>
      <c r="G3015" t="s">
        <v>43</v>
      </c>
      <c r="H3015" t="s">
        <v>67</v>
      </c>
      <c r="I3015" t="s">
        <v>77</v>
      </c>
      <c r="J3015">
        <v>45</v>
      </c>
      <c r="K3015">
        <v>11351.85</v>
      </c>
      <c r="L3015">
        <v>510833.25</v>
      </c>
      <c r="M3015">
        <v>67186.820000000007</v>
      </c>
      <c r="N3015">
        <v>128764.25</v>
      </c>
      <c r="O3015">
        <v>314882.18</v>
      </c>
      <c r="P3015" t="s">
        <v>32</v>
      </c>
      <c r="Q3015" t="s">
        <v>32</v>
      </c>
    </row>
    <row r="3016" spans="1:17" x14ac:dyDescent="0.25">
      <c r="A3016" t="s">
        <v>3133</v>
      </c>
      <c r="B3016" s="1">
        <v>46037</v>
      </c>
      <c r="C3016" t="s">
        <v>47</v>
      </c>
      <c r="D3016" t="s">
        <v>88</v>
      </c>
      <c r="E3016" t="s">
        <v>35</v>
      </c>
      <c r="F3016" t="s">
        <v>21</v>
      </c>
      <c r="G3016" t="s">
        <v>66</v>
      </c>
      <c r="H3016" t="s">
        <v>38</v>
      </c>
      <c r="I3016" t="s">
        <v>82</v>
      </c>
      <c r="J3016">
        <v>27</v>
      </c>
      <c r="K3016">
        <v>13479.37</v>
      </c>
      <c r="L3016">
        <v>363942.99</v>
      </c>
      <c r="M3016">
        <v>0</v>
      </c>
      <c r="N3016">
        <v>0</v>
      </c>
      <c r="O3016">
        <v>363942.99</v>
      </c>
      <c r="P3016" t="s">
        <v>73</v>
      </c>
      <c r="Q3016" t="s">
        <v>26</v>
      </c>
    </row>
    <row r="3017" spans="1:17" x14ac:dyDescent="0.25">
      <c r="A3017" t="s">
        <v>3134</v>
      </c>
      <c r="B3017" s="1">
        <v>45973</v>
      </c>
      <c r="C3017" t="s">
        <v>60</v>
      </c>
      <c r="D3017" t="s">
        <v>123</v>
      </c>
      <c r="E3017" t="s">
        <v>20</v>
      </c>
      <c r="F3017" t="s">
        <v>62</v>
      </c>
      <c r="G3017" t="s">
        <v>66</v>
      </c>
      <c r="H3017" t="s">
        <v>44</v>
      </c>
      <c r="I3017" t="s">
        <v>45</v>
      </c>
      <c r="J3017">
        <v>33</v>
      </c>
      <c r="K3017">
        <v>47948.78</v>
      </c>
      <c r="L3017">
        <v>1582309.74</v>
      </c>
      <c r="M3017">
        <v>165402.09</v>
      </c>
      <c r="N3017">
        <v>0</v>
      </c>
      <c r="O3017">
        <v>1416907.65</v>
      </c>
      <c r="P3017" t="s">
        <v>25</v>
      </c>
      <c r="Q3017" t="s">
        <v>26</v>
      </c>
    </row>
    <row r="3018" spans="1:17" x14ac:dyDescent="0.25">
      <c r="A3018" t="s">
        <v>3135</v>
      </c>
      <c r="B3018" s="1">
        <v>46027</v>
      </c>
      <c r="C3018" t="s">
        <v>18</v>
      </c>
      <c r="D3018" t="s">
        <v>75</v>
      </c>
      <c r="E3018" t="s">
        <v>41</v>
      </c>
      <c r="F3018" t="s">
        <v>62</v>
      </c>
      <c r="G3018" t="s">
        <v>102</v>
      </c>
      <c r="H3018" t="s">
        <v>67</v>
      </c>
      <c r="I3018" t="s">
        <v>77</v>
      </c>
      <c r="J3018">
        <v>21</v>
      </c>
      <c r="K3018">
        <v>34807.79</v>
      </c>
      <c r="L3018">
        <v>730963.59</v>
      </c>
      <c r="M3018">
        <v>40782.53</v>
      </c>
      <c r="N3018">
        <v>6192.36</v>
      </c>
      <c r="O3018">
        <v>683988.7</v>
      </c>
      <c r="P3018" t="s">
        <v>25</v>
      </c>
      <c r="Q3018" t="s">
        <v>26</v>
      </c>
    </row>
    <row r="3019" spans="1:17" x14ac:dyDescent="0.25">
      <c r="A3019" t="s">
        <v>3136</v>
      </c>
      <c r="B3019" s="1">
        <v>45993</v>
      </c>
      <c r="C3019" t="s">
        <v>60</v>
      </c>
      <c r="D3019" t="s">
        <v>65</v>
      </c>
      <c r="E3019" t="s">
        <v>20</v>
      </c>
      <c r="F3019" t="s">
        <v>105</v>
      </c>
      <c r="G3019" t="s">
        <v>29</v>
      </c>
      <c r="H3019" t="s">
        <v>44</v>
      </c>
      <c r="I3019" t="s">
        <v>281</v>
      </c>
      <c r="J3019">
        <v>50</v>
      </c>
      <c r="K3019">
        <v>1992.05</v>
      </c>
      <c r="L3019">
        <v>99602.5</v>
      </c>
      <c r="M3019">
        <v>0</v>
      </c>
      <c r="N3019">
        <v>0</v>
      </c>
      <c r="O3019">
        <v>99602.5</v>
      </c>
      <c r="P3019" t="s">
        <v>32</v>
      </c>
      <c r="Q3019" t="s">
        <v>26</v>
      </c>
    </row>
    <row r="3020" spans="1:17" x14ac:dyDescent="0.25">
      <c r="A3020" t="s">
        <v>3137</v>
      </c>
      <c r="B3020" s="1">
        <v>45957</v>
      </c>
      <c r="C3020" t="s">
        <v>18</v>
      </c>
      <c r="D3020" t="s">
        <v>19</v>
      </c>
      <c r="E3020" t="s">
        <v>41</v>
      </c>
      <c r="F3020" t="s">
        <v>21</v>
      </c>
      <c r="G3020" t="s">
        <v>51</v>
      </c>
      <c r="H3020" t="s">
        <v>38</v>
      </c>
      <c r="I3020" t="s">
        <v>120</v>
      </c>
      <c r="J3020">
        <v>44</v>
      </c>
      <c r="K3020">
        <v>1542.21</v>
      </c>
      <c r="L3020">
        <v>67857.240000000005</v>
      </c>
      <c r="M3020">
        <v>4153.72</v>
      </c>
      <c r="N3020">
        <v>0</v>
      </c>
      <c r="O3020">
        <v>63703.519999999997</v>
      </c>
      <c r="P3020" t="s">
        <v>32</v>
      </c>
      <c r="Q3020" t="s">
        <v>32</v>
      </c>
    </row>
    <row r="3021" spans="1:17" x14ac:dyDescent="0.25">
      <c r="A3021" t="s">
        <v>3138</v>
      </c>
      <c r="B3021" s="1">
        <v>45978</v>
      </c>
      <c r="C3021" t="s">
        <v>47</v>
      </c>
      <c r="D3021" t="s">
        <v>88</v>
      </c>
      <c r="E3021" t="s">
        <v>41</v>
      </c>
      <c r="F3021" t="s">
        <v>137</v>
      </c>
      <c r="G3021" t="s">
        <v>63</v>
      </c>
      <c r="H3021" t="s">
        <v>67</v>
      </c>
      <c r="I3021" t="s">
        <v>77</v>
      </c>
      <c r="J3021">
        <v>18</v>
      </c>
      <c r="K3021">
        <v>26086.91</v>
      </c>
      <c r="L3021">
        <v>469564.38</v>
      </c>
      <c r="M3021">
        <v>44624.72</v>
      </c>
      <c r="N3021">
        <v>0</v>
      </c>
      <c r="O3021">
        <v>424939.66</v>
      </c>
      <c r="P3021" t="s">
        <v>32</v>
      </c>
      <c r="Q3021" t="s">
        <v>26</v>
      </c>
    </row>
    <row r="3022" spans="1:17" x14ac:dyDescent="0.25">
      <c r="A3022" t="s">
        <v>3139</v>
      </c>
      <c r="B3022" s="1">
        <v>45977</v>
      </c>
      <c r="C3022" t="s">
        <v>79</v>
      </c>
      <c r="D3022" t="s">
        <v>80</v>
      </c>
      <c r="E3022" t="s">
        <v>49</v>
      </c>
      <c r="F3022" t="s">
        <v>84</v>
      </c>
      <c r="G3022" t="s">
        <v>66</v>
      </c>
      <c r="H3022" t="s">
        <v>38</v>
      </c>
      <c r="I3022" t="s">
        <v>120</v>
      </c>
      <c r="J3022">
        <v>2</v>
      </c>
      <c r="K3022">
        <v>40358.620000000003</v>
      </c>
      <c r="L3022">
        <v>80717.240000000005</v>
      </c>
      <c r="M3022">
        <v>0</v>
      </c>
      <c r="N3022">
        <v>0</v>
      </c>
      <c r="O3022">
        <v>80717.240000000005</v>
      </c>
      <c r="P3022" t="s">
        <v>25</v>
      </c>
      <c r="Q3022" t="s">
        <v>26</v>
      </c>
    </row>
    <row r="3023" spans="1:17" x14ac:dyDescent="0.25">
      <c r="A3023" t="s">
        <v>3140</v>
      </c>
      <c r="B3023" s="1">
        <v>45962</v>
      </c>
      <c r="C3023" t="s">
        <v>54</v>
      </c>
      <c r="D3023" t="s">
        <v>133</v>
      </c>
      <c r="E3023" t="s">
        <v>49</v>
      </c>
      <c r="F3023" t="s">
        <v>105</v>
      </c>
      <c r="G3023" t="s">
        <v>56</v>
      </c>
      <c r="H3023" t="s">
        <v>44</v>
      </c>
      <c r="I3023" t="s">
        <v>152</v>
      </c>
      <c r="J3023">
        <v>33</v>
      </c>
      <c r="K3023">
        <v>2344.0300000000002</v>
      </c>
      <c r="L3023">
        <v>77352.990000000005</v>
      </c>
      <c r="M3023">
        <v>4891.8900000000003</v>
      </c>
      <c r="N3023">
        <v>0</v>
      </c>
      <c r="O3023">
        <v>72461.100000000006</v>
      </c>
      <c r="P3023" t="s">
        <v>31</v>
      </c>
      <c r="Q3023" t="s">
        <v>32</v>
      </c>
    </row>
    <row r="3024" spans="1:17" x14ac:dyDescent="0.25">
      <c r="A3024" t="s">
        <v>3141</v>
      </c>
      <c r="B3024" s="1">
        <v>46031</v>
      </c>
      <c r="C3024" t="s">
        <v>18</v>
      </c>
      <c r="D3024" t="s">
        <v>28</v>
      </c>
      <c r="E3024" t="s">
        <v>41</v>
      </c>
      <c r="F3024" t="s">
        <v>137</v>
      </c>
      <c r="G3024" t="s">
        <v>66</v>
      </c>
      <c r="H3024" t="s">
        <v>57</v>
      </c>
      <c r="I3024" t="s">
        <v>118</v>
      </c>
      <c r="J3024">
        <v>4</v>
      </c>
      <c r="K3024">
        <v>2501.58</v>
      </c>
      <c r="L3024">
        <v>10006.32</v>
      </c>
      <c r="M3024">
        <v>1818.89</v>
      </c>
      <c r="N3024">
        <v>0</v>
      </c>
      <c r="O3024">
        <v>8187.43</v>
      </c>
      <c r="P3024" t="s">
        <v>31</v>
      </c>
      <c r="Q3024" t="s">
        <v>32</v>
      </c>
    </row>
    <row r="3025" spans="1:17" x14ac:dyDescent="0.25">
      <c r="A3025" t="s">
        <v>3142</v>
      </c>
      <c r="B3025" s="1">
        <v>46012</v>
      </c>
      <c r="C3025" t="s">
        <v>47</v>
      </c>
      <c r="D3025" t="s">
        <v>114</v>
      </c>
      <c r="E3025" t="s">
        <v>41</v>
      </c>
      <c r="F3025" t="s">
        <v>62</v>
      </c>
      <c r="G3025" t="s">
        <v>43</v>
      </c>
      <c r="H3025" t="s">
        <v>94</v>
      </c>
      <c r="I3025" t="s">
        <v>163</v>
      </c>
      <c r="J3025">
        <v>4</v>
      </c>
      <c r="K3025">
        <v>47023.29</v>
      </c>
      <c r="L3025">
        <v>188093.16</v>
      </c>
      <c r="M3025">
        <v>0</v>
      </c>
      <c r="N3025">
        <v>0</v>
      </c>
      <c r="O3025">
        <v>188093.16</v>
      </c>
      <c r="P3025" t="s">
        <v>25</v>
      </c>
      <c r="Q3025" t="s">
        <v>26</v>
      </c>
    </row>
    <row r="3026" spans="1:17" x14ac:dyDescent="0.25">
      <c r="A3026" t="s">
        <v>3143</v>
      </c>
      <c r="B3026" s="1">
        <v>46035</v>
      </c>
      <c r="C3026" t="s">
        <v>18</v>
      </c>
      <c r="D3026" t="s">
        <v>28</v>
      </c>
      <c r="E3026" t="s">
        <v>35</v>
      </c>
      <c r="F3026" t="s">
        <v>50</v>
      </c>
      <c r="G3026" t="s">
        <v>85</v>
      </c>
      <c r="H3026" t="s">
        <v>38</v>
      </c>
      <c r="I3026" t="s">
        <v>82</v>
      </c>
      <c r="J3026">
        <v>41</v>
      </c>
      <c r="K3026">
        <v>48271.08</v>
      </c>
      <c r="L3026">
        <v>1979114.28</v>
      </c>
      <c r="M3026">
        <v>288152.3</v>
      </c>
      <c r="N3026">
        <v>0</v>
      </c>
      <c r="O3026">
        <v>1690961.98</v>
      </c>
      <c r="P3026" t="s">
        <v>32</v>
      </c>
      <c r="Q3026" t="s">
        <v>32</v>
      </c>
    </row>
    <row r="3027" spans="1:17" x14ac:dyDescent="0.25">
      <c r="A3027" t="s">
        <v>3144</v>
      </c>
      <c r="B3027" s="1">
        <v>46023</v>
      </c>
      <c r="C3027" t="s">
        <v>18</v>
      </c>
      <c r="D3027" t="s">
        <v>75</v>
      </c>
      <c r="E3027" t="s">
        <v>20</v>
      </c>
      <c r="F3027" t="s">
        <v>84</v>
      </c>
      <c r="G3027" t="s">
        <v>81</v>
      </c>
      <c r="H3027" t="s">
        <v>57</v>
      </c>
      <c r="I3027" t="s">
        <v>160</v>
      </c>
      <c r="J3027">
        <v>48</v>
      </c>
      <c r="K3027">
        <v>5145.26</v>
      </c>
      <c r="L3027">
        <v>246972.48</v>
      </c>
      <c r="M3027">
        <v>5112.49</v>
      </c>
      <c r="N3027">
        <v>0</v>
      </c>
      <c r="O3027">
        <v>241859.99</v>
      </c>
      <c r="P3027" t="s">
        <v>32</v>
      </c>
      <c r="Q3027" t="s">
        <v>26</v>
      </c>
    </row>
    <row r="3028" spans="1:17" x14ac:dyDescent="0.25">
      <c r="A3028" t="s">
        <v>3145</v>
      </c>
      <c r="B3028" s="1">
        <v>46000</v>
      </c>
      <c r="C3028" t="s">
        <v>47</v>
      </c>
      <c r="D3028" t="s">
        <v>88</v>
      </c>
      <c r="E3028" t="s">
        <v>41</v>
      </c>
      <c r="F3028" t="s">
        <v>112</v>
      </c>
      <c r="G3028" t="s">
        <v>56</v>
      </c>
      <c r="H3028" t="s">
        <v>23</v>
      </c>
      <c r="I3028" t="s">
        <v>110</v>
      </c>
      <c r="J3028">
        <v>23</v>
      </c>
      <c r="K3028">
        <v>10632.65</v>
      </c>
      <c r="L3028">
        <v>244550.95</v>
      </c>
      <c r="M3028">
        <v>43024.04</v>
      </c>
      <c r="N3028">
        <v>0</v>
      </c>
      <c r="O3028">
        <v>201526.91</v>
      </c>
      <c r="P3028" t="s">
        <v>25</v>
      </c>
      <c r="Q3028" t="s">
        <v>26</v>
      </c>
    </row>
    <row r="3029" spans="1:17" x14ac:dyDescent="0.25">
      <c r="A3029" t="s">
        <v>3146</v>
      </c>
      <c r="B3029" s="1">
        <v>45990</v>
      </c>
      <c r="C3029" t="s">
        <v>60</v>
      </c>
      <c r="D3029" t="s">
        <v>65</v>
      </c>
      <c r="E3029" t="s">
        <v>35</v>
      </c>
      <c r="F3029" t="s">
        <v>21</v>
      </c>
      <c r="G3029" t="s">
        <v>37</v>
      </c>
      <c r="H3029" t="s">
        <v>44</v>
      </c>
      <c r="I3029" t="s">
        <v>135</v>
      </c>
      <c r="J3029">
        <v>26</v>
      </c>
      <c r="K3029">
        <v>16377.01</v>
      </c>
      <c r="L3029">
        <v>425802.26</v>
      </c>
      <c r="M3029">
        <v>16712.439999999999</v>
      </c>
      <c r="N3029">
        <v>0</v>
      </c>
      <c r="O3029">
        <v>409089.82</v>
      </c>
      <c r="P3029" t="s">
        <v>32</v>
      </c>
      <c r="Q3029" t="s">
        <v>26</v>
      </c>
    </row>
    <row r="3030" spans="1:17" x14ac:dyDescent="0.25">
      <c r="A3030" t="s">
        <v>3147</v>
      </c>
      <c r="B3030" s="1">
        <v>46004</v>
      </c>
      <c r="C3030" t="s">
        <v>79</v>
      </c>
      <c r="D3030" t="s">
        <v>101</v>
      </c>
      <c r="E3030" t="s">
        <v>41</v>
      </c>
      <c r="F3030" t="s">
        <v>137</v>
      </c>
      <c r="G3030" t="s">
        <v>98</v>
      </c>
      <c r="H3030" t="s">
        <v>94</v>
      </c>
      <c r="I3030" t="s">
        <v>115</v>
      </c>
      <c r="J3030">
        <v>7</v>
      </c>
      <c r="K3030">
        <v>6342.58</v>
      </c>
      <c r="L3030">
        <v>44398.06</v>
      </c>
      <c r="M3030">
        <v>5925.17</v>
      </c>
      <c r="N3030">
        <v>0</v>
      </c>
      <c r="O3030">
        <v>38472.89</v>
      </c>
      <c r="P3030" t="s">
        <v>31</v>
      </c>
      <c r="Q3030" t="s">
        <v>32</v>
      </c>
    </row>
    <row r="3031" spans="1:17" x14ac:dyDescent="0.25">
      <c r="A3031" t="s">
        <v>3148</v>
      </c>
      <c r="B3031" s="1">
        <v>46013</v>
      </c>
      <c r="C3031" t="s">
        <v>60</v>
      </c>
      <c r="D3031" t="s">
        <v>61</v>
      </c>
      <c r="E3031" t="s">
        <v>20</v>
      </c>
      <c r="F3031" t="s">
        <v>105</v>
      </c>
      <c r="G3031" t="s">
        <v>22</v>
      </c>
      <c r="H3031" t="s">
        <v>94</v>
      </c>
      <c r="I3031" t="s">
        <v>144</v>
      </c>
      <c r="J3031">
        <v>27</v>
      </c>
      <c r="K3031">
        <v>5307.64</v>
      </c>
      <c r="L3031">
        <v>143306.28</v>
      </c>
      <c r="M3031">
        <v>0</v>
      </c>
      <c r="N3031">
        <v>0</v>
      </c>
      <c r="O3031">
        <v>143306.28</v>
      </c>
      <c r="P3031" t="s">
        <v>32</v>
      </c>
      <c r="Q3031" t="s">
        <v>32</v>
      </c>
    </row>
    <row r="3032" spans="1:17" x14ac:dyDescent="0.25">
      <c r="A3032" t="s">
        <v>3149</v>
      </c>
      <c r="B3032" s="1">
        <v>45982</v>
      </c>
      <c r="C3032" t="s">
        <v>79</v>
      </c>
      <c r="D3032" t="s">
        <v>107</v>
      </c>
      <c r="E3032" t="s">
        <v>49</v>
      </c>
      <c r="F3032" t="s">
        <v>137</v>
      </c>
      <c r="G3032" t="s">
        <v>22</v>
      </c>
      <c r="H3032" t="s">
        <v>23</v>
      </c>
      <c r="I3032" t="s">
        <v>99</v>
      </c>
      <c r="J3032">
        <v>29</v>
      </c>
      <c r="K3032">
        <v>46478.400000000001</v>
      </c>
      <c r="L3032">
        <v>1347873.6</v>
      </c>
      <c r="M3032">
        <v>17714.509999999998</v>
      </c>
      <c r="N3032">
        <v>0</v>
      </c>
      <c r="O3032">
        <v>1330159.0900000001</v>
      </c>
      <c r="P3032" t="s">
        <v>25</v>
      </c>
      <c r="Q3032" t="s">
        <v>26</v>
      </c>
    </row>
    <row r="3033" spans="1:17" x14ac:dyDescent="0.25">
      <c r="A3033" t="s">
        <v>3150</v>
      </c>
      <c r="B3033" s="1">
        <v>46000</v>
      </c>
      <c r="C3033" t="s">
        <v>60</v>
      </c>
      <c r="D3033" t="s">
        <v>123</v>
      </c>
      <c r="E3033" t="s">
        <v>41</v>
      </c>
      <c r="F3033" t="s">
        <v>36</v>
      </c>
      <c r="G3033" t="s">
        <v>37</v>
      </c>
      <c r="H3033" t="s">
        <v>94</v>
      </c>
      <c r="I3033" t="s">
        <v>115</v>
      </c>
      <c r="J3033">
        <v>33</v>
      </c>
      <c r="K3033">
        <v>8091.41</v>
      </c>
      <c r="L3033">
        <v>267016.53000000003</v>
      </c>
      <c r="M3033">
        <v>12204.72</v>
      </c>
      <c r="N3033">
        <v>0</v>
      </c>
      <c r="O3033">
        <v>254811.81</v>
      </c>
      <c r="P3033" t="s">
        <v>32</v>
      </c>
      <c r="Q3033" t="s">
        <v>32</v>
      </c>
    </row>
    <row r="3034" spans="1:17" x14ac:dyDescent="0.25">
      <c r="A3034" t="s">
        <v>3151</v>
      </c>
      <c r="B3034" s="1">
        <v>46029</v>
      </c>
      <c r="C3034" t="s">
        <v>54</v>
      </c>
      <c r="D3034" t="s">
        <v>70</v>
      </c>
      <c r="E3034" t="s">
        <v>49</v>
      </c>
      <c r="F3034" t="s">
        <v>137</v>
      </c>
      <c r="G3034" t="s">
        <v>89</v>
      </c>
      <c r="H3034" t="s">
        <v>38</v>
      </c>
      <c r="I3034" t="s">
        <v>108</v>
      </c>
      <c r="J3034">
        <v>47</v>
      </c>
      <c r="K3034">
        <v>14105.28</v>
      </c>
      <c r="L3034">
        <v>662948.16</v>
      </c>
      <c r="M3034">
        <v>7403.36</v>
      </c>
      <c r="N3034">
        <v>0</v>
      </c>
      <c r="O3034">
        <v>655544.80000000005</v>
      </c>
      <c r="P3034" t="s">
        <v>25</v>
      </c>
      <c r="Q3034" t="s">
        <v>26</v>
      </c>
    </row>
    <row r="3035" spans="1:17" x14ac:dyDescent="0.25">
      <c r="A3035" t="s">
        <v>3152</v>
      </c>
      <c r="B3035" s="1">
        <v>46012</v>
      </c>
      <c r="C3035" t="s">
        <v>54</v>
      </c>
      <c r="D3035" t="s">
        <v>70</v>
      </c>
      <c r="E3035" t="s">
        <v>49</v>
      </c>
      <c r="F3035" t="s">
        <v>21</v>
      </c>
      <c r="G3035" t="s">
        <v>66</v>
      </c>
      <c r="H3035" t="s">
        <v>94</v>
      </c>
      <c r="I3035" t="s">
        <v>177</v>
      </c>
      <c r="J3035">
        <v>28</v>
      </c>
      <c r="K3035">
        <v>16414.54</v>
      </c>
      <c r="L3035">
        <v>459607.12</v>
      </c>
      <c r="M3035">
        <v>41738.31</v>
      </c>
      <c r="N3035">
        <v>0</v>
      </c>
      <c r="O3035">
        <v>417868.81</v>
      </c>
      <c r="P3035" t="s">
        <v>32</v>
      </c>
      <c r="Q3035" t="s">
        <v>32</v>
      </c>
    </row>
    <row r="3036" spans="1:17" x14ac:dyDescent="0.25">
      <c r="A3036" t="s">
        <v>3153</v>
      </c>
      <c r="B3036" s="1">
        <v>46037</v>
      </c>
      <c r="C3036" t="s">
        <v>18</v>
      </c>
      <c r="D3036" t="s">
        <v>28</v>
      </c>
      <c r="E3036" t="s">
        <v>35</v>
      </c>
      <c r="F3036" t="s">
        <v>50</v>
      </c>
      <c r="G3036" t="s">
        <v>56</v>
      </c>
      <c r="H3036" t="s">
        <v>38</v>
      </c>
      <c r="I3036" t="s">
        <v>82</v>
      </c>
      <c r="J3036">
        <v>24</v>
      </c>
      <c r="K3036">
        <v>16458.310000000001</v>
      </c>
      <c r="L3036">
        <v>394999.44</v>
      </c>
      <c r="M3036">
        <v>0</v>
      </c>
      <c r="N3036">
        <v>102250.72</v>
      </c>
      <c r="O3036">
        <v>292748.71999999997</v>
      </c>
      <c r="P3036" t="s">
        <v>31</v>
      </c>
      <c r="Q3036" t="s">
        <v>32</v>
      </c>
    </row>
    <row r="3037" spans="1:17" x14ac:dyDescent="0.25">
      <c r="A3037" t="s">
        <v>3154</v>
      </c>
      <c r="B3037" s="1">
        <v>46024</v>
      </c>
      <c r="C3037" t="s">
        <v>18</v>
      </c>
      <c r="D3037" t="s">
        <v>34</v>
      </c>
      <c r="E3037" t="s">
        <v>41</v>
      </c>
      <c r="F3037" t="s">
        <v>71</v>
      </c>
      <c r="G3037" t="s">
        <v>140</v>
      </c>
      <c r="H3037" t="s">
        <v>44</v>
      </c>
      <c r="I3037" t="s">
        <v>281</v>
      </c>
      <c r="J3037">
        <v>49</v>
      </c>
      <c r="K3037">
        <v>11712.32</v>
      </c>
      <c r="L3037">
        <v>573903.68000000005</v>
      </c>
      <c r="M3037">
        <v>0</v>
      </c>
      <c r="N3037">
        <v>0</v>
      </c>
      <c r="O3037">
        <v>573903.68000000005</v>
      </c>
      <c r="P3037" t="s">
        <v>25</v>
      </c>
      <c r="Q3037" t="s">
        <v>26</v>
      </c>
    </row>
    <row r="3038" spans="1:17" x14ac:dyDescent="0.25">
      <c r="A3038" t="s">
        <v>3155</v>
      </c>
      <c r="B3038" s="1">
        <v>45982</v>
      </c>
      <c r="C3038" t="s">
        <v>60</v>
      </c>
      <c r="D3038" t="s">
        <v>65</v>
      </c>
      <c r="E3038" t="s">
        <v>35</v>
      </c>
      <c r="F3038" t="s">
        <v>71</v>
      </c>
      <c r="G3038" t="s">
        <v>138</v>
      </c>
      <c r="H3038" t="s">
        <v>23</v>
      </c>
      <c r="I3038" t="s">
        <v>99</v>
      </c>
      <c r="J3038">
        <v>33</v>
      </c>
      <c r="K3038">
        <v>13262.02</v>
      </c>
      <c r="L3038">
        <v>437646.66</v>
      </c>
      <c r="M3038">
        <v>65417.73</v>
      </c>
      <c r="N3038">
        <v>0</v>
      </c>
      <c r="O3038">
        <v>372228.93</v>
      </c>
      <c r="P3038" t="s">
        <v>32</v>
      </c>
      <c r="Q3038" t="s">
        <v>32</v>
      </c>
    </row>
    <row r="3039" spans="1:17" x14ac:dyDescent="0.25">
      <c r="A3039" t="s">
        <v>3156</v>
      </c>
      <c r="B3039" s="1">
        <v>46011</v>
      </c>
      <c r="C3039" t="s">
        <v>47</v>
      </c>
      <c r="D3039" t="s">
        <v>88</v>
      </c>
      <c r="E3039" t="s">
        <v>35</v>
      </c>
      <c r="F3039" t="s">
        <v>112</v>
      </c>
      <c r="G3039" t="s">
        <v>51</v>
      </c>
      <c r="H3039" t="s">
        <v>57</v>
      </c>
      <c r="I3039" t="s">
        <v>148</v>
      </c>
      <c r="J3039">
        <v>38</v>
      </c>
      <c r="K3039">
        <v>46503.519999999997</v>
      </c>
      <c r="L3039">
        <v>1767133.76</v>
      </c>
      <c r="M3039">
        <v>64142.43</v>
      </c>
      <c r="N3039">
        <v>0</v>
      </c>
      <c r="O3039">
        <v>1702991.33</v>
      </c>
      <c r="P3039" t="s">
        <v>73</v>
      </c>
      <c r="Q3039" t="s">
        <v>32</v>
      </c>
    </row>
    <row r="3040" spans="1:17" x14ac:dyDescent="0.25">
      <c r="A3040" t="s">
        <v>3157</v>
      </c>
      <c r="B3040" s="1">
        <v>45965</v>
      </c>
      <c r="C3040" t="s">
        <v>47</v>
      </c>
      <c r="D3040" t="s">
        <v>127</v>
      </c>
      <c r="E3040" t="s">
        <v>35</v>
      </c>
      <c r="F3040" t="s">
        <v>112</v>
      </c>
      <c r="G3040" t="s">
        <v>22</v>
      </c>
      <c r="H3040" t="s">
        <v>23</v>
      </c>
      <c r="I3040" t="s">
        <v>99</v>
      </c>
      <c r="J3040">
        <v>19</v>
      </c>
      <c r="K3040">
        <v>24759</v>
      </c>
      <c r="L3040">
        <v>470421</v>
      </c>
      <c r="M3040">
        <v>0</v>
      </c>
      <c r="N3040">
        <v>0</v>
      </c>
      <c r="O3040">
        <v>470421</v>
      </c>
      <c r="P3040" t="s">
        <v>25</v>
      </c>
      <c r="Q3040" t="s">
        <v>26</v>
      </c>
    </row>
    <row r="3041" spans="1:17" x14ac:dyDescent="0.25">
      <c r="A3041" t="s">
        <v>3158</v>
      </c>
      <c r="B3041" s="1">
        <v>46037</v>
      </c>
      <c r="C3041" t="s">
        <v>79</v>
      </c>
      <c r="D3041" t="s">
        <v>80</v>
      </c>
      <c r="E3041" t="s">
        <v>41</v>
      </c>
      <c r="F3041" t="s">
        <v>42</v>
      </c>
      <c r="G3041" t="s">
        <v>56</v>
      </c>
      <c r="H3041" t="s">
        <v>44</v>
      </c>
      <c r="I3041" t="s">
        <v>141</v>
      </c>
      <c r="J3041">
        <v>27</v>
      </c>
      <c r="K3041">
        <v>39816.89</v>
      </c>
      <c r="L3041">
        <v>1075056.03</v>
      </c>
      <c r="M3041">
        <v>0</v>
      </c>
      <c r="N3041">
        <v>0</v>
      </c>
      <c r="O3041">
        <v>1075056.03</v>
      </c>
      <c r="P3041" t="s">
        <v>32</v>
      </c>
      <c r="Q3041" t="s">
        <v>26</v>
      </c>
    </row>
    <row r="3042" spans="1:17" x14ac:dyDescent="0.25">
      <c r="A3042" t="s">
        <v>3159</v>
      </c>
      <c r="B3042" s="1">
        <v>46019</v>
      </c>
      <c r="C3042" t="s">
        <v>79</v>
      </c>
      <c r="D3042" t="s">
        <v>91</v>
      </c>
      <c r="E3042" t="s">
        <v>49</v>
      </c>
      <c r="F3042" t="s">
        <v>21</v>
      </c>
      <c r="G3042" t="s">
        <v>22</v>
      </c>
      <c r="H3042" t="s">
        <v>57</v>
      </c>
      <c r="I3042" t="s">
        <v>58</v>
      </c>
      <c r="J3042">
        <v>46</v>
      </c>
      <c r="K3042">
        <v>44139.3</v>
      </c>
      <c r="L3042">
        <v>2030407.8</v>
      </c>
      <c r="M3042">
        <v>70219.13</v>
      </c>
      <c r="N3042">
        <v>23305.8</v>
      </c>
      <c r="O3042">
        <v>1936882.87</v>
      </c>
      <c r="P3042" t="s">
        <v>31</v>
      </c>
      <c r="Q3042" t="s">
        <v>32</v>
      </c>
    </row>
    <row r="3043" spans="1:17" x14ac:dyDescent="0.25">
      <c r="A3043" t="s">
        <v>3160</v>
      </c>
      <c r="B3043" s="1">
        <v>45984</v>
      </c>
      <c r="C3043" t="s">
        <v>54</v>
      </c>
      <c r="D3043" t="s">
        <v>55</v>
      </c>
      <c r="E3043" t="s">
        <v>35</v>
      </c>
      <c r="F3043" t="s">
        <v>42</v>
      </c>
      <c r="G3043" t="s">
        <v>85</v>
      </c>
      <c r="H3043" t="s">
        <v>67</v>
      </c>
      <c r="I3043" t="s">
        <v>103</v>
      </c>
      <c r="J3043">
        <v>23</v>
      </c>
      <c r="K3043">
        <v>13545.95</v>
      </c>
      <c r="L3043">
        <v>311556.84999999998</v>
      </c>
      <c r="M3043">
        <v>48006.43</v>
      </c>
      <c r="N3043">
        <v>0</v>
      </c>
      <c r="O3043">
        <v>263550.42</v>
      </c>
      <c r="P3043" t="s">
        <v>31</v>
      </c>
      <c r="Q3043" t="s">
        <v>32</v>
      </c>
    </row>
    <row r="3044" spans="1:17" x14ac:dyDescent="0.25">
      <c r="A3044" t="s">
        <v>3161</v>
      </c>
      <c r="B3044" s="1">
        <v>45974</v>
      </c>
      <c r="C3044" t="s">
        <v>79</v>
      </c>
      <c r="D3044" t="s">
        <v>80</v>
      </c>
      <c r="E3044" t="s">
        <v>35</v>
      </c>
      <c r="F3044" t="s">
        <v>84</v>
      </c>
      <c r="G3044" t="s">
        <v>56</v>
      </c>
      <c r="H3044" t="s">
        <v>57</v>
      </c>
      <c r="I3044" t="s">
        <v>58</v>
      </c>
      <c r="J3044">
        <v>17</v>
      </c>
      <c r="K3044">
        <v>35333.51</v>
      </c>
      <c r="L3044">
        <v>600669.67000000004</v>
      </c>
      <c r="M3044">
        <v>0</v>
      </c>
      <c r="N3044">
        <v>0</v>
      </c>
      <c r="O3044">
        <v>600669.67000000004</v>
      </c>
      <c r="P3044" t="s">
        <v>25</v>
      </c>
      <c r="Q3044" t="s">
        <v>32</v>
      </c>
    </row>
    <row r="3045" spans="1:17" x14ac:dyDescent="0.25">
      <c r="A3045" t="s">
        <v>3162</v>
      </c>
      <c r="B3045" s="1">
        <v>46038</v>
      </c>
      <c r="C3045" t="s">
        <v>47</v>
      </c>
      <c r="D3045" t="s">
        <v>48</v>
      </c>
      <c r="E3045" t="s">
        <v>49</v>
      </c>
      <c r="F3045" t="s">
        <v>36</v>
      </c>
      <c r="G3045" t="s">
        <v>98</v>
      </c>
      <c r="H3045" t="s">
        <v>57</v>
      </c>
      <c r="I3045" t="s">
        <v>58</v>
      </c>
      <c r="J3045">
        <v>22</v>
      </c>
      <c r="K3045">
        <v>43257.97</v>
      </c>
      <c r="L3045">
        <v>951675.34</v>
      </c>
      <c r="M3045">
        <v>0</v>
      </c>
      <c r="N3045">
        <v>0</v>
      </c>
      <c r="O3045">
        <v>951675.34</v>
      </c>
      <c r="P3045" t="s">
        <v>32</v>
      </c>
      <c r="Q3045" t="s">
        <v>32</v>
      </c>
    </row>
    <row r="3046" spans="1:17" x14ac:dyDescent="0.25">
      <c r="A3046" t="s">
        <v>3163</v>
      </c>
      <c r="B3046" s="1">
        <v>45975</v>
      </c>
      <c r="C3046" t="s">
        <v>79</v>
      </c>
      <c r="D3046" t="s">
        <v>91</v>
      </c>
      <c r="E3046" t="s">
        <v>41</v>
      </c>
      <c r="F3046" t="s">
        <v>71</v>
      </c>
      <c r="G3046" t="s">
        <v>102</v>
      </c>
      <c r="H3046" t="s">
        <v>57</v>
      </c>
      <c r="I3046" t="s">
        <v>92</v>
      </c>
      <c r="J3046">
        <v>36</v>
      </c>
      <c r="K3046">
        <v>13787.77</v>
      </c>
      <c r="L3046">
        <v>496359.72</v>
      </c>
      <c r="M3046">
        <v>0</v>
      </c>
      <c r="N3046">
        <v>0</v>
      </c>
      <c r="O3046">
        <v>496359.72</v>
      </c>
      <c r="P3046" t="s">
        <v>31</v>
      </c>
      <c r="Q3046" t="s">
        <v>32</v>
      </c>
    </row>
    <row r="3047" spans="1:17" x14ac:dyDescent="0.25">
      <c r="A3047" t="s">
        <v>3164</v>
      </c>
      <c r="B3047" s="1">
        <v>45965</v>
      </c>
      <c r="C3047" t="s">
        <v>47</v>
      </c>
      <c r="D3047" t="s">
        <v>127</v>
      </c>
      <c r="E3047" t="s">
        <v>35</v>
      </c>
      <c r="F3047" t="s">
        <v>84</v>
      </c>
      <c r="G3047" t="s">
        <v>138</v>
      </c>
      <c r="H3047" t="s">
        <v>57</v>
      </c>
      <c r="I3047" t="s">
        <v>118</v>
      </c>
      <c r="J3047">
        <v>25</v>
      </c>
      <c r="K3047">
        <v>12331.92</v>
      </c>
      <c r="L3047">
        <v>308298</v>
      </c>
      <c r="M3047">
        <v>0</v>
      </c>
      <c r="N3047">
        <v>0</v>
      </c>
      <c r="O3047">
        <v>308298</v>
      </c>
      <c r="P3047" t="s">
        <v>73</v>
      </c>
      <c r="Q3047" t="s">
        <v>26</v>
      </c>
    </row>
    <row r="3048" spans="1:17" x14ac:dyDescent="0.25">
      <c r="A3048" t="s">
        <v>3165</v>
      </c>
      <c r="B3048" s="1">
        <v>45978</v>
      </c>
      <c r="C3048" t="s">
        <v>79</v>
      </c>
      <c r="D3048" t="s">
        <v>80</v>
      </c>
      <c r="E3048" t="s">
        <v>49</v>
      </c>
      <c r="F3048" t="s">
        <v>21</v>
      </c>
      <c r="G3048" t="s">
        <v>63</v>
      </c>
      <c r="H3048" t="s">
        <v>67</v>
      </c>
      <c r="I3048" t="s">
        <v>201</v>
      </c>
      <c r="J3048">
        <v>6</v>
      </c>
      <c r="K3048">
        <v>24569.52</v>
      </c>
      <c r="L3048">
        <v>147417.12</v>
      </c>
      <c r="M3048">
        <v>0</v>
      </c>
      <c r="N3048">
        <v>0</v>
      </c>
      <c r="O3048">
        <v>147417.12</v>
      </c>
      <c r="P3048" t="s">
        <v>32</v>
      </c>
      <c r="Q3048" t="s">
        <v>26</v>
      </c>
    </row>
    <row r="3049" spans="1:17" x14ac:dyDescent="0.25">
      <c r="A3049" t="s">
        <v>3166</v>
      </c>
      <c r="B3049" s="1">
        <v>45980</v>
      </c>
      <c r="C3049" t="s">
        <v>79</v>
      </c>
      <c r="D3049" t="s">
        <v>91</v>
      </c>
      <c r="E3049" t="s">
        <v>49</v>
      </c>
      <c r="F3049" t="s">
        <v>71</v>
      </c>
      <c r="G3049" t="s">
        <v>85</v>
      </c>
      <c r="H3049" t="s">
        <v>67</v>
      </c>
      <c r="I3049" t="s">
        <v>77</v>
      </c>
      <c r="J3049">
        <v>26</v>
      </c>
      <c r="K3049">
        <v>11341.05</v>
      </c>
      <c r="L3049">
        <v>294867.3</v>
      </c>
      <c r="M3049">
        <v>0</v>
      </c>
      <c r="N3049">
        <v>0</v>
      </c>
      <c r="O3049">
        <v>294867.3</v>
      </c>
      <c r="P3049" t="s">
        <v>32</v>
      </c>
      <c r="Q3049" t="s">
        <v>26</v>
      </c>
    </row>
    <row r="3050" spans="1:17" x14ac:dyDescent="0.25">
      <c r="A3050" t="s">
        <v>3167</v>
      </c>
      <c r="B3050" s="1">
        <v>45963</v>
      </c>
      <c r="C3050" t="s">
        <v>79</v>
      </c>
      <c r="D3050" t="s">
        <v>107</v>
      </c>
      <c r="E3050" t="s">
        <v>20</v>
      </c>
      <c r="F3050" t="s">
        <v>42</v>
      </c>
      <c r="G3050" t="s">
        <v>102</v>
      </c>
      <c r="H3050" t="s">
        <v>94</v>
      </c>
      <c r="I3050" t="s">
        <v>95</v>
      </c>
      <c r="J3050">
        <v>30</v>
      </c>
      <c r="K3050">
        <v>5142.99</v>
      </c>
      <c r="L3050">
        <v>154289.70000000001</v>
      </c>
      <c r="M3050">
        <v>0</v>
      </c>
      <c r="N3050">
        <v>0</v>
      </c>
      <c r="O3050">
        <v>154289.70000000001</v>
      </c>
      <c r="P3050" t="s">
        <v>73</v>
      </c>
      <c r="Q3050" t="s">
        <v>26</v>
      </c>
    </row>
    <row r="3051" spans="1:17" x14ac:dyDescent="0.25">
      <c r="A3051" t="s">
        <v>3168</v>
      </c>
      <c r="B3051" s="1">
        <v>45969</v>
      </c>
      <c r="C3051" t="s">
        <v>79</v>
      </c>
      <c r="D3051" t="s">
        <v>91</v>
      </c>
      <c r="E3051" t="s">
        <v>41</v>
      </c>
      <c r="F3051" t="s">
        <v>71</v>
      </c>
      <c r="G3051" t="s">
        <v>63</v>
      </c>
      <c r="H3051" t="s">
        <v>38</v>
      </c>
      <c r="I3051" t="s">
        <v>108</v>
      </c>
      <c r="J3051">
        <v>13</v>
      </c>
      <c r="K3051">
        <v>4140.16</v>
      </c>
      <c r="L3051">
        <v>53822.080000000002</v>
      </c>
      <c r="M3051">
        <v>6552.61</v>
      </c>
      <c r="N3051">
        <v>0</v>
      </c>
      <c r="O3051">
        <v>47269.47</v>
      </c>
      <c r="P3051" t="s">
        <v>32</v>
      </c>
      <c r="Q3051" t="s">
        <v>32</v>
      </c>
    </row>
    <row r="3052" spans="1:17" x14ac:dyDescent="0.25">
      <c r="A3052" t="s">
        <v>3169</v>
      </c>
      <c r="B3052" s="1">
        <v>45990</v>
      </c>
      <c r="C3052" t="s">
        <v>18</v>
      </c>
      <c r="D3052" t="s">
        <v>28</v>
      </c>
      <c r="E3052" t="s">
        <v>35</v>
      </c>
      <c r="F3052" t="s">
        <v>105</v>
      </c>
      <c r="G3052" t="s">
        <v>140</v>
      </c>
      <c r="H3052" t="s">
        <v>23</v>
      </c>
      <c r="I3052" t="s">
        <v>131</v>
      </c>
      <c r="J3052">
        <v>22</v>
      </c>
      <c r="K3052">
        <v>44540.23</v>
      </c>
      <c r="L3052">
        <v>979885.06</v>
      </c>
      <c r="M3052">
        <v>123688.96000000001</v>
      </c>
      <c r="N3052">
        <v>0</v>
      </c>
      <c r="O3052">
        <v>856196.1</v>
      </c>
      <c r="P3052" t="s">
        <v>25</v>
      </c>
      <c r="Q3052" t="s">
        <v>26</v>
      </c>
    </row>
    <row r="3053" spans="1:17" x14ac:dyDescent="0.25">
      <c r="A3053" t="s">
        <v>3170</v>
      </c>
      <c r="B3053" s="1">
        <v>46022</v>
      </c>
      <c r="C3053" t="s">
        <v>47</v>
      </c>
      <c r="D3053" t="s">
        <v>88</v>
      </c>
      <c r="E3053" t="s">
        <v>20</v>
      </c>
      <c r="F3053" t="s">
        <v>105</v>
      </c>
      <c r="G3053" t="s">
        <v>81</v>
      </c>
      <c r="H3053" t="s">
        <v>38</v>
      </c>
      <c r="I3053" t="s">
        <v>120</v>
      </c>
      <c r="J3053">
        <v>1</v>
      </c>
      <c r="K3053">
        <v>7842.75</v>
      </c>
      <c r="L3053">
        <v>7842.75</v>
      </c>
      <c r="M3053">
        <v>1341.85</v>
      </c>
      <c r="N3053">
        <v>0</v>
      </c>
      <c r="O3053">
        <v>6500.9</v>
      </c>
      <c r="P3053" t="s">
        <v>31</v>
      </c>
      <c r="Q3053" t="s">
        <v>32</v>
      </c>
    </row>
    <row r="3054" spans="1:17" x14ac:dyDescent="0.25">
      <c r="A3054" t="s">
        <v>3171</v>
      </c>
      <c r="B3054" s="1">
        <v>46044</v>
      </c>
      <c r="C3054" t="s">
        <v>60</v>
      </c>
      <c r="D3054" t="s">
        <v>61</v>
      </c>
      <c r="E3054" t="s">
        <v>49</v>
      </c>
      <c r="F3054" t="s">
        <v>50</v>
      </c>
      <c r="G3054" t="s">
        <v>66</v>
      </c>
      <c r="H3054" t="s">
        <v>67</v>
      </c>
      <c r="I3054" t="s">
        <v>68</v>
      </c>
      <c r="J3054">
        <v>39</v>
      </c>
      <c r="K3054">
        <v>11938.06</v>
      </c>
      <c r="L3054">
        <v>465584.34</v>
      </c>
      <c r="M3054">
        <v>58434.2</v>
      </c>
      <c r="N3054">
        <v>0</v>
      </c>
      <c r="O3054">
        <v>407150.14</v>
      </c>
      <c r="P3054" t="s">
        <v>25</v>
      </c>
      <c r="Q3054" t="s">
        <v>26</v>
      </c>
    </row>
    <row r="3055" spans="1:17" x14ac:dyDescent="0.25">
      <c r="A3055" t="s">
        <v>3172</v>
      </c>
      <c r="B3055" s="1">
        <v>46031</v>
      </c>
      <c r="C3055" t="s">
        <v>79</v>
      </c>
      <c r="D3055" t="s">
        <v>80</v>
      </c>
      <c r="E3055" t="s">
        <v>49</v>
      </c>
      <c r="F3055" t="s">
        <v>36</v>
      </c>
      <c r="G3055" t="s">
        <v>98</v>
      </c>
      <c r="H3055" t="s">
        <v>38</v>
      </c>
      <c r="I3055" t="s">
        <v>175</v>
      </c>
      <c r="J3055">
        <v>36</v>
      </c>
      <c r="K3055">
        <v>9168.52</v>
      </c>
      <c r="L3055">
        <v>330066.71999999997</v>
      </c>
      <c r="M3055">
        <v>43860.05</v>
      </c>
      <c r="N3055">
        <v>0</v>
      </c>
      <c r="O3055">
        <v>286206.67</v>
      </c>
      <c r="P3055" t="s">
        <v>25</v>
      </c>
      <c r="Q3055" t="s">
        <v>26</v>
      </c>
    </row>
    <row r="3056" spans="1:17" x14ac:dyDescent="0.25">
      <c r="A3056" t="s">
        <v>3173</v>
      </c>
      <c r="B3056" s="1">
        <v>45974</v>
      </c>
      <c r="C3056" t="s">
        <v>60</v>
      </c>
      <c r="D3056" t="s">
        <v>123</v>
      </c>
      <c r="E3056" t="s">
        <v>35</v>
      </c>
      <c r="F3056" t="s">
        <v>105</v>
      </c>
      <c r="G3056" t="s">
        <v>81</v>
      </c>
      <c r="H3056" t="s">
        <v>94</v>
      </c>
      <c r="I3056" t="s">
        <v>177</v>
      </c>
      <c r="J3056">
        <v>49</v>
      </c>
      <c r="K3056">
        <v>18293.990000000002</v>
      </c>
      <c r="L3056">
        <v>896405.51</v>
      </c>
      <c r="M3056">
        <v>45272.77</v>
      </c>
      <c r="N3056">
        <v>0</v>
      </c>
      <c r="O3056">
        <v>851132.74</v>
      </c>
      <c r="P3056" t="s">
        <v>31</v>
      </c>
      <c r="Q3056" t="s">
        <v>32</v>
      </c>
    </row>
    <row r="3057" spans="1:17" x14ac:dyDescent="0.25">
      <c r="A3057" t="s">
        <v>3174</v>
      </c>
      <c r="B3057" s="1">
        <v>45982</v>
      </c>
      <c r="C3057" t="s">
        <v>18</v>
      </c>
      <c r="D3057" t="s">
        <v>19</v>
      </c>
      <c r="E3057" t="s">
        <v>49</v>
      </c>
      <c r="F3057" t="s">
        <v>84</v>
      </c>
      <c r="G3057" t="s">
        <v>29</v>
      </c>
      <c r="H3057" t="s">
        <v>67</v>
      </c>
      <c r="I3057" t="s">
        <v>170</v>
      </c>
      <c r="J3057">
        <v>36</v>
      </c>
      <c r="K3057">
        <v>19384.52</v>
      </c>
      <c r="L3057">
        <v>697842.72</v>
      </c>
      <c r="M3057">
        <v>0</v>
      </c>
      <c r="N3057">
        <v>0</v>
      </c>
      <c r="O3057">
        <v>697842.72</v>
      </c>
      <c r="P3057" t="s">
        <v>73</v>
      </c>
      <c r="Q3057" t="s">
        <v>32</v>
      </c>
    </row>
    <row r="3058" spans="1:17" x14ac:dyDescent="0.25">
      <c r="A3058" t="s">
        <v>3175</v>
      </c>
      <c r="B3058" s="1">
        <v>46041</v>
      </c>
      <c r="C3058" t="s">
        <v>18</v>
      </c>
      <c r="D3058" t="s">
        <v>75</v>
      </c>
      <c r="E3058" t="s">
        <v>41</v>
      </c>
      <c r="F3058" t="s">
        <v>42</v>
      </c>
      <c r="G3058" t="s">
        <v>140</v>
      </c>
      <c r="H3058" t="s">
        <v>67</v>
      </c>
      <c r="I3058" t="s">
        <v>68</v>
      </c>
      <c r="J3058">
        <v>34</v>
      </c>
      <c r="K3058">
        <v>39732.26</v>
      </c>
      <c r="L3058">
        <v>1350896.84</v>
      </c>
      <c r="M3058">
        <v>261940.7</v>
      </c>
      <c r="N3058">
        <v>0</v>
      </c>
      <c r="O3058">
        <v>1088956.1399999999</v>
      </c>
      <c r="P3058" t="s">
        <v>31</v>
      </c>
      <c r="Q3058" t="s">
        <v>32</v>
      </c>
    </row>
    <row r="3059" spans="1:17" x14ac:dyDescent="0.25">
      <c r="A3059" t="s">
        <v>3176</v>
      </c>
      <c r="B3059" s="1">
        <v>45959</v>
      </c>
      <c r="C3059" t="s">
        <v>18</v>
      </c>
      <c r="D3059" t="s">
        <v>75</v>
      </c>
      <c r="E3059" t="s">
        <v>41</v>
      </c>
      <c r="F3059" t="s">
        <v>50</v>
      </c>
      <c r="G3059" t="s">
        <v>98</v>
      </c>
      <c r="H3059" t="s">
        <v>94</v>
      </c>
      <c r="I3059" t="s">
        <v>144</v>
      </c>
      <c r="J3059">
        <v>39</v>
      </c>
      <c r="K3059">
        <v>932.99</v>
      </c>
      <c r="L3059">
        <v>36386.61</v>
      </c>
      <c r="M3059">
        <v>7046.83</v>
      </c>
      <c r="N3059">
        <v>0</v>
      </c>
      <c r="O3059">
        <v>29339.78</v>
      </c>
      <c r="P3059" t="s">
        <v>25</v>
      </c>
      <c r="Q3059" t="s">
        <v>26</v>
      </c>
    </row>
    <row r="3060" spans="1:17" x14ac:dyDescent="0.25">
      <c r="A3060" t="s">
        <v>3177</v>
      </c>
      <c r="B3060" s="1">
        <v>46043</v>
      </c>
      <c r="C3060" t="s">
        <v>60</v>
      </c>
      <c r="D3060" t="s">
        <v>151</v>
      </c>
      <c r="E3060" t="s">
        <v>41</v>
      </c>
      <c r="F3060" t="s">
        <v>50</v>
      </c>
      <c r="G3060" t="s">
        <v>51</v>
      </c>
      <c r="H3060" t="s">
        <v>57</v>
      </c>
      <c r="I3060" t="s">
        <v>92</v>
      </c>
      <c r="J3060">
        <v>9</v>
      </c>
      <c r="K3060">
        <v>30552.84</v>
      </c>
      <c r="L3060">
        <v>274975.56</v>
      </c>
      <c r="M3060">
        <v>6415.75</v>
      </c>
      <c r="N3060">
        <v>0</v>
      </c>
      <c r="O3060">
        <v>268559.81</v>
      </c>
      <c r="P3060" t="s">
        <v>73</v>
      </c>
      <c r="Q3060" t="s">
        <v>32</v>
      </c>
    </row>
    <row r="3061" spans="1:17" x14ac:dyDescent="0.25">
      <c r="A3061" t="s">
        <v>3178</v>
      </c>
      <c r="B3061" s="1">
        <v>46000</v>
      </c>
      <c r="C3061" t="s">
        <v>60</v>
      </c>
      <c r="D3061" t="s">
        <v>65</v>
      </c>
      <c r="E3061" t="s">
        <v>49</v>
      </c>
      <c r="F3061" t="s">
        <v>36</v>
      </c>
      <c r="G3061" t="s">
        <v>140</v>
      </c>
      <c r="H3061" t="s">
        <v>23</v>
      </c>
      <c r="I3061" t="s">
        <v>24</v>
      </c>
      <c r="J3061">
        <v>49</v>
      </c>
      <c r="K3061">
        <v>46468.22</v>
      </c>
      <c r="L3061">
        <v>2276942.7799999998</v>
      </c>
      <c r="M3061">
        <v>393662.34</v>
      </c>
      <c r="N3061">
        <v>0</v>
      </c>
      <c r="O3061">
        <v>1883280.44</v>
      </c>
      <c r="P3061" t="s">
        <v>25</v>
      </c>
      <c r="Q3061" t="s">
        <v>26</v>
      </c>
    </row>
    <row r="3062" spans="1:17" x14ac:dyDescent="0.25">
      <c r="A3062" t="s">
        <v>3179</v>
      </c>
      <c r="B3062" s="1">
        <v>46043</v>
      </c>
      <c r="C3062" t="s">
        <v>47</v>
      </c>
      <c r="D3062" t="s">
        <v>48</v>
      </c>
      <c r="E3062" t="s">
        <v>20</v>
      </c>
      <c r="F3062" t="s">
        <v>36</v>
      </c>
      <c r="G3062" t="s">
        <v>98</v>
      </c>
      <c r="H3062" t="s">
        <v>23</v>
      </c>
      <c r="I3062" t="s">
        <v>131</v>
      </c>
      <c r="J3062">
        <v>44</v>
      </c>
      <c r="K3062">
        <v>11858.34</v>
      </c>
      <c r="L3062">
        <v>521766.96</v>
      </c>
      <c r="M3062">
        <v>62508.89</v>
      </c>
      <c r="N3062">
        <v>0</v>
      </c>
      <c r="O3062">
        <v>459258.07</v>
      </c>
      <c r="P3062" t="s">
        <v>32</v>
      </c>
      <c r="Q3062" t="s">
        <v>32</v>
      </c>
    </row>
    <row r="3063" spans="1:17" x14ac:dyDescent="0.25">
      <c r="A3063" t="s">
        <v>3180</v>
      </c>
      <c r="B3063" s="1">
        <v>45990</v>
      </c>
      <c r="C3063" t="s">
        <v>60</v>
      </c>
      <c r="D3063" t="s">
        <v>123</v>
      </c>
      <c r="E3063" t="s">
        <v>20</v>
      </c>
      <c r="F3063" t="s">
        <v>62</v>
      </c>
      <c r="G3063" t="s">
        <v>66</v>
      </c>
      <c r="H3063" t="s">
        <v>94</v>
      </c>
      <c r="I3063" t="s">
        <v>115</v>
      </c>
      <c r="J3063">
        <v>15</v>
      </c>
      <c r="K3063">
        <v>18335.02</v>
      </c>
      <c r="L3063">
        <v>275025.3</v>
      </c>
      <c r="M3063">
        <v>46847.25</v>
      </c>
      <c r="N3063">
        <v>0</v>
      </c>
      <c r="O3063">
        <v>228178.05</v>
      </c>
      <c r="P3063" t="s">
        <v>73</v>
      </c>
      <c r="Q3063" t="s">
        <v>32</v>
      </c>
    </row>
    <row r="3064" spans="1:17" x14ac:dyDescent="0.25">
      <c r="A3064" t="s">
        <v>3181</v>
      </c>
      <c r="B3064" s="1">
        <v>46017</v>
      </c>
      <c r="C3064" t="s">
        <v>47</v>
      </c>
      <c r="D3064" t="s">
        <v>88</v>
      </c>
      <c r="E3064" t="s">
        <v>49</v>
      </c>
      <c r="F3064" t="s">
        <v>105</v>
      </c>
      <c r="G3064" t="s">
        <v>66</v>
      </c>
      <c r="H3064" t="s">
        <v>57</v>
      </c>
      <c r="I3064" t="s">
        <v>118</v>
      </c>
      <c r="J3064">
        <v>37</v>
      </c>
      <c r="K3064">
        <v>33448.33</v>
      </c>
      <c r="L3064">
        <v>1237588.21</v>
      </c>
      <c r="M3064">
        <v>119743.66</v>
      </c>
      <c r="N3064">
        <v>0</v>
      </c>
      <c r="O3064">
        <v>1117844.55</v>
      </c>
      <c r="P3064" t="s">
        <v>73</v>
      </c>
      <c r="Q3064" t="s">
        <v>26</v>
      </c>
    </row>
    <row r="3065" spans="1:17" x14ac:dyDescent="0.25">
      <c r="A3065" t="s">
        <v>3182</v>
      </c>
      <c r="B3065" s="1">
        <v>46040</v>
      </c>
      <c r="C3065" t="s">
        <v>18</v>
      </c>
      <c r="D3065" t="s">
        <v>28</v>
      </c>
      <c r="E3065" t="s">
        <v>20</v>
      </c>
      <c r="F3065" t="s">
        <v>112</v>
      </c>
      <c r="G3065" t="s">
        <v>63</v>
      </c>
      <c r="H3065" t="s">
        <v>23</v>
      </c>
      <c r="I3065" t="s">
        <v>99</v>
      </c>
      <c r="J3065">
        <v>5</v>
      </c>
      <c r="K3065">
        <v>25085.89</v>
      </c>
      <c r="L3065">
        <v>125429.45</v>
      </c>
      <c r="M3065">
        <v>17937.849999999999</v>
      </c>
      <c r="N3065">
        <v>0</v>
      </c>
      <c r="O3065">
        <v>107491.6</v>
      </c>
      <c r="P3065" t="s">
        <v>32</v>
      </c>
      <c r="Q3065" t="s">
        <v>32</v>
      </c>
    </row>
    <row r="3066" spans="1:17" x14ac:dyDescent="0.25">
      <c r="A3066" t="s">
        <v>3183</v>
      </c>
      <c r="B3066" s="1">
        <v>45985</v>
      </c>
      <c r="C3066" t="s">
        <v>79</v>
      </c>
      <c r="D3066" t="s">
        <v>80</v>
      </c>
      <c r="E3066" t="s">
        <v>35</v>
      </c>
      <c r="F3066" t="s">
        <v>105</v>
      </c>
      <c r="G3066" t="s">
        <v>81</v>
      </c>
      <c r="H3066" t="s">
        <v>94</v>
      </c>
      <c r="I3066" t="s">
        <v>95</v>
      </c>
      <c r="J3066">
        <v>36</v>
      </c>
      <c r="K3066">
        <v>37808.29</v>
      </c>
      <c r="L3066">
        <v>1361098.44</v>
      </c>
      <c r="M3066">
        <v>0</v>
      </c>
      <c r="N3066">
        <v>127212.4</v>
      </c>
      <c r="O3066">
        <v>1233886.04</v>
      </c>
      <c r="P3066" t="s">
        <v>31</v>
      </c>
      <c r="Q3066" t="s">
        <v>32</v>
      </c>
    </row>
    <row r="3067" spans="1:17" x14ac:dyDescent="0.25">
      <c r="A3067" t="s">
        <v>3184</v>
      </c>
      <c r="B3067" s="1">
        <v>46045</v>
      </c>
      <c r="C3067" t="s">
        <v>54</v>
      </c>
      <c r="D3067" t="s">
        <v>97</v>
      </c>
      <c r="E3067" t="s">
        <v>49</v>
      </c>
      <c r="F3067" t="s">
        <v>42</v>
      </c>
      <c r="G3067" t="s">
        <v>56</v>
      </c>
      <c r="H3067" t="s">
        <v>23</v>
      </c>
      <c r="I3067" t="s">
        <v>24</v>
      </c>
      <c r="J3067">
        <v>38</v>
      </c>
      <c r="K3067">
        <v>29924</v>
      </c>
      <c r="L3067">
        <v>1137112</v>
      </c>
      <c r="M3067">
        <v>161913.79</v>
      </c>
      <c r="N3067">
        <v>333872.44</v>
      </c>
      <c r="O3067">
        <v>641325.77</v>
      </c>
      <c r="P3067" t="s">
        <v>25</v>
      </c>
      <c r="Q3067" t="s">
        <v>26</v>
      </c>
    </row>
    <row r="3068" spans="1:17" x14ac:dyDescent="0.25">
      <c r="A3068" t="s">
        <v>3185</v>
      </c>
      <c r="B3068" s="1">
        <v>46039</v>
      </c>
      <c r="C3068" t="s">
        <v>54</v>
      </c>
      <c r="D3068" t="s">
        <v>97</v>
      </c>
      <c r="E3068" t="s">
        <v>20</v>
      </c>
      <c r="F3068" t="s">
        <v>62</v>
      </c>
      <c r="G3068" t="s">
        <v>98</v>
      </c>
      <c r="H3068" t="s">
        <v>38</v>
      </c>
      <c r="I3068" t="s">
        <v>120</v>
      </c>
      <c r="J3068">
        <v>1</v>
      </c>
      <c r="K3068">
        <v>1596.95</v>
      </c>
      <c r="L3068">
        <v>1596.95</v>
      </c>
      <c r="M3068">
        <v>28.11</v>
      </c>
      <c r="N3068">
        <v>0</v>
      </c>
      <c r="O3068">
        <v>1568.84</v>
      </c>
      <c r="P3068" t="s">
        <v>73</v>
      </c>
      <c r="Q3068" t="s">
        <v>32</v>
      </c>
    </row>
    <row r="3069" spans="1:17" x14ac:dyDescent="0.25">
      <c r="A3069" t="s">
        <v>3186</v>
      </c>
      <c r="B3069" s="1">
        <v>45986</v>
      </c>
      <c r="C3069" t="s">
        <v>54</v>
      </c>
      <c r="D3069" t="s">
        <v>70</v>
      </c>
      <c r="E3069" t="s">
        <v>49</v>
      </c>
      <c r="F3069" t="s">
        <v>71</v>
      </c>
      <c r="G3069" t="s">
        <v>81</v>
      </c>
      <c r="H3069" t="s">
        <v>44</v>
      </c>
      <c r="I3069" t="s">
        <v>45</v>
      </c>
      <c r="J3069">
        <v>12</v>
      </c>
      <c r="K3069">
        <v>43887.01</v>
      </c>
      <c r="L3069">
        <v>526644.12</v>
      </c>
      <c r="M3069">
        <v>62168.81</v>
      </c>
      <c r="N3069">
        <v>0</v>
      </c>
      <c r="O3069">
        <v>464475.31</v>
      </c>
      <c r="P3069" t="s">
        <v>73</v>
      </c>
      <c r="Q3069" t="s">
        <v>26</v>
      </c>
    </row>
    <row r="3070" spans="1:17" x14ac:dyDescent="0.25">
      <c r="A3070" t="s">
        <v>3187</v>
      </c>
      <c r="B3070" s="1">
        <v>46034</v>
      </c>
      <c r="C3070" t="s">
        <v>47</v>
      </c>
      <c r="D3070" t="s">
        <v>48</v>
      </c>
      <c r="E3070" t="s">
        <v>49</v>
      </c>
      <c r="F3070" t="s">
        <v>71</v>
      </c>
      <c r="G3070" t="s">
        <v>63</v>
      </c>
      <c r="H3070" t="s">
        <v>38</v>
      </c>
      <c r="I3070" t="s">
        <v>108</v>
      </c>
      <c r="J3070">
        <v>36</v>
      </c>
      <c r="K3070">
        <v>34595.699999999997</v>
      </c>
      <c r="L3070">
        <v>1245445.2</v>
      </c>
      <c r="M3070">
        <v>0</v>
      </c>
      <c r="N3070">
        <v>0</v>
      </c>
      <c r="O3070">
        <v>1245445.2</v>
      </c>
      <c r="P3070" t="s">
        <v>31</v>
      </c>
      <c r="Q3070" t="s">
        <v>32</v>
      </c>
    </row>
    <row r="3071" spans="1:17" x14ac:dyDescent="0.25">
      <c r="A3071" t="s">
        <v>3188</v>
      </c>
      <c r="B3071" s="1">
        <v>45957</v>
      </c>
      <c r="C3071" t="s">
        <v>79</v>
      </c>
      <c r="D3071" t="s">
        <v>91</v>
      </c>
      <c r="E3071" t="s">
        <v>35</v>
      </c>
      <c r="F3071" t="s">
        <v>71</v>
      </c>
      <c r="G3071" t="s">
        <v>89</v>
      </c>
      <c r="H3071" t="s">
        <v>38</v>
      </c>
      <c r="I3071" t="s">
        <v>108</v>
      </c>
      <c r="J3071">
        <v>38</v>
      </c>
      <c r="K3071">
        <v>34790.21</v>
      </c>
      <c r="L3071">
        <v>1322027.98</v>
      </c>
      <c r="M3071">
        <v>0</v>
      </c>
      <c r="N3071">
        <v>364716</v>
      </c>
      <c r="O3071">
        <v>957311.98</v>
      </c>
      <c r="P3071" t="s">
        <v>32</v>
      </c>
      <c r="Q3071" t="s">
        <v>32</v>
      </c>
    </row>
    <row r="3072" spans="1:17" x14ac:dyDescent="0.25">
      <c r="A3072" t="s">
        <v>3189</v>
      </c>
      <c r="B3072" s="1">
        <v>45994</v>
      </c>
      <c r="C3072" t="s">
        <v>54</v>
      </c>
      <c r="D3072" t="s">
        <v>70</v>
      </c>
      <c r="E3072" t="s">
        <v>41</v>
      </c>
      <c r="F3072" t="s">
        <v>105</v>
      </c>
      <c r="G3072" t="s">
        <v>63</v>
      </c>
      <c r="H3072" t="s">
        <v>57</v>
      </c>
      <c r="I3072" t="s">
        <v>58</v>
      </c>
      <c r="J3072">
        <v>37</v>
      </c>
      <c r="K3072">
        <v>8678.7999999999993</v>
      </c>
      <c r="L3072">
        <v>321115.59999999998</v>
      </c>
      <c r="M3072">
        <v>0</v>
      </c>
      <c r="N3072">
        <v>0</v>
      </c>
      <c r="O3072">
        <v>321115.59999999998</v>
      </c>
      <c r="P3072" t="s">
        <v>32</v>
      </c>
      <c r="Q3072" t="s">
        <v>26</v>
      </c>
    </row>
    <row r="3073" spans="1:17" x14ac:dyDescent="0.25">
      <c r="A3073" t="s">
        <v>3190</v>
      </c>
      <c r="B3073" s="1">
        <v>46015</v>
      </c>
      <c r="C3073" t="s">
        <v>54</v>
      </c>
      <c r="D3073" t="s">
        <v>97</v>
      </c>
      <c r="E3073" t="s">
        <v>41</v>
      </c>
      <c r="F3073" t="s">
        <v>105</v>
      </c>
      <c r="G3073" t="s">
        <v>140</v>
      </c>
      <c r="H3073" t="s">
        <v>38</v>
      </c>
      <c r="I3073" t="s">
        <v>39</v>
      </c>
      <c r="J3073">
        <v>20</v>
      </c>
      <c r="K3073">
        <v>1740.31</v>
      </c>
      <c r="L3073">
        <v>34806.199999999997</v>
      </c>
      <c r="M3073">
        <v>0</v>
      </c>
      <c r="N3073">
        <v>0</v>
      </c>
      <c r="O3073">
        <v>34806.199999999997</v>
      </c>
      <c r="P3073" t="s">
        <v>31</v>
      </c>
      <c r="Q3073" t="s">
        <v>32</v>
      </c>
    </row>
    <row r="3074" spans="1:17" x14ac:dyDescent="0.25">
      <c r="A3074" t="s">
        <v>3191</v>
      </c>
      <c r="B3074" s="1">
        <v>46035</v>
      </c>
      <c r="C3074" t="s">
        <v>79</v>
      </c>
      <c r="D3074" t="s">
        <v>80</v>
      </c>
      <c r="E3074" t="s">
        <v>35</v>
      </c>
      <c r="F3074" t="s">
        <v>36</v>
      </c>
      <c r="G3074" t="s">
        <v>138</v>
      </c>
      <c r="H3074" t="s">
        <v>94</v>
      </c>
      <c r="I3074" t="s">
        <v>177</v>
      </c>
      <c r="J3074">
        <v>26</v>
      </c>
      <c r="K3074">
        <v>49082.15</v>
      </c>
      <c r="L3074">
        <v>1276135.8999999999</v>
      </c>
      <c r="M3074">
        <v>0</v>
      </c>
      <c r="N3074">
        <v>0</v>
      </c>
      <c r="O3074">
        <v>1276135.8999999999</v>
      </c>
      <c r="P3074" t="s">
        <v>32</v>
      </c>
      <c r="Q3074" t="s">
        <v>26</v>
      </c>
    </row>
    <row r="3075" spans="1:17" x14ac:dyDescent="0.25">
      <c r="A3075" t="s">
        <v>3192</v>
      </c>
      <c r="B3075" s="1">
        <v>45999</v>
      </c>
      <c r="C3075" t="s">
        <v>79</v>
      </c>
      <c r="D3075" t="s">
        <v>80</v>
      </c>
      <c r="E3075" t="s">
        <v>20</v>
      </c>
      <c r="F3075" t="s">
        <v>112</v>
      </c>
      <c r="G3075" t="s">
        <v>98</v>
      </c>
      <c r="H3075" t="s">
        <v>44</v>
      </c>
      <c r="I3075" t="s">
        <v>141</v>
      </c>
      <c r="J3075">
        <v>9</v>
      </c>
      <c r="K3075">
        <v>41270.769999999997</v>
      </c>
      <c r="L3075">
        <v>371436.93</v>
      </c>
      <c r="M3075">
        <v>0</v>
      </c>
      <c r="N3075">
        <v>0</v>
      </c>
      <c r="O3075">
        <v>371436.93</v>
      </c>
      <c r="P3075" t="s">
        <v>32</v>
      </c>
      <c r="Q3075" t="s">
        <v>32</v>
      </c>
    </row>
    <row r="3076" spans="1:17" x14ac:dyDescent="0.25">
      <c r="A3076" t="s">
        <v>3193</v>
      </c>
      <c r="B3076" s="1">
        <v>46006</v>
      </c>
      <c r="C3076" t="s">
        <v>18</v>
      </c>
      <c r="D3076" t="s">
        <v>75</v>
      </c>
      <c r="E3076" t="s">
        <v>49</v>
      </c>
      <c r="F3076" t="s">
        <v>36</v>
      </c>
      <c r="G3076" t="s">
        <v>66</v>
      </c>
      <c r="H3076" t="s">
        <v>67</v>
      </c>
      <c r="I3076" t="s">
        <v>103</v>
      </c>
      <c r="J3076">
        <v>50</v>
      </c>
      <c r="K3076">
        <v>1600.99</v>
      </c>
      <c r="L3076">
        <v>80049.5</v>
      </c>
      <c r="M3076">
        <v>0</v>
      </c>
      <c r="N3076">
        <v>0</v>
      </c>
      <c r="O3076">
        <v>80049.5</v>
      </c>
      <c r="P3076" t="s">
        <v>73</v>
      </c>
      <c r="Q3076" t="s">
        <v>32</v>
      </c>
    </row>
    <row r="3077" spans="1:17" x14ac:dyDescent="0.25">
      <c r="A3077" t="s">
        <v>3194</v>
      </c>
      <c r="B3077" s="1">
        <v>45989</v>
      </c>
      <c r="C3077" t="s">
        <v>54</v>
      </c>
      <c r="D3077" t="s">
        <v>70</v>
      </c>
      <c r="E3077" t="s">
        <v>20</v>
      </c>
      <c r="F3077" t="s">
        <v>50</v>
      </c>
      <c r="G3077" t="s">
        <v>43</v>
      </c>
      <c r="H3077" t="s">
        <v>67</v>
      </c>
      <c r="I3077" t="s">
        <v>170</v>
      </c>
      <c r="J3077">
        <v>22</v>
      </c>
      <c r="K3077">
        <v>32951.5</v>
      </c>
      <c r="L3077">
        <v>724933</v>
      </c>
      <c r="M3077">
        <v>36700.19</v>
      </c>
      <c r="N3077">
        <v>0</v>
      </c>
      <c r="O3077">
        <v>688232.81</v>
      </c>
      <c r="P3077" t="s">
        <v>32</v>
      </c>
      <c r="Q3077" t="s">
        <v>26</v>
      </c>
    </row>
    <row r="3078" spans="1:17" x14ac:dyDescent="0.25">
      <c r="A3078" t="s">
        <v>3195</v>
      </c>
      <c r="B3078" s="1">
        <v>45959</v>
      </c>
      <c r="C3078" t="s">
        <v>60</v>
      </c>
      <c r="D3078" t="s">
        <v>65</v>
      </c>
      <c r="E3078" t="s">
        <v>35</v>
      </c>
      <c r="F3078" t="s">
        <v>112</v>
      </c>
      <c r="G3078" t="s">
        <v>140</v>
      </c>
      <c r="H3078" t="s">
        <v>94</v>
      </c>
      <c r="I3078" t="s">
        <v>115</v>
      </c>
      <c r="J3078">
        <v>31</v>
      </c>
      <c r="K3078">
        <v>12382.39</v>
      </c>
      <c r="L3078">
        <v>383854.09</v>
      </c>
      <c r="M3078">
        <v>0</v>
      </c>
      <c r="N3078">
        <v>96652.93</v>
      </c>
      <c r="O3078">
        <v>287201.15999999997</v>
      </c>
      <c r="P3078" t="s">
        <v>73</v>
      </c>
      <c r="Q3078" t="s">
        <v>32</v>
      </c>
    </row>
    <row r="3079" spans="1:17" x14ac:dyDescent="0.25">
      <c r="A3079" t="s">
        <v>3196</v>
      </c>
      <c r="B3079" s="1">
        <v>46027</v>
      </c>
      <c r="C3079" t="s">
        <v>18</v>
      </c>
      <c r="D3079" t="s">
        <v>19</v>
      </c>
      <c r="E3079" t="s">
        <v>41</v>
      </c>
      <c r="F3079" t="s">
        <v>50</v>
      </c>
      <c r="G3079" t="s">
        <v>89</v>
      </c>
      <c r="H3079" t="s">
        <v>94</v>
      </c>
      <c r="I3079" t="s">
        <v>115</v>
      </c>
      <c r="J3079">
        <v>20</v>
      </c>
      <c r="K3079">
        <v>44743.1</v>
      </c>
      <c r="L3079">
        <v>894862</v>
      </c>
      <c r="M3079">
        <v>0</v>
      </c>
      <c r="N3079">
        <v>0</v>
      </c>
      <c r="O3079">
        <v>894862</v>
      </c>
      <c r="P3079" t="s">
        <v>73</v>
      </c>
      <c r="Q3079" t="s">
        <v>32</v>
      </c>
    </row>
    <row r="3080" spans="1:17" x14ac:dyDescent="0.25">
      <c r="A3080" t="s">
        <v>3197</v>
      </c>
      <c r="B3080" s="1">
        <v>46020</v>
      </c>
      <c r="C3080" t="s">
        <v>79</v>
      </c>
      <c r="D3080" t="s">
        <v>91</v>
      </c>
      <c r="E3080" t="s">
        <v>49</v>
      </c>
      <c r="F3080" t="s">
        <v>84</v>
      </c>
      <c r="G3080" t="s">
        <v>63</v>
      </c>
      <c r="H3080" t="s">
        <v>67</v>
      </c>
      <c r="I3080" t="s">
        <v>170</v>
      </c>
      <c r="J3080">
        <v>8</v>
      </c>
      <c r="K3080">
        <v>2073.4899999999998</v>
      </c>
      <c r="L3080">
        <v>16587.919999999998</v>
      </c>
      <c r="M3080">
        <v>823.1</v>
      </c>
      <c r="N3080">
        <v>0</v>
      </c>
      <c r="O3080">
        <v>15764.82</v>
      </c>
      <c r="P3080" t="s">
        <v>73</v>
      </c>
      <c r="Q3080" t="s">
        <v>32</v>
      </c>
    </row>
    <row r="3081" spans="1:17" x14ac:dyDescent="0.25">
      <c r="A3081" t="s">
        <v>3198</v>
      </c>
      <c r="B3081" s="1">
        <v>46041</v>
      </c>
      <c r="C3081" t="s">
        <v>18</v>
      </c>
      <c r="D3081" t="s">
        <v>75</v>
      </c>
      <c r="E3081" t="s">
        <v>20</v>
      </c>
      <c r="F3081" t="s">
        <v>105</v>
      </c>
      <c r="G3081" t="s">
        <v>89</v>
      </c>
      <c r="H3081" t="s">
        <v>57</v>
      </c>
      <c r="I3081" t="s">
        <v>118</v>
      </c>
      <c r="J3081">
        <v>3</v>
      </c>
      <c r="K3081">
        <v>29564.07</v>
      </c>
      <c r="L3081">
        <v>88692.21</v>
      </c>
      <c r="M3081">
        <v>0</v>
      </c>
      <c r="N3081">
        <v>0</v>
      </c>
      <c r="O3081">
        <v>88692.21</v>
      </c>
      <c r="P3081" t="s">
        <v>32</v>
      </c>
      <c r="Q3081" t="s">
        <v>32</v>
      </c>
    </row>
    <row r="3082" spans="1:17" x14ac:dyDescent="0.25">
      <c r="A3082" t="s">
        <v>3199</v>
      </c>
      <c r="B3082" s="1">
        <v>46028</v>
      </c>
      <c r="C3082" t="s">
        <v>47</v>
      </c>
      <c r="D3082" t="s">
        <v>88</v>
      </c>
      <c r="E3082" t="s">
        <v>20</v>
      </c>
      <c r="F3082" t="s">
        <v>112</v>
      </c>
      <c r="G3082" t="s">
        <v>85</v>
      </c>
      <c r="H3082" t="s">
        <v>67</v>
      </c>
      <c r="I3082" t="s">
        <v>77</v>
      </c>
      <c r="J3082">
        <v>7</v>
      </c>
      <c r="K3082">
        <v>37526.65</v>
      </c>
      <c r="L3082">
        <v>262686.55</v>
      </c>
      <c r="M3082">
        <v>0</v>
      </c>
      <c r="N3082">
        <v>0</v>
      </c>
      <c r="O3082">
        <v>262686.55</v>
      </c>
      <c r="P3082" t="s">
        <v>25</v>
      </c>
      <c r="Q3082" t="s">
        <v>32</v>
      </c>
    </row>
    <row r="3083" spans="1:17" x14ac:dyDescent="0.25">
      <c r="A3083" t="s">
        <v>3200</v>
      </c>
      <c r="B3083" s="1">
        <v>45995</v>
      </c>
      <c r="C3083" t="s">
        <v>47</v>
      </c>
      <c r="D3083" t="s">
        <v>48</v>
      </c>
      <c r="E3083" t="s">
        <v>49</v>
      </c>
      <c r="F3083" t="s">
        <v>112</v>
      </c>
      <c r="G3083" t="s">
        <v>102</v>
      </c>
      <c r="H3083" t="s">
        <v>94</v>
      </c>
      <c r="I3083" t="s">
        <v>177</v>
      </c>
      <c r="J3083">
        <v>50</v>
      </c>
      <c r="K3083">
        <v>20242.919999999998</v>
      </c>
      <c r="L3083">
        <v>1012146</v>
      </c>
      <c r="M3083">
        <v>0</v>
      </c>
      <c r="N3083">
        <v>0</v>
      </c>
      <c r="O3083">
        <v>1012146</v>
      </c>
      <c r="P3083" t="s">
        <v>25</v>
      </c>
      <c r="Q3083" t="s">
        <v>26</v>
      </c>
    </row>
    <row r="3084" spans="1:17" x14ac:dyDescent="0.25">
      <c r="A3084" t="s">
        <v>3201</v>
      </c>
      <c r="B3084" s="1">
        <v>45982</v>
      </c>
      <c r="C3084" t="s">
        <v>60</v>
      </c>
      <c r="D3084" t="s">
        <v>61</v>
      </c>
      <c r="E3084" t="s">
        <v>49</v>
      </c>
      <c r="F3084" t="s">
        <v>137</v>
      </c>
      <c r="G3084" t="s">
        <v>56</v>
      </c>
      <c r="H3084" t="s">
        <v>44</v>
      </c>
      <c r="I3084" t="s">
        <v>281</v>
      </c>
      <c r="J3084">
        <v>6</v>
      </c>
      <c r="K3084">
        <v>24165.13</v>
      </c>
      <c r="L3084">
        <v>144990.78</v>
      </c>
      <c r="M3084">
        <v>2995.86</v>
      </c>
      <c r="N3084">
        <v>0</v>
      </c>
      <c r="O3084">
        <v>141994.92000000001</v>
      </c>
      <c r="P3084" t="s">
        <v>31</v>
      </c>
      <c r="Q3084" t="s">
        <v>32</v>
      </c>
    </row>
    <row r="3085" spans="1:17" x14ac:dyDescent="0.25">
      <c r="A3085" t="s">
        <v>3202</v>
      </c>
      <c r="B3085" s="1">
        <v>46003</v>
      </c>
      <c r="C3085" t="s">
        <v>79</v>
      </c>
      <c r="D3085" t="s">
        <v>107</v>
      </c>
      <c r="E3085" t="s">
        <v>49</v>
      </c>
      <c r="F3085" t="s">
        <v>21</v>
      </c>
      <c r="G3085" t="s">
        <v>51</v>
      </c>
      <c r="H3085" t="s">
        <v>23</v>
      </c>
      <c r="I3085" t="s">
        <v>24</v>
      </c>
      <c r="J3085">
        <v>4</v>
      </c>
      <c r="K3085">
        <v>30395.53</v>
      </c>
      <c r="L3085">
        <v>121582.12</v>
      </c>
      <c r="M3085">
        <v>0</v>
      </c>
      <c r="N3085">
        <v>0</v>
      </c>
      <c r="O3085">
        <v>121582.12</v>
      </c>
      <c r="P3085" t="s">
        <v>32</v>
      </c>
      <c r="Q3085" t="s">
        <v>26</v>
      </c>
    </row>
    <row r="3086" spans="1:17" x14ac:dyDescent="0.25">
      <c r="A3086" t="s">
        <v>3203</v>
      </c>
      <c r="B3086" s="1">
        <v>45993</v>
      </c>
      <c r="C3086" t="s">
        <v>54</v>
      </c>
      <c r="D3086" t="s">
        <v>133</v>
      </c>
      <c r="E3086" t="s">
        <v>41</v>
      </c>
      <c r="F3086" t="s">
        <v>62</v>
      </c>
      <c r="G3086" t="s">
        <v>37</v>
      </c>
      <c r="H3086" t="s">
        <v>57</v>
      </c>
      <c r="I3086" t="s">
        <v>92</v>
      </c>
      <c r="J3086">
        <v>21</v>
      </c>
      <c r="K3086">
        <v>44527.79</v>
      </c>
      <c r="L3086">
        <v>935083.59</v>
      </c>
      <c r="M3086">
        <v>25274.92</v>
      </c>
      <c r="N3086">
        <v>0</v>
      </c>
      <c r="O3086">
        <v>909808.67</v>
      </c>
      <c r="P3086" t="s">
        <v>31</v>
      </c>
      <c r="Q3086" t="s">
        <v>32</v>
      </c>
    </row>
    <row r="3087" spans="1:17" x14ac:dyDescent="0.25">
      <c r="A3087" t="s">
        <v>3204</v>
      </c>
      <c r="B3087" s="1">
        <v>45972</v>
      </c>
      <c r="C3087" t="s">
        <v>60</v>
      </c>
      <c r="D3087" t="s">
        <v>123</v>
      </c>
      <c r="E3087" t="s">
        <v>35</v>
      </c>
      <c r="F3087" t="s">
        <v>112</v>
      </c>
      <c r="G3087" t="s">
        <v>22</v>
      </c>
      <c r="H3087" t="s">
        <v>67</v>
      </c>
      <c r="I3087" t="s">
        <v>68</v>
      </c>
      <c r="J3087">
        <v>13</v>
      </c>
      <c r="K3087">
        <v>47246.68</v>
      </c>
      <c r="L3087">
        <v>614206.84</v>
      </c>
      <c r="M3087">
        <v>89663.95</v>
      </c>
      <c r="N3087">
        <v>0</v>
      </c>
      <c r="O3087">
        <v>524542.89</v>
      </c>
      <c r="P3087" t="s">
        <v>32</v>
      </c>
      <c r="Q3087" t="s">
        <v>32</v>
      </c>
    </row>
    <row r="3088" spans="1:17" x14ac:dyDescent="0.25">
      <c r="A3088" t="s">
        <v>3205</v>
      </c>
      <c r="B3088" s="1">
        <v>45978</v>
      </c>
      <c r="C3088" t="s">
        <v>47</v>
      </c>
      <c r="D3088" t="s">
        <v>48</v>
      </c>
      <c r="E3088" t="s">
        <v>20</v>
      </c>
      <c r="F3088" t="s">
        <v>137</v>
      </c>
      <c r="G3088" t="s">
        <v>85</v>
      </c>
      <c r="H3088" t="s">
        <v>38</v>
      </c>
      <c r="I3088" t="s">
        <v>86</v>
      </c>
      <c r="J3088">
        <v>8</v>
      </c>
      <c r="K3088">
        <v>29740.67</v>
      </c>
      <c r="L3088">
        <v>237925.36</v>
      </c>
      <c r="M3088">
        <v>0</v>
      </c>
      <c r="N3088">
        <v>0</v>
      </c>
      <c r="O3088">
        <v>237925.36</v>
      </c>
      <c r="P3088" t="s">
        <v>73</v>
      </c>
      <c r="Q3088" t="s">
        <v>32</v>
      </c>
    </row>
    <row r="3089" spans="1:17" x14ac:dyDescent="0.25">
      <c r="A3089" t="s">
        <v>3206</v>
      </c>
      <c r="B3089" s="1">
        <v>46000</v>
      </c>
      <c r="C3089" t="s">
        <v>47</v>
      </c>
      <c r="D3089" t="s">
        <v>127</v>
      </c>
      <c r="E3089" t="s">
        <v>41</v>
      </c>
      <c r="F3089" t="s">
        <v>50</v>
      </c>
      <c r="G3089" t="s">
        <v>81</v>
      </c>
      <c r="H3089" t="s">
        <v>44</v>
      </c>
      <c r="I3089" t="s">
        <v>135</v>
      </c>
      <c r="J3089">
        <v>43</v>
      </c>
      <c r="K3089">
        <v>40995.46</v>
      </c>
      <c r="L3089">
        <v>1762804.78</v>
      </c>
      <c r="M3089">
        <v>12629.68</v>
      </c>
      <c r="N3089">
        <v>0</v>
      </c>
      <c r="O3089">
        <v>1750175.1</v>
      </c>
      <c r="P3089" t="s">
        <v>31</v>
      </c>
      <c r="Q3089" t="s">
        <v>32</v>
      </c>
    </row>
    <row r="3090" spans="1:17" x14ac:dyDescent="0.25">
      <c r="A3090" t="s">
        <v>3207</v>
      </c>
      <c r="B3090" s="1">
        <v>45966</v>
      </c>
      <c r="C3090" t="s">
        <v>60</v>
      </c>
      <c r="D3090" t="s">
        <v>151</v>
      </c>
      <c r="E3090" t="s">
        <v>49</v>
      </c>
      <c r="F3090" t="s">
        <v>84</v>
      </c>
      <c r="G3090" t="s">
        <v>89</v>
      </c>
      <c r="H3090" t="s">
        <v>23</v>
      </c>
      <c r="I3090" t="s">
        <v>30</v>
      </c>
      <c r="J3090">
        <v>36</v>
      </c>
      <c r="K3090">
        <v>40129.69</v>
      </c>
      <c r="L3090">
        <v>1444668.84</v>
      </c>
      <c r="M3090">
        <v>0</v>
      </c>
      <c r="N3090">
        <v>0</v>
      </c>
      <c r="O3090">
        <v>1444668.84</v>
      </c>
      <c r="P3090" t="s">
        <v>32</v>
      </c>
      <c r="Q3090" t="s">
        <v>32</v>
      </c>
    </row>
    <row r="3091" spans="1:17" x14ac:dyDescent="0.25">
      <c r="A3091" t="s">
        <v>3208</v>
      </c>
      <c r="B3091" s="1">
        <v>46026</v>
      </c>
      <c r="C3091" t="s">
        <v>60</v>
      </c>
      <c r="D3091" t="s">
        <v>65</v>
      </c>
      <c r="E3091" t="s">
        <v>41</v>
      </c>
      <c r="F3091" t="s">
        <v>42</v>
      </c>
      <c r="G3091" t="s">
        <v>98</v>
      </c>
      <c r="H3091" t="s">
        <v>67</v>
      </c>
      <c r="I3091" t="s">
        <v>201</v>
      </c>
      <c r="J3091">
        <v>50</v>
      </c>
      <c r="K3091">
        <v>35984.269999999997</v>
      </c>
      <c r="L3091">
        <v>1799213.5</v>
      </c>
      <c r="M3091">
        <v>283327.2</v>
      </c>
      <c r="N3091">
        <v>0</v>
      </c>
      <c r="O3091">
        <v>1515886.3</v>
      </c>
      <c r="P3091" t="s">
        <v>32</v>
      </c>
      <c r="Q3091" t="s">
        <v>32</v>
      </c>
    </row>
    <row r="3092" spans="1:17" x14ac:dyDescent="0.25">
      <c r="A3092" t="s">
        <v>3209</v>
      </c>
      <c r="B3092" s="1">
        <v>45959</v>
      </c>
      <c r="C3092" t="s">
        <v>79</v>
      </c>
      <c r="D3092" t="s">
        <v>101</v>
      </c>
      <c r="E3092" t="s">
        <v>35</v>
      </c>
      <c r="F3092" t="s">
        <v>50</v>
      </c>
      <c r="G3092" t="s">
        <v>63</v>
      </c>
      <c r="H3092" t="s">
        <v>23</v>
      </c>
      <c r="I3092" t="s">
        <v>99</v>
      </c>
      <c r="J3092">
        <v>36</v>
      </c>
      <c r="K3092">
        <v>18066.7</v>
      </c>
      <c r="L3092">
        <v>650401.19999999995</v>
      </c>
      <c r="M3092">
        <v>0</v>
      </c>
      <c r="N3092">
        <v>0</v>
      </c>
      <c r="O3092">
        <v>650401.19999999995</v>
      </c>
      <c r="P3092" t="s">
        <v>32</v>
      </c>
      <c r="Q3092" t="s">
        <v>32</v>
      </c>
    </row>
    <row r="3093" spans="1:17" x14ac:dyDescent="0.25">
      <c r="A3093" t="s">
        <v>3210</v>
      </c>
      <c r="B3093" s="1">
        <v>45987</v>
      </c>
      <c r="C3093" t="s">
        <v>18</v>
      </c>
      <c r="D3093" t="s">
        <v>34</v>
      </c>
      <c r="E3093" t="s">
        <v>20</v>
      </c>
      <c r="F3093" t="s">
        <v>21</v>
      </c>
      <c r="G3093" t="s">
        <v>43</v>
      </c>
      <c r="H3093" t="s">
        <v>44</v>
      </c>
      <c r="I3093" t="s">
        <v>141</v>
      </c>
      <c r="J3093">
        <v>22</v>
      </c>
      <c r="K3093">
        <v>15020.2</v>
      </c>
      <c r="L3093">
        <v>330444.40000000002</v>
      </c>
      <c r="M3093">
        <v>12861.42</v>
      </c>
      <c r="N3093">
        <v>0</v>
      </c>
      <c r="O3093">
        <v>317582.98</v>
      </c>
      <c r="P3093" t="s">
        <v>25</v>
      </c>
      <c r="Q3093" t="s">
        <v>32</v>
      </c>
    </row>
    <row r="3094" spans="1:17" x14ac:dyDescent="0.25">
      <c r="A3094" t="s">
        <v>3211</v>
      </c>
      <c r="B3094" s="1">
        <v>46015</v>
      </c>
      <c r="C3094" t="s">
        <v>54</v>
      </c>
      <c r="D3094" t="s">
        <v>70</v>
      </c>
      <c r="E3094" t="s">
        <v>35</v>
      </c>
      <c r="F3094" t="s">
        <v>42</v>
      </c>
      <c r="G3094" t="s">
        <v>29</v>
      </c>
      <c r="H3094" t="s">
        <v>94</v>
      </c>
      <c r="I3094" t="s">
        <v>177</v>
      </c>
      <c r="J3094">
        <v>34</v>
      </c>
      <c r="K3094">
        <v>24083.27</v>
      </c>
      <c r="L3094">
        <v>818831.18</v>
      </c>
      <c r="M3094">
        <v>139559.35</v>
      </c>
      <c r="N3094">
        <v>0</v>
      </c>
      <c r="O3094">
        <v>679271.83</v>
      </c>
      <c r="P3094" t="s">
        <v>73</v>
      </c>
      <c r="Q3094" t="s">
        <v>26</v>
      </c>
    </row>
    <row r="3095" spans="1:17" x14ac:dyDescent="0.25">
      <c r="A3095" t="s">
        <v>3212</v>
      </c>
      <c r="B3095" s="1">
        <v>46045</v>
      </c>
      <c r="C3095" t="s">
        <v>60</v>
      </c>
      <c r="D3095" t="s">
        <v>123</v>
      </c>
      <c r="E3095" t="s">
        <v>20</v>
      </c>
      <c r="F3095" t="s">
        <v>36</v>
      </c>
      <c r="G3095" t="s">
        <v>140</v>
      </c>
      <c r="H3095" t="s">
        <v>38</v>
      </c>
      <c r="I3095" t="s">
        <v>86</v>
      </c>
      <c r="J3095">
        <v>1</v>
      </c>
      <c r="K3095">
        <v>32877.35</v>
      </c>
      <c r="L3095">
        <v>32877.35</v>
      </c>
      <c r="M3095">
        <v>0</v>
      </c>
      <c r="N3095">
        <v>0</v>
      </c>
      <c r="O3095">
        <v>32877.35</v>
      </c>
      <c r="P3095" t="s">
        <v>32</v>
      </c>
      <c r="Q3095" t="s">
        <v>32</v>
      </c>
    </row>
    <row r="3096" spans="1:17" x14ac:dyDescent="0.25">
      <c r="A3096" t="s">
        <v>3213</v>
      </c>
      <c r="B3096" s="1">
        <v>45967</v>
      </c>
      <c r="C3096" t="s">
        <v>79</v>
      </c>
      <c r="D3096" t="s">
        <v>107</v>
      </c>
      <c r="E3096" t="s">
        <v>49</v>
      </c>
      <c r="F3096" t="s">
        <v>36</v>
      </c>
      <c r="G3096" t="s">
        <v>85</v>
      </c>
      <c r="H3096" t="s">
        <v>57</v>
      </c>
      <c r="I3096" t="s">
        <v>148</v>
      </c>
      <c r="J3096">
        <v>35</v>
      </c>
      <c r="K3096">
        <v>46078.62</v>
      </c>
      <c r="L3096">
        <v>1612751.7</v>
      </c>
      <c r="M3096">
        <v>67198.899999999994</v>
      </c>
      <c r="N3096">
        <v>0</v>
      </c>
      <c r="O3096">
        <v>1545552.8</v>
      </c>
      <c r="P3096" t="s">
        <v>32</v>
      </c>
      <c r="Q3096" t="s">
        <v>32</v>
      </c>
    </row>
    <row r="3097" spans="1:17" x14ac:dyDescent="0.25">
      <c r="A3097" t="s">
        <v>3214</v>
      </c>
      <c r="B3097" s="1">
        <v>45988</v>
      </c>
      <c r="C3097" t="s">
        <v>79</v>
      </c>
      <c r="D3097" t="s">
        <v>101</v>
      </c>
      <c r="E3097" t="s">
        <v>41</v>
      </c>
      <c r="F3097" t="s">
        <v>42</v>
      </c>
      <c r="G3097" t="s">
        <v>138</v>
      </c>
      <c r="H3097" t="s">
        <v>23</v>
      </c>
      <c r="I3097" t="s">
        <v>131</v>
      </c>
      <c r="J3097">
        <v>31</v>
      </c>
      <c r="K3097">
        <v>14141.23</v>
      </c>
      <c r="L3097">
        <v>438378.13</v>
      </c>
      <c r="M3097">
        <v>11212.36</v>
      </c>
      <c r="N3097">
        <v>123897.39</v>
      </c>
      <c r="O3097">
        <v>303268.38</v>
      </c>
      <c r="P3097" t="s">
        <v>32</v>
      </c>
      <c r="Q3097" t="s">
        <v>26</v>
      </c>
    </row>
    <row r="3098" spans="1:17" x14ac:dyDescent="0.25">
      <c r="A3098" t="s">
        <v>3215</v>
      </c>
      <c r="B3098" s="1">
        <v>46038</v>
      </c>
      <c r="C3098" t="s">
        <v>79</v>
      </c>
      <c r="D3098" t="s">
        <v>91</v>
      </c>
      <c r="E3098" t="s">
        <v>35</v>
      </c>
      <c r="F3098" t="s">
        <v>42</v>
      </c>
      <c r="G3098" t="s">
        <v>56</v>
      </c>
      <c r="H3098" t="s">
        <v>57</v>
      </c>
      <c r="I3098" t="s">
        <v>148</v>
      </c>
      <c r="J3098">
        <v>37</v>
      </c>
      <c r="K3098">
        <v>34787.35</v>
      </c>
      <c r="L3098">
        <v>1287131.95</v>
      </c>
      <c r="M3098">
        <v>26869.85</v>
      </c>
      <c r="N3098">
        <v>0</v>
      </c>
      <c r="O3098">
        <v>1260262.1000000001</v>
      </c>
      <c r="P3098" t="s">
        <v>32</v>
      </c>
      <c r="Q3098" t="s">
        <v>26</v>
      </c>
    </row>
    <row r="3099" spans="1:17" x14ac:dyDescent="0.25">
      <c r="A3099" t="s">
        <v>3216</v>
      </c>
      <c r="B3099" s="1">
        <v>45993</v>
      </c>
      <c r="C3099" t="s">
        <v>47</v>
      </c>
      <c r="D3099" t="s">
        <v>88</v>
      </c>
      <c r="E3099" t="s">
        <v>49</v>
      </c>
      <c r="F3099" t="s">
        <v>50</v>
      </c>
      <c r="G3099" t="s">
        <v>98</v>
      </c>
      <c r="H3099" t="s">
        <v>57</v>
      </c>
      <c r="I3099" t="s">
        <v>58</v>
      </c>
      <c r="J3099">
        <v>39</v>
      </c>
      <c r="K3099">
        <v>29035.02</v>
      </c>
      <c r="L3099">
        <v>1132365.78</v>
      </c>
      <c r="M3099">
        <v>0</v>
      </c>
      <c r="N3099">
        <v>0</v>
      </c>
      <c r="O3099">
        <v>1132365.78</v>
      </c>
      <c r="P3099" t="s">
        <v>32</v>
      </c>
      <c r="Q3099" t="s">
        <v>32</v>
      </c>
    </row>
    <row r="3100" spans="1:17" x14ac:dyDescent="0.25">
      <c r="A3100" t="s">
        <v>3217</v>
      </c>
      <c r="B3100" s="1">
        <v>46036</v>
      </c>
      <c r="C3100" t="s">
        <v>60</v>
      </c>
      <c r="D3100" t="s">
        <v>61</v>
      </c>
      <c r="E3100" t="s">
        <v>20</v>
      </c>
      <c r="F3100" t="s">
        <v>50</v>
      </c>
      <c r="G3100" t="s">
        <v>37</v>
      </c>
      <c r="H3100" t="s">
        <v>44</v>
      </c>
      <c r="I3100" t="s">
        <v>135</v>
      </c>
      <c r="J3100">
        <v>8</v>
      </c>
      <c r="K3100">
        <v>33998.78</v>
      </c>
      <c r="L3100">
        <v>271990.24</v>
      </c>
      <c r="M3100">
        <v>0</v>
      </c>
      <c r="N3100">
        <v>22601.11</v>
      </c>
      <c r="O3100">
        <v>249389.13</v>
      </c>
      <c r="P3100" t="s">
        <v>25</v>
      </c>
      <c r="Q3100" t="s">
        <v>26</v>
      </c>
    </row>
    <row r="3101" spans="1:17" x14ac:dyDescent="0.25">
      <c r="A3101" t="s">
        <v>3218</v>
      </c>
      <c r="B3101" s="1">
        <v>45988</v>
      </c>
      <c r="C3101" t="s">
        <v>79</v>
      </c>
      <c r="D3101" t="s">
        <v>107</v>
      </c>
      <c r="E3101" t="s">
        <v>49</v>
      </c>
      <c r="F3101" t="s">
        <v>42</v>
      </c>
      <c r="G3101" t="s">
        <v>29</v>
      </c>
      <c r="H3101" t="s">
        <v>44</v>
      </c>
      <c r="I3101" t="s">
        <v>124</v>
      </c>
      <c r="J3101">
        <v>20</v>
      </c>
      <c r="K3101">
        <v>40525.43</v>
      </c>
      <c r="L3101">
        <v>810508.6</v>
      </c>
      <c r="M3101">
        <v>0</v>
      </c>
      <c r="N3101">
        <v>0</v>
      </c>
      <c r="O3101">
        <v>810508.6</v>
      </c>
      <c r="P3101" t="s">
        <v>25</v>
      </c>
      <c r="Q3101" t="s">
        <v>26</v>
      </c>
    </row>
    <row r="3102" spans="1:17" x14ac:dyDescent="0.25">
      <c r="A3102" t="s">
        <v>3219</v>
      </c>
      <c r="B3102" s="1">
        <v>46029</v>
      </c>
      <c r="C3102" t="s">
        <v>47</v>
      </c>
      <c r="D3102" t="s">
        <v>127</v>
      </c>
      <c r="E3102" t="s">
        <v>20</v>
      </c>
      <c r="F3102" t="s">
        <v>112</v>
      </c>
      <c r="G3102" t="s">
        <v>138</v>
      </c>
      <c r="H3102" t="s">
        <v>94</v>
      </c>
      <c r="I3102" t="s">
        <v>177</v>
      </c>
      <c r="J3102">
        <v>36</v>
      </c>
      <c r="K3102">
        <v>13378.03</v>
      </c>
      <c r="L3102">
        <v>481609.08</v>
      </c>
      <c r="M3102">
        <v>0</v>
      </c>
      <c r="N3102">
        <v>0</v>
      </c>
      <c r="O3102">
        <v>481609.08</v>
      </c>
      <c r="P3102" t="s">
        <v>73</v>
      </c>
      <c r="Q3102" t="s">
        <v>26</v>
      </c>
    </row>
    <row r="3103" spans="1:17" x14ac:dyDescent="0.25">
      <c r="A3103" t="s">
        <v>3220</v>
      </c>
      <c r="B3103" s="1">
        <v>45984</v>
      </c>
      <c r="C3103" t="s">
        <v>47</v>
      </c>
      <c r="D3103" t="s">
        <v>127</v>
      </c>
      <c r="E3103" t="s">
        <v>49</v>
      </c>
      <c r="F3103" t="s">
        <v>105</v>
      </c>
      <c r="G3103" t="s">
        <v>138</v>
      </c>
      <c r="H3103" t="s">
        <v>38</v>
      </c>
      <c r="I3103" t="s">
        <v>39</v>
      </c>
      <c r="J3103">
        <v>7</v>
      </c>
      <c r="K3103">
        <v>25349.29</v>
      </c>
      <c r="L3103">
        <v>177445.03</v>
      </c>
      <c r="M3103">
        <v>23383.96</v>
      </c>
      <c r="N3103">
        <v>0</v>
      </c>
      <c r="O3103">
        <v>154061.07</v>
      </c>
      <c r="P3103" t="s">
        <v>73</v>
      </c>
      <c r="Q3103" t="s">
        <v>26</v>
      </c>
    </row>
    <row r="3104" spans="1:17" x14ac:dyDescent="0.25">
      <c r="A3104" t="s">
        <v>3221</v>
      </c>
      <c r="B3104" s="1">
        <v>45981</v>
      </c>
      <c r="C3104" t="s">
        <v>60</v>
      </c>
      <c r="D3104" t="s">
        <v>65</v>
      </c>
      <c r="E3104" t="s">
        <v>49</v>
      </c>
      <c r="F3104" t="s">
        <v>36</v>
      </c>
      <c r="G3104" t="s">
        <v>98</v>
      </c>
      <c r="H3104" t="s">
        <v>23</v>
      </c>
      <c r="I3104" t="s">
        <v>24</v>
      </c>
      <c r="J3104">
        <v>26</v>
      </c>
      <c r="K3104">
        <v>6094.29</v>
      </c>
      <c r="L3104">
        <v>158451.54</v>
      </c>
      <c r="M3104">
        <v>16621.2</v>
      </c>
      <c r="N3104">
        <v>0</v>
      </c>
      <c r="O3104">
        <v>141830.34</v>
      </c>
      <c r="P3104" t="s">
        <v>25</v>
      </c>
      <c r="Q3104" t="s">
        <v>26</v>
      </c>
    </row>
    <row r="3105" spans="1:17" x14ac:dyDescent="0.25">
      <c r="A3105" t="s">
        <v>3222</v>
      </c>
      <c r="B3105" s="1">
        <v>46001</v>
      </c>
      <c r="C3105" t="s">
        <v>79</v>
      </c>
      <c r="D3105" t="s">
        <v>80</v>
      </c>
      <c r="E3105" t="s">
        <v>20</v>
      </c>
      <c r="F3105" t="s">
        <v>50</v>
      </c>
      <c r="G3105" t="s">
        <v>43</v>
      </c>
      <c r="H3105" t="s">
        <v>23</v>
      </c>
      <c r="I3105" t="s">
        <v>30</v>
      </c>
      <c r="J3105">
        <v>25</v>
      </c>
      <c r="K3105">
        <v>17311.48</v>
      </c>
      <c r="L3105">
        <v>432787</v>
      </c>
      <c r="M3105">
        <v>52752.959999999999</v>
      </c>
      <c r="N3105">
        <v>0</v>
      </c>
      <c r="O3105">
        <v>380034.04</v>
      </c>
      <c r="P3105" t="s">
        <v>31</v>
      </c>
      <c r="Q3105" t="s">
        <v>32</v>
      </c>
    </row>
    <row r="3106" spans="1:17" x14ac:dyDescent="0.25">
      <c r="A3106" t="s">
        <v>3223</v>
      </c>
      <c r="B3106" s="1">
        <v>46007</v>
      </c>
      <c r="C3106" t="s">
        <v>60</v>
      </c>
      <c r="D3106" t="s">
        <v>65</v>
      </c>
      <c r="E3106" t="s">
        <v>41</v>
      </c>
      <c r="F3106" t="s">
        <v>71</v>
      </c>
      <c r="G3106" t="s">
        <v>22</v>
      </c>
      <c r="H3106" t="s">
        <v>94</v>
      </c>
      <c r="I3106" t="s">
        <v>163</v>
      </c>
      <c r="J3106">
        <v>8</v>
      </c>
      <c r="K3106">
        <v>16693.05</v>
      </c>
      <c r="L3106">
        <v>133544.4</v>
      </c>
      <c r="M3106">
        <v>21511.360000000001</v>
      </c>
      <c r="N3106">
        <v>0</v>
      </c>
      <c r="O3106">
        <v>112033.04</v>
      </c>
      <c r="P3106" t="s">
        <v>73</v>
      </c>
      <c r="Q3106" t="s">
        <v>32</v>
      </c>
    </row>
    <row r="3107" spans="1:17" x14ac:dyDescent="0.25">
      <c r="A3107" t="s">
        <v>3224</v>
      </c>
      <c r="B3107" s="1">
        <v>46044</v>
      </c>
      <c r="C3107" t="s">
        <v>79</v>
      </c>
      <c r="D3107" t="s">
        <v>107</v>
      </c>
      <c r="E3107" t="s">
        <v>20</v>
      </c>
      <c r="F3107" t="s">
        <v>21</v>
      </c>
      <c r="G3107" t="s">
        <v>102</v>
      </c>
      <c r="H3107" t="s">
        <v>23</v>
      </c>
      <c r="I3107" t="s">
        <v>99</v>
      </c>
      <c r="J3107">
        <v>27</v>
      </c>
      <c r="K3107">
        <v>45078.13</v>
      </c>
      <c r="L3107">
        <v>1217109.51</v>
      </c>
      <c r="M3107">
        <v>0</v>
      </c>
      <c r="N3107">
        <v>0</v>
      </c>
      <c r="O3107">
        <v>1217109.51</v>
      </c>
      <c r="P3107" t="s">
        <v>32</v>
      </c>
      <c r="Q3107" t="s">
        <v>32</v>
      </c>
    </row>
    <row r="3108" spans="1:17" x14ac:dyDescent="0.25">
      <c r="A3108" t="s">
        <v>3225</v>
      </c>
      <c r="B3108" s="1">
        <v>46015</v>
      </c>
      <c r="C3108" t="s">
        <v>54</v>
      </c>
      <c r="D3108" t="s">
        <v>55</v>
      </c>
      <c r="E3108" t="s">
        <v>49</v>
      </c>
      <c r="F3108" t="s">
        <v>71</v>
      </c>
      <c r="G3108" t="s">
        <v>140</v>
      </c>
      <c r="H3108" t="s">
        <v>67</v>
      </c>
      <c r="I3108" t="s">
        <v>201</v>
      </c>
      <c r="J3108">
        <v>6</v>
      </c>
      <c r="K3108">
        <v>14686.69</v>
      </c>
      <c r="L3108">
        <v>88120.14</v>
      </c>
      <c r="M3108">
        <v>6276.55</v>
      </c>
      <c r="N3108">
        <v>0</v>
      </c>
      <c r="O3108">
        <v>81843.59</v>
      </c>
      <c r="P3108" t="s">
        <v>32</v>
      </c>
      <c r="Q3108" t="s">
        <v>32</v>
      </c>
    </row>
    <row r="3109" spans="1:17" x14ac:dyDescent="0.25">
      <c r="A3109" t="s">
        <v>3226</v>
      </c>
      <c r="B3109" s="1">
        <v>46036</v>
      </c>
      <c r="C3109" t="s">
        <v>47</v>
      </c>
      <c r="D3109" t="s">
        <v>88</v>
      </c>
      <c r="E3109" t="s">
        <v>20</v>
      </c>
      <c r="F3109" t="s">
        <v>112</v>
      </c>
      <c r="G3109" t="s">
        <v>29</v>
      </c>
      <c r="H3109" t="s">
        <v>38</v>
      </c>
      <c r="I3109" t="s">
        <v>82</v>
      </c>
      <c r="J3109">
        <v>18</v>
      </c>
      <c r="K3109">
        <v>25903.75</v>
      </c>
      <c r="L3109">
        <v>466267.5</v>
      </c>
      <c r="M3109">
        <v>0</v>
      </c>
      <c r="N3109">
        <v>68330.559999999998</v>
      </c>
      <c r="O3109">
        <v>397936.94</v>
      </c>
      <c r="P3109" t="s">
        <v>25</v>
      </c>
      <c r="Q3109" t="s">
        <v>26</v>
      </c>
    </row>
    <row r="3110" spans="1:17" x14ac:dyDescent="0.25">
      <c r="A3110" t="s">
        <v>3227</v>
      </c>
      <c r="B3110" s="1">
        <v>46026</v>
      </c>
      <c r="C3110" t="s">
        <v>79</v>
      </c>
      <c r="D3110" t="s">
        <v>101</v>
      </c>
      <c r="E3110" t="s">
        <v>20</v>
      </c>
      <c r="F3110" t="s">
        <v>112</v>
      </c>
      <c r="G3110" t="s">
        <v>66</v>
      </c>
      <c r="H3110" t="s">
        <v>67</v>
      </c>
      <c r="I3110" t="s">
        <v>170</v>
      </c>
      <c r="J3110">
        <v>2</v>
      </c>
      <c r="K3110">
        <v>12487.42</v>
      </c>
      <c r="L3110">
        <v>24974.84</v>
      </c>
      <c r="M3110">
        <v>0</v>
      </c>
      <c r="N3110">
        <v>0</v>
      </c>
      <c r="O3110">
        <v>24974.84</v>
      </c>
      <c r="P3110" t="s">
        <v>31</v>
      </c>
      <c r="Q3110" t="s">
        <v>32</v>
      </c>
    </row>
    <row r="3111" spans="1:17" x14ac:dyDescent="0.25">
      <c r="A3111" t="s">
        <v>3228</v>
      </c>
      <c r="B3111" s="1">
        <v>45995</v>
      </c>
      <c r="C3111" t="s">
        <v>79</v>
      </c>
      <c r="D3111" t="s">
        <v>91</v>
      </c>
      <c r="E3111" t="s">
        <v>20</v>
      </c>
      <c r="F3111" t="s">
        <v>112</v>
      </c>
      <c r="G3111" t="s">
        <v>43</v>
      </c>
      <c r="H3111" t="s">
        <v>38</v>
      </c>
      <c r="I3111" t="s">
        <v>86</v>
      </c>
      <c r="J3111">
        <v>38</v>
      </c>
      <c r="K3111">
        <v>5324.75</v>
      </c>
      <c r="L3111">
        <v>202340.5</v>
      </c>
      <c r="M3111">
        <v>25548.52</v>
      </c>
      <c r="N3111">
        <v>0</v>
      </c>
      <c r="O3111">
        <v>176791.98</v>
      </c>
      <c r="P3111" t="s">
        <v>31</v>
      </c>
      <c r="Q3111" t="s">
        <v>32</v>
      </c>
    </row>
    <row r="3112" spans="1:17" x14ac:dyDescent="0.25">
      <c r="A3112" t="s">
        <v>3229</v>
      </c>
      <c r="B3112" s="1">
        <v>46042</v>
      </c>
      <c r="C3112" t="s">
        <v>79</v>
      </c>
      <c r="D3112" t="s">
        <v>80</v>
      </c>
      <c r="E3112" t="s">
        <v>49</v>
      </c>
      <c r="F3112" t="s">
        <v>71</v>
      </c>
      <c r="G3112" t="s">
        <v>138</v>
      </c>
      <c r="H3112" t="s">
        <v>23</v>
      </c>
      <c r="I3112" t="s">
        <v>52</v>
      </c>
      <c r="J3112">
        <v>2</v>
      </c>
      <c r="K3112">
        <v>4164.8</v>
      </c>
      <c r="L3112">
        <v>8329.6</v>
      </c>
      <c r="M3112">
        <v>0</v>
      </c>
      <c r="N3112">
        <v>0</v>
      </c>
      <c r="O3112">
        <v>8329.6</v>
      </c>
      <c r="P3112" t="s">
        <v>73</v>
      </c>
      <c r="Q3112" t="s">
        <v>32</v>
      </c>
    </row>
    <row r="3113" spans="1:17" x14ac:dyDescent="0.25">
      <c r="A3113" t="s">
        <v>3230</v>
      </c>
      <c r="B3113" s="1">
        <v>45957</v>
      </c>
      <c r="C3113" t="s">
        <v>18</v>
      </c>
      <c r="D3113" t="s">
        <v>75</v>
      </c>
      <c r="E3113" t="s">
        <v>20</v>
      </c>
      <c r="F3113" t="s">
        <v>137</v>
      </c>
      <c r="G3113" t="s">
        <v>51</v>
      </c>
      <c r="H3113" t="s">
        <v>67</v>
      </c>
      <c r="I3113" t="s">
        <v>103</v>
      </c>
      <c r="J3113">
        <v>28</v>
      </c>
      <c r="K3113">
        <v>10852.55</v>
      </c>
      <c r="L3113">
        <v>303871.40000000002</v>
      </c>
      <c r="M3113">
        <v>0</v>
      </c>
      <c r="N3113">
        <v>0</v>
      </c>
      <c r="O3113">
        <v>303871.40000000002</v>
      </c>
      <c r="P3113" t="s">
        <v>73</v>
      </c>
      <c r="Q3113" t="s">
        <v>26</v>
      </c>
    </row>
    <row r="3114" spans="1:17" x14ac:dyDescent="0.25">
      <c r="A3114" t="s">
        <v>3231</v>
      </c>
      <c r="B3114" s="1">
        <v>46010</v>
      </c>
      <c r="C3114" t="s">
        <v>60</v>
      </c>
      <c r="D3114" t="s">
        <v>123</v>
      </c>
      <c r="E3114" t="s">
        <v>49</v>
      </c>
      <c r="F3114" t="s">
        <v>137</v>
      </c>
      <c r="G3114" t="s">
        <v>138</v>
      </c>
      <c r="H3114" t="s">
        <v>44</v>
      </c>
      <c r="I3114" t="s">
        <v>281</v>
      </c>
      <c r="J3114">
        <v>30</v>
      </c>
      <c r="K3114">
        <v>21386.57</v>
      </c>
      <c r="L3114">
        <v>641597.1</v>
      </c>
      <c r="M3114">
        <v>38683.08</v>
      </c>
      <c r="N3114">
        <v>129207.55</v>
      </c>
      <c r="O3114">
        <v>473706.47</v>
      </c>
      <c r="P3114" t="s">
        <v>25</v>
      </c>
      <c r="Q3114" t="s">
        <v>26</v>
      </c>
    </row>
    <row r="3115" spans="1:17" x14ac:dyDescent="0.25">
      <c r="A3115" t="s">
        <v>3232</v>
      </c>
      <c r="B3115" s="1">
        <v>45962</v>
      </c>
      <c r="C3115" t="s">
        <v>18</v>
      </c>
      <c r="D3115" t="s">
        <v>34</v>
      </c>
      <c r="E3115" t="s">
        <v>20</v>
      </c>
      <c r="F3115" t="s">
        <v>112</v>
      </c>
      <c r="G3115" t="s">
        <v>138</v>
      </c>
      <c r="H3115" t="s">
        <v>67</v>
      </c>
      <c r="I3115" t="s">
        <v>103</v>
      </c>
      <c r="J3115">
        <v>6</v>
      </c>
      <c r="K3115">
        <v>26239.88</v>
      </c>
      <c r="L3115">
        <v>157439.28</v>
      </c>
      <c r="M3115">
        <v>2299.54</v>
      </c>
      <c r="N3115">
        <v>0</v>
      </c>
      <c r="O3115">
        <v>155139.74</v>
      </c>
      <c r="P3115" t="s">
        <v>25</v>
      </c>
      <c r="Q3115" t="s">
        <v>26</v>
      </c>
    </row>
    <row r="3116" spans="1:17" x14ac:dyDescent="0.25">
      <c r="A3116" t="s">
        <v>3233</v>
      </c>
      <c r="B3116" s="1">
        <v>45976</v>
      </c>
      <c r="C3116" t="s">
        <v>47</v>
      </c>
      <c r="D3116" t="s">
        <v>127</v>
      </c>
      <c r="E3116" t="s">
        <v>41</v>
      </c>
      <c r="F3116" t="s">
        <v>71</v>
      </c>
      <c r="G3116" t="s">
        <v>138</v>
      </c>
      <c r="H3116" t="s">
        <v>38</v>
      </c>
      <c r="I3116" t="s">
        <v>39</v>
      </c>
      <c r="J3116">
        <v>16</v>
      </c>
      <c r="K3116">
        <v>16028.45</v>
      </c>
      <c r="L3116">
        <v>256455.2</v>
      </c>
      <c r="M3116">
        <v>0</v>
      </c>
      <c r="N3116">
        <v>0</v>
      </c>
      <c r="O3116">
        <v>256455.2</v>
      </c>
      <c r="P3116" t="s">
        <v>73</v>
      </c>
      <c r="Q3116" t="s">
        <v>32</v>
      </c>
    </row>
    <row r="3117" spans="1:17" x14ac:dyDescent="0.25">
      <c r="A3117" t="s">
        <v>3234</v>
      </c>
      <c r="B3117" s="1">
        <v>45982</v>
      </c>
      <c r="C3117" t="s">
        <v>60</v>
      </c>
      <c r="D3117" t="s">
        <v>65</v>
      </c>
      <c r="E3117" t="s">
        <v>49</v>
      </c>
      <c r="F3117" t="s">
        <v>105</v>
      </c>
      <c r="G3117" t="s">
        <v>102</v>
      </c>
      <c r="H3117" t="s">
        <v>67</v>
      </c>
      <c r="I3117" t="s">
        <v>170</v>
      </c>
      <c r="J3117">
        <v>7</v>
      </c>
      <c r="K3117">
        <v>47901.54</v>
      </c>
      <c r="L3117">
        <v>335310.78000000003</v>
      </c>
      <c r="M3117">
        <v>62287.33</v>
      </c>
      <c r="N3117">
        <v>0</v>
      </c>
      <c r="O3117">
        <v>273023.45</v>
      </c>
      <c r="P3117" t="s">
        <v>73</v>
      </c>
      <c r="Q3117" t="s">
        <v>32</v>
      </c>
    </row>
    <row r="3118" spans="1:17" x14ac:dyDescent="0.25">
      <c r="A3118" t="s">
        <v>3235</v>
      </c>
      <c r="B3118" s="1">
        <v>45996</v>
      </c>
      <c r="C3118" t="s">
        <v>79</v>
      </c>
      <c r="D3118" t="s">
        <v>101</v>
      </c>
      <c r="E3118" t="s">
        <v>20</v>
      </c>
      <c r="F3118" t="s">
        <v>112</v>
      </c>
      <c r="G3118" t="s">
        <v>66</v>
      </c>
      <c r="H3118" t="s">
        <v>23</v>
      </c>
      <c r="I3118" t="s">
        <v>131</v>
      </c>
      <c r="J3118">
        <v>15</v>
      </c>
      <c r="K3118">
        <v>13661.89</v>
      </c>
      <c r="L3118">
        <v>204928.35</v>
      </c>
      <c r="M3118">
        <v>0</v>
      </c>
      <c r="N3118">
        <v>0</v>
      </c>
      <c r="O3118">
        <v>204928.35</v>
      </c>
      <c r="P3118" t="s">
        <v>31</v>
      </c>
      <c r="Q3118" t="s">
        <v>32</v>
      </c>
    </row>
    <row r="3119" spans="1:17" x14ac:dyDescent="0.25">
      <c r="A3119" t="s">
        <v>3236</v>
      </c>
      <c r="B3119" s="1">
        <v>45963</v>
      </c>
      <c r="C3119" t="s">
        <v>79</v>
      </c>
      <c r="D3119" t="s">
        <v>91</v>
      </c>
      <c r="E3119" t="s">
        <v>41</v>
      </c>
      <c r="F3119" t="s">
        <v>84</v>
      </c>
      <c r="G3119" t="s">
        <v>140</v>
      </c>
      <c r="H3119" t="s">
        <v>57</v>
      </c>
      <c r="I3119" t="s">
        <v>118</v>
      </c>
      <c r="J3119">
        <v>27</v>
      </c>
      <c r="K3119">
        <v>15029.71</v>
      </c>
      <c r="L3119">
        <v>405802.17</v>
      </c>
      <c r="M3119">
        <v>25000.1</v>
      </c>
      <c r="N3119">
        <v>0</v>
      </c>
      <c r="O3119">
        <v>380802.07</v>
      </c>
      <c r="P3119" t="s">
        <v>32</v>
      </c>
      <c r="Q3119" t="s">
        <v>26</v>
      </c>
    </row>
    <row r="3120" spans="1:17" x14ac:dyDescent="0.25">
      <c r="A3120" t="s">
        <v>3237</v>
      </c>
      <c r="B3120" s="1">
        <v>46034</v>
      </c>
      <c r="C3120" t="s">
        <v>47</v>
      </c>
      <c r="D3120" t="s">
        <v>88</v>
      </c>
      <c r="E3120" t="s">
        <v>49</v>
      </c>
      <c r="F3120" t="s">
        <v>36</v>
      </c>
      <c r="G3120" t="s">
        <v>85</v>
      </c>
      <c r="H3120" t="s">
        <v>94</v>
      </c>
      <c r="I3120" t="s">
        <v>193</v>
      </c>
      <c r="J3120">
        <v>5</v>
      </c>
      <c r="K3120">
        <v>46432.24</v>
      </c>
      <c r="L3120">
        <v>232161.2</v>
      </c>
      <c r="M3120">
        <v>10138.629999999999</v>
      </c>
      <c r="N3120">
        <v>34573.199999999997</v>
      </c>
      <c r="O3120">
        <v>187449.37</v>
      </c>
      <c r="P3120" t="s">
        <v>31</v>
      </c>
      <c r="Q3120" t="s">
        <v>32</v>
      </c>
    </row>
    <row r="3121" spans="1:17" x14ac:dyDescent="0.25">
      <c r="A3121" t="s">
        <v>3238</v>
      </c>
      <c r="B3121" s="1">
        <v>46017</v>
      </c>
      <c r="C3121" t="s">
        <v>18</v>
      </c>
      <c r="D3121" t="s">
        <v>34</v>
      </c>
      <c r="E3121" t="s">
        <v>20</v>
      </c>
      <c r="F3121" t="s">
        <v>42</v>
      </c>
      <c r="G3121" t="s">
        <v>138</v>
      </c>
      <c r="H3121" t="s">
        <v>38</v>
      </c>
      <c r="I3121" t="s">
        <v>39</v>
      </c>
      <c r="J3121">
        <v>46</v>
      </c>
      <c r="K3121">
        <v>17842.28</v>
      </c>
      <c r="L3121">
        <v>820744.88</v>
      </c>
      <c r="M3121">
        <v>124465.39</v>
      </c>
      <c r="N3121">
        <v>0</v>
      </c>
      <c r="O3121">
        <v>696279.49</v>
      </c>
      <c r="P3121" t="s">
        <v>31</v>
      </c>
      <c r="Q3121" t="s">
        <v>32</v>
      </c>
    </row>
    <row r="3122" spans="1:17" x14ac:dyDescent="0.25">
      <c r="A3122" t="s">
        <v>3239</v>
      </c>
      <c r="B3122" s="1">
        <v>45981</v>
      </c>
      <c r="C3122" t="s">
        <v>79</v>
      </c>
      <c r="D3122" t="s">
        <v>80</v>
      </c>
      <c r="E3122" t="s">
        <v>35</v>
      </c>
      <c r="F3122" t="s">
        <v>112</v>
      </c>
      <c r="G3122" t="s">
        <v>98</v>
      </c>
      <c r="H3122" t="s">
        <v>38</v>
      </c>
      <c r="I3122" t="s">
        <v>82</v>
      </c>
      <c r="J3122">
        <v>20</v>
      </c>
      <c r="K3122">
        <v>8352.5</v>
      </c>
      <c r="L3122">
        <v>167050</v>
      </c>
      <c r="M3122">
        <v>30883.119999999999</v>
      </c>
      <c r="N3122">
        <v>0</v>
      </c>
      <c r="O3122">
        <v>136166.88</v>
      </c>
      <c r="P3122" t="s">
        <v>73</v>
      </c>
      <c r="Q3122" t="s">
        <v>32</v>
      </c>
    </row>
    <row r="3123" spans="1:17" x14ac:dyDescent="0.25">
      <c r="A3123" t="s">
        <v>3240</v>
      </c>
      <c r="B3123" s="1">
        <v>45975</v>
      </c>
      <c r="C3123" t="s">
        <v>54</v>
      </c>
      <c r="D3123" t="s">
        <v>97</v>
      </c>
      <c r="E3123" t="s">
        <v>49</v>
      </c>
      <c r="F3123" t="s">
        <v>62</v>
      </c>
      <c r="G3123" t="s">
        <v>138</v>
      </c>
      <c r="H3123" t="s">
        <v>94</v>
      </c>
      <c r="I3123" t="s">
        <v>115</v>
      </c>
      <c r="J3123">
        <v>25</v>
      </c>
      <c r="K3123">
        <v>45418</v>
      </c>
      <c r="L3123">
        <v>1135450</v>
      </c>
      <c r="M3123">
        <v>0</v>
      </c>
      <c r="N3123">
        <v>329111.84000000003</v>
      </c>
      <c r="O3123">
        <v>806338.16</v>
      </c>
      <c r="P3123" t="s">
        <v>32</v>
      </c>
      <c r="Q3123" t="s">
        <v>32</v>
      </c>
    </row>
    <row r="3124" spans="1:17" x14ac:dyDescent="0.25">
      <c r="A3124" t="s">
        <v>3241</v>
      </c>
      <c r="B3124" s="1">
        <v>45978</v>
      </c>
      <c r="C3124" t="s">
        <v>79</v>
      </c>
      <c r="D3124" t="s">
        <v>80</v>
      </c>
      <c r="E3124" t="s">
        <v>35</v>
      </c>
      <c r="F3124" t="s">
        <v>62</v>
      </c>
      <c r="G3124" t="s">
        <v>98</v>
      </c>
      <c r="H3124" t="s">
        <v>94</v>
      </c>
      <c r="I3124" t="s">
        <v>115</v>
      </c>
      <c r="J3124">
        <v>38</v>
      </c>
      <c r="K3124">
        <v>35695.4</v>
      </c>
      <c r="L3124">
        <v>1356425.2</v>
      </c>
      <c r="M3124">
        <v>270414.93</v>
      </c>
      <c r="N3124">
        <v>0</v>
      </c>
      <c r="O3124">
        <v>1086010.27</v>
      </c>
      <c r="P3124" t="s">
        <v>32</v>
      </c>
      <c r="Q3124" t="s">
        <v>32</v>
      </c>
    </row>
    <row r="3125" spans="1:17" x14ac:dyDescent="0.25">
      <c r="A3125" t="s">
        <v>3242</v>
      </c>
      <c r="B3125" s="1">
        <v>45982</v>
      </c>
      <c r="C3125" t="s">
        <v>60</v>
      </c>
      <c r="D3125" t="s">
        <v>151</v>
      </c>
      <c r="E3125" t="s">
        <v>49</v>
      </c>
      <c r="F3125" t="s">
        <v>84</v>
      </c>
      <c r="G3125" t="s">
        <v>43</v>
      </c>
      <c r="H3125" t="s">
        <v>57</v>
      </c>
      <c r="I3125" t="s">
        <v>160</v>
      </c>
      <c r="J3125">
        <v>45</v>
      </c>
      <c r="K3125">
        <v>9439.4</v>
      </c>
      <c r="L3125">
        <v>424773</v>
      </c>
      <c r="M3125">
        <v>70726.820000000007</v>
      </c>
      <c r="N3125">
        <v>0</v>
      </c>
      <c r="O3125">
        <v>354046.18</v>
      </c>
      <c r="P3125" t="s">
        <v>31</v>
      </c>
      <c r="Q3125" t="s">
        <v>32</v>
      </c>
    </row>
    <row r="3126" spans="1:17" x14ac:dyDescent="0.25">
      <c r="A3126" t="s">
        <v>3243</v>
      </c>
      <c r="B3126" s="1">
        <v>45966</v>
      </c>
      <c r="C3126" t="s">
        <v>18</v>
      </c>
      <c r="D3126" t="s">
        <v>34</v>
      </c>
      <c r="E3126" t="s">
        <v>35</v>
      </c>
      <c r="F3126" t="s">
        <v>62</v>
      </c>
      <c r="G3126" t="s">
        <v>22</v>
      </c>
      <c r="H3126" t="s">
        <v>67</v>
      </c>
      <c r="I3126" t="s">
        <v>77</v>
      </c>
      <c r="J3126">
        <v>1</v>
      </c>
      <c r="K3126">
        <v>41177.300000000003</v>
      </c>
      <c r="L3126">
        <v>41177.300000000003</v>
      </c>
      <c r="M3126">
        <v>4388.67</v>
      </c>
      <c r="N3126">
        <v>0</v>
      </c>
      <c r="O3126">
        <v>36788.629999999997</v>
      </c>
      <c r="P3126" t="s">
        <v>25</v>
      </c>
      <c r="Q3126" t="s">
        <v>26</v>
      </c>
    </row>
    <row r="3127" spans="1:17" x14ac:dyDescent="0.25">
      <c r="A3127" t="s">
        <v>3244</v>
      </c>
      <c r="B3127" s="1">
        <v>45968</v>
      </c>
      <c r="C3127" t="s">
        <v>54</v>
      </c>
      <c r="D3127" t="s">
        <v>55</v>
      </c>
      <c r="E3127" t="s">
        <v>49</v>
      </c>
      <c r="F3127" t="s">
        <v>112</v>
      </c>
      <c r="G3127" t="s">
        <v>29</v>
      </c>
      <c r="H3127" t="s">
        <v>44</v>
      </c>
      <c r="I3127" t="s">
        <v>135</v>
      </c>
      <c r="J3127">
        <v>47</v>
      </c>
      <c r="K3127">
        <v>47459.32</v>
      </c>
      <c r="L3127">
        <v>2230588.04</v>
      </c>
      <c r="M3127">
        <v>23574.38</v>
      </c>
      <c r="N3127">
        <v>0</v>
      </c>
      <c r="O3127">
        <v>2207013.66</v>
      </c>
      <c r="P3127" t="s">
        <v>31</v>
      </c>
      <c r="Q3127" t="s">
        <v>32</v>
      </c>
    </row>
    <row r="3128" spans="1:17" x14ac:dyDescent="0.25">
      <c r="A3128" t="s">
        <v>3245</v>
      </c>
      <c r="B3128" s="1">
        <v>46040</v>
      </c>
      <c r="C3128" t="s">
        <v>60</v>
      </c>
      <c r="D3128" t="s">
        <v>65</v>
      </c>
      <c r="E3128" t="s">
        <v>41</v>
      </c>
      <c r="F3128" t="s">
        <v>62</v>
      </c>
      <c r="G3128" t="s">
        <v>140</v>
      </c>
      <c r="H3128" t="s">
        <v>94</v>
      </c>
      <c r="I3128" t="s">
        <v>115</v>
      </c>
      <c r="J3128">
        <v>45</v>
      </c>
      <c r="K3128">
        <v>30232.49</v>
      </c>
      <c r="L3128">
        <v>1360462.05</v>
      </c>
      <c r="M3128">
        <v>178349.17</v>
      </c>
      <c r="N3128">
        <v>0</v>
      </c>
      <c r="O3128">
        <v>1182112.8799999999</v>
      </c>
      <c r="P3128" t="s">
        <v>31</v>
      </c>
      <c r="Q3128" t="s">
        <v>32</v>
      </c>
    </row>
    <row r="3129" spans="1:17" x14ac:dyDescent="0.25">
      <c r="A3129" t="s">
        <v>3246</v>
      </c>
      <c r="B3129" s="1">
        <v>45983</v>
      </c>
      <c r="C3129" t="s">
        <v>18</v>
      </c>
      <c r="D3129" t="s">
        <v>19</v>
      </c>
      <c r="E3129" t="s">
        <v>35</v>
      </c>
      <c r="F3129" t="s">
        <v>105</v>
      </c>
      <c r="G3129" t="s">
        <v>63</v>
      </c>
      <c r="H3129" t="s">
        <v>23</v>
      </c>
      <c r="I3129" t="s">
        <v>110</v>
      </c>
      <c r="J3129">
        <v>7</v>
      </c>
      <c r="K3129">
        <v>18559.009999999998</v>
      </c>
      <c r="L3129">
        <v>129913.07</v>
      </c>
      <c r="M3129">
        <v>13311.26</v>
      </c>
      <c r="N3129">
        <v>0</v>
      </c>
      <c r="O3129">
        <v>116601.81</v>
      </c>
      <c r="P3129" t="s">
        <v>32</v>
      </c>
      <c r="Q3129" t="s">
        <v>26</v>
      </c>
    </row>
    <row r="3130" spans="1:17" x14ac:dyDescent="0.25">
      <c r="A3130" t="s">
        <v>3247</v>
      </c>
      <c r="B3130" s="1">
        <v>45995</v>
      </c>
      <c r="C3130" t="s">
        <v>47</v>
      </c>
      <c r="D3130" t="s">
        <v>127</v>
      </c>
      <c r="E3130" t="s">
        <v>41</v>
      </c>
      <c r="F3130" t="s">
        <v>105</v>
      </c>
      <c r="G3130" t="s">
        <v>89</v>
      </c>
      <c r="H3130" t="s">
        <v>23</v>
      </c>
      <c r="I3130" t="s">
        <v>131</v>
      </c>
      <c r="J3130">
        <v>8</v>
      </c>
      <c r="K3130">
        <v>1805.1</v>
      </c>
      <c r="L3130">
        <v>14440.8</v>
      </c>
      <c r="M3130">
        <v>482.16</v>
      </c>
      <c r="N3130">
        <v>0</v>
      </c>
      <c r="O3130">
        <v>13958.64</v>
      </c>
      <c r="P3130" t="s">
        <v>73</v>
      </c>
      <c r="Q3130" t="s">
        <v>26</v>
      </c>
    </row>
    <row r="3131" spans="1:17" x14ac:dyDescent="0.25">
      <c r="A3131" t="s">
        <v>3248</v>
      </c>
      <c r="B3131" s="1">
        <v>46045</v>
      </c>
      <c r="C3131" t="s">
        <v>79</v>
      </c>
      <c r="D3131" t="s">
        <v>91</v>
      </c>
      <c r="E3131" t="s">
        <v>49</v>
      </c>
      <c r="F3131" t="s">
        <v>105</v>
      </c>
      <c r="G3131" t="s">
        <v>102</v>
      </c>
      <c r="H3131" t="s">
        <v>94</v>
      </c>
      <c r="I3131" t="s">
        <v>115</v>
      </c>
      <c r="J3131">
        <v>2</v>
      </c>
      <c r="K3131">
        <v>2178.9899999999998</v>
      </c>
      <c r="L3131">
        <v>4357.9799999999996</v>
      </c>
      <c r="M3131">
        <v>0</v>
      </c>
      <c r="N3131">
        <v>1162.29</v>
      </c>
      <c r="O3131">
        <v>3195.69</v>
      </c>
      <c r="P3131" t="s">
        <v>25</v>
      </c>
      <c r="Q3131" t="s">
        <v>26</v>
      </c>
    </row>
    <row r="3132" spans="1:17" x14ac:dyDescent="0.25">
      <c r="A3132" t="s">
        <v>3249</v>
      </c>
      <c r="B3132" s="1">
        <v>45990</v>
      </c>
      <c r="C3132" t="s">
        <v>47</v>
      </c>
      <c r="D3132" t="s">
        <v>114</v>
      </c>
      <c r="E3132" t="s">
        <v>35</v>
      </c>
      <c r="F3132" t="s">
        <v>50</v>
      </c>
      <c r="G3132" t="s">
        <v>56</v>
      </c>
      <c r="H3132" t="s">
        <v>57</v>
      </c>
      <c r="I3132" t="s">
        <v>160</v>
      </c>
      <c r="J3132">
        <v>50</v>
      </c>
      <c r="K3132">
        <v>36597.47</v>
      </c>
      <c r="L3132">
        <v>1829873.5</v>
      </c>
      <c r="M3132">
        <v>249718.14</v>
      </c>
      <c r="N3132">
        <v>0</v>
      </c>
      <c r="O3132">
        <v>1580155.36</v>
      </c>
      <c r="P3132" t="s">
        <v>25</v>
      </c>
      <c r="Q3132" t="s">
        <v>26</v>
      </c>
    </row>
    <row r="3133" spans="1:17" x14ac:dyDescent="0.25">
      <c r="A3133" t="s">
        <v>3250</v>
      </c>
      <c r="B3133" s="1">
        <v>46008</v>
      </c>
      <c r="C3133" t="s">
        <v>54</v>
      </c>
      <c r="D3133" t="s">
        <v>70</v>
      </c>
      <c r="E3133" t="s">
        <v>20</v>
      </c>
      <c r="F3133" t="s">
        <v>137</v>
      </c>
      <c r="G3133" t="s">
        <v>37</v>
      </c>
      <c r="H3133" t="s">
        <v>94</v>
      </c>
      <c r="I3133" t="s">
        <v>193</v>
      </c>
      <c r="J3133">
        <v>40</v>
      </c>
      <c r="K3133">
        <v>10077.11</v>
      </c>
      <c r="L3133">
        <v>403084.4</v>
      </c>
      <c r="M3133">
        <v>44812.38</v>
      </c>
      <c r="N3133">
        <v>0</v>
      </c>
      <c r="O3133">
        <v>358272.02</v>
      </c>
      <c r="P3133" t="s">
        <v>31</v>
      </c>
      <c r="Q3133" t="s">
        <v>32</v>
      </c>
    </row>
    <row r="3134" spans="1:17" x14ac:dyDescent="0.25">
      <c r="A3134" t="s">
        <v>3251</v>
      </c>
      <c r="B3134" s="1">
        <v>45999</v>
      </c>
      <c r="C3134" t="s">
        <v>47</v>
      </c>
      <c r="D3134" t="s">
        <v>114</v>
      </c>
      <c r="E3134" t="s">
        <v>41</v>
      </c>
      <c r="F3134" t="s">
        <v>50</v>
      </c>
      <c r="G3134" t="s">
        <v>66</v>
      </c>
      <c r="H3134" t="s">
        <v>94</v>
      </c>
      <c r="I3134" t="s">
        <v>163</v>
      </c>
      <c r="J3134">
        <v>5</v>
      </c>
      <c r="K3134">
        <v>13139.57</v>
      </c>
      <c r="L3134">
        <v>65697.850000000006</v>
      </c>
      <c r="M3134">
        <v>2667.88</v>
      </c>
      <c r="N3134">
        <v>2069.17</v>
      </c>
      <c r="O3134">
        <v>60960.800000000003</v>
      </c>
      <c r="P3134" t="s">
        <v>32</v>
      </c>
      <c r="Q3134" t="s">
        <v>32</v>
      </c>
    </row>
    <row r="3135" spans="1:17" x14ac:dyDescent="0.25">
      <c r="A3135" t="s">
        <v>3252</v>
      </c>
      <c r="B3135" s="1">
        <v>46025</v>
      </c>
      <c r="C3135" t="s">
        <v>18</v>
      </c>
      <c r="D3135" t="s">
        <v>75</v>
      </c>
      <c r="E3135" t="s">
        <v>35</v>
      </c>
      <c r="F3135" t="s">
        <v>36</v>
      </c>
      <c r="G3135" t="s">
        <v>81</v>
      </c>
      <c r="H3135" t="s">
        <v>67</v>
      </c>
      <c r="I3135" t="s">
        <v>201</v>
      </c>
      <c r="J3135">
        <v>32</v>
      </c>
      <c r="K3135">
        <v>11983.26</v>
      </c>
      <c r="L3135">
        <v>383464.32</v>
      </c>
      <c r="M3135">
        <v>0</v>
      </c>
      <c r="N3135">
        <v>0</v>
      </c>
      <c r="O3135">
        <v>383464.32</v>
      </c>
      <c r="P3135" t="s">
        <v>31</v>
      </c>
      <c r="Q3135" t="s">
        <v>32</v>
      </c>
    </row>
    <row r="3136" spans="1:17" x14ac:dyDescent="0.25">
      <c r="A3136" t="s">
        <v>3253</v>
      </c>
      <c r="B3136" s="1">
        <v>46028</v>
      </c>
      <c r="C3136" t="s">
        <v>79</v>
      </c>
      <c r="D3136" t="s">
        <v>80</v>
      </c>
      <c r="E3136" t="s">
        <v>49</v>
      </c>
      <c r="F3136" t="s">
        <v>71</v>
      </c>
      <c r="G3136" t="s">
        <v>140</v>
      </c>
      <c r="H3136" t="s">
        <v>44</v>
      </c>
      <c r="I3136" t="s">
        <v>281</v>
      </c>
      <c r="J3136">
        <v>5</v>
      </c>
      <c r="K3136">
        <v>26934.57</v>
      </c>
      <c r="L3136">
        <v>134672.85</v>
      </c>
      <c r="M3136">
        <v>0</v>
      </c>
      <c r="N3136">
        <v>0</v>
      </c>
      <c r="O3136">
        <v>134672.85</v>
      </c>
      <c r="P3136" t="s">
        <v>25</v>
      </c>
      <c r="Q3136" t="s">
        <v>26</v>
      </c>
    </row>
    <row r="3137" spans="1:17" x14ac:dyDescent="0.25">
      <c r="A3137" t="s">
        <v>3254</v>
      </c>
      <c r="B3137" s="1">
        <v>46002</v>
      </c>
      <c r="C3137" t="s">
        <v>60</v>
      </c>
      <c r="D3137" t="s">
        <v>65</v>
      </c>
      <c r="E3137" t="s">
        <v>49</v>
      </c>
      <c r="F3137" t="s">
        <v>71</v>
      </c>
      <c r="G3137" t="s">
        <v>56</v>
      </c>
      <c r="H3137" t="s">
        <v>44</v>
      </c>
      <c r="I3137" t="s">
        <v>152</v>
      </c>
      <c r="J3137">
        <v>30</v>
      </c>
      <c r="K3137">
        <v>21346.47</v>
      </c>
      <c r="L3137">
        <v>640394.1</v>
      </c>
      <c r="M3137">
        <v>0</v>
      </c>
      <c r="N3137">
        <v>124457.71</v>
      </c>
      <c r="O3137">
        <v>515936.39</v>
      </c>
      <c r="P3137" t="s">
        <v>31</v>
      </c>
      <c r="Q3137" t="s">
        <v>32</v>
      </c>
    </row>
    <row r="3138" spans="1:17" x14ac:dyDescent="0.25">
      <c r="A3138" t="s">
        <v>3255</v>
      </c>
      <c r="B3138" s="1">
        <v>45996</v>
      </c>
      <c r="C3138" t="s">
        <v>54</v>
      </c>
      <c r="D3138" t="s">
        <v>133</v>
      </c>
      <c r="E3138" t="s">
        <v>35</v>
      </c>
      <c r="F3138" t="s">
        <v>71</v>
      </c>
      <c r="G3138" t="s">
        <v>37</v>
      </c>
      <c r="H3138" t="s">
        <v>23</v>
      </c>
      <c r="I3138" t="s">
        <v>24</v>
      </c>
      <c r="J3138">
        <v>3</v>
      </c>
      <c r="K3138">
        <v>1468.61</v>
      </c>
      <c r="L3138">
        <v>4405.83</v>
      </c>
      <c r="M3138">
        <v>106.93</v>
      </c>
      <c r="N3138">
        <v>0</v>
      </c>
      <c r="O3138">
        <v>4298.8999999999996</v>
      </c>
      <c r="P3138" t="s">
        <v>31</v>
      </c>
      <c r="Q3138" t="s">
        <v>32</v>
      </c>
    </row>
    <row r="3139" spans="1:17" x14ac:dyDescent="0.25">
      <c r="A3139" t="s">
        <v>3256</v>
      </c>
      <c r="B3139" s="1">
        <v>45981</v>
      </c>
      <c r="C3139" t="s">
        <v>47</v>
      </c>
      <c r="D3139" t="s">
        <v>127</v>
      </c>
      <c r="E3139" t="s">
        <v>20</v>
      </c>
      <c r="F3139" t="s">
        <v>105</v>
      </c>
      <c r="G3139" t="s">
        <v>89</v>
      </c>
      <c r="H3139" t="s">
        <v>44</v>
      </c>
      <c r="I3139" t="s">
        <v>45</v>
      </c>
      <c r="J3139">
        <v>42</v>
      </c>
      <c r="K3139">
        <v>4603.87</v>
      </c>
      <c r="L3139">
        <v>193362.54</v>
      </c>
      <c r="M3139">
        <v>0</v>
      </c>
      <c r="N3139">
        <v>0</v>
      </c>
      <c r="O3139">
        <v>193362.54</v>
      </c>
      <c r="P3139" t="s">
        <v>31</v>
      </c>
      <c r="Q3139" t="s">
        <v>32</v>
      </c>
    </row>
    <row r="3140" spans="1:17" x14ac:dyDescent="0.25">
      <c r="A3140" t="s">
        <v>3257</v>
      </c>
      <c r="B3140" s="1">
        <v>46018</v>
      </c>
      <c r="C3140" t="s">
        <v>60</v>
      </c>
      <c r="D3140" t="s">
        <v>151</v>
      </c>
      <c r="E3140" t="s">
        <v>35</v>
      </c>
      <c r="F3140" t="s">
        <v>105</v>
      </c>
      <c r="G3140" t="s">
        <v>22</v>
      </c>
      <c r="H3140" t="s">
        <v>94</v>
      </c>
      <c r="I3140" t="s">
        <v>115</v>
      </c>
      <c r="J3140">
        <v>25</v>
      </c>
      <c r="K3140">
        <v>27829.03</v>
      </c>
      <c r="L3140">
        <v>695725.75</v>
      </c>
      <c r="M3140">
        <v>57421.39</v>
      </c>
      <c r="N3140">
        <v>0</v>
      </c>
      <c r="O3140">
        <v>638304.36</v>
      </c>
      <c r="P3140" t="s">
        <v>31</v>
      </c>
      <c r="Q3140" t="s">
        <v>32</v>
      </c>
    </row>
    <row r="3141" spans="1:17" x14ac:dyDescent="0.25">
      <c r="A3141" t="s">
        <v>3258</v>
      </c>
      <c r="B3141" s="1">
        <v>45976</v>
      </c>
      <c r="C3141" t="s">
        <v>79</v>
      </c>
      <c r="D3141" t="s">
        <v>91</v>
      </c>
      <c r="E3141" t="s">
        <v>41</v>
      </c>
      <c r="F3141" t="s">
        <v>42</v>
      </c>
      <c r="G3141" t="s">
        <v>66</v>
      </c>
      <c r="H3141" t="s">
        <v>67</v>
      </c>
      <c r="I3141" t="s">
        <v>201</v>
      </c>
      <c r="J3141">
        <v>34</v>
      </c>
      <c r="K3141">
        <v>31118.48</v>
      </c>
      <c r="L3141">
        <v>1058028.32</v>
      </c>
      <c r="M3141">
        <v>50470.79</v>
      </c>
      <c r="N3141">
        <v>305335.09000000003</v>
      </c>
      <c r="O3141">
        <v>702222.44</v>
      </c>
      <c r="P3141" t="s">
        <v>31</v>
      </c>
      <c r="Q3141" t="s">
        <v>32</v>
      </c>
    </row>
    <row r="3142" spans="1:17" x14ac:dyDescent="0.25">
      <c r="A3142" t="s">
        <v>3259</v>
      </c>
      <c r="B3142" s="1">
        <v>45975</v>
      </c>
      <c r="C3142" t="s">
        <v>79</v>
      </c>
      <c r="D3142" t="s">
        <v>80</v>
      </c>
      <c r="E3142" t="s">
        <v>20</v>
      </c>
      <c r="F3142" t="s">
        <v>21</v>
      </c>
      <c r="G3142" t="s">
        <v>43</v>
      </c>
      <c r="H3142" t="s">
        <v>67</v>
      </c>
      <c r="I3142" t="s">
        <v>77</v>
      </c>
      <c r="J3142">
        <v>30</v>
      </c>
      <c r="K3142">
        <v>44134.52</v>
      </c>
      <c r="L3142">
        <v>1324035.6000000001</v>
      </c>
      <c r="M3142">
        <v>251029.71</v>
      </c>
      <c r="N3142">
        <v>0</v>
      </c>
      <c r="O3142">
        <v>1073005.8899999999</v>
      </c>
      <c r="P3142" t="s">
        <v>25</v>
      </c>
      <c r="Q3142" t="s">
        <v>128</v>
      </c>
    </row>
    <row r="3143" spans="1:17" x14ac:dyDescent="0.25">
      <c r="A3143" t="s">
        <v>3260</v>
      </c>
      <c r="B3143" s="1">
        <v>46034</v>
      </c>
      <c r="C3143" t="s">
        <v>18</v>
      </c>
      <c r="D3143" t="s">
        <v>34</v>
      </c>
      <c r="E3143" t="s">
        <v>20</v>
      </c>
      <c r="F3143" t="s">
        <v>62</v>
      </c>
      <c r="G3143" t="s">
        <v>81</v>
      </c>
      <c r="H3143" t="s">
        <v>38</v>
      </c>
      <c r="I3143" t="s">
        <v>82</v>
      </c>
      <c r="J3143">
        <v>7</v>
      </c>
      <c r="K3143">
        <v>41920.050000000003</v>
      </c>
      <c r="L3143">
        <v>293440.34999999998</v>
      </c>
      <c r="M3143">
        <v>0</v>
      </c>
      <c r="N3143">
        <v>0</v>
      </c>
      <c r="O3143">
        <v>293440.34999999998</v>
      </c>
      <c r="P3143" t="s">
        <v>73</v>
      </c>
      <c r="Q3143" t="s">
        <v>32</v>
      </c>
    </row>
    <row r="3144" spans="1:17" x14ac:dyDescent="0.25">
      <c r="A3144" t="s">
        <v>3261</v>
      </c>
      <c r="B3144" s="1">
        <v>45954</v>
      </c>
      <c r="C3144" t="s">
        <v>54</v>
      </c>
      <c r="D3144" t="s">
        <v>133</v>
      </c>
      <c r="E3144" t="s">
        <v>41</v>
      </c>
      <c r="F3144" t="s">
        <v>84</v>
      </c>
      <c r="G3144" t="s">
        <v>138</v>
      </c>
      <c r="H3144" t="s">
        <v>23</v>
      </c>
      <c r="I3144" t="s">
        <v>52</v>
      </c>
      <c r="J3144">
        <v>27</v>
      </c>
      <c r="K3144">
        <v>7942.02</v>
      </c>
      <c r="L3144">
        <v>214434.54</v>
      </c>
      <c r="M3144">
        <v>39799.56</v>
      </c>
      <c r="N3144">
        <v>0</v>
      </c>
      <c r="O3144">
        <v>174634.98</v>
      </c>
      <c r="P3144" t="s">
        <v>31</v>
      </c>
      <c r="Q3144" t="s">
        <v>32</v>
      </c>
    </row>
    <row r="3145" spans="1:17" x14ac:dyDescent="0.25">
      <c r="A3145" t="s">
        <v>3262</v>
      </c>
      <c r="B3145" s="1">
        <v>46019</v>
      </c>
      <c r="C3145" t="s">
        <v>54</v>
      </c>
      <c r="D3145" t="s">
        <v>70</v>
      </c>
      <c r="E3145" t="s">
        <v>35</v>
      </c>
      <c r="F3145" t="s">
        <v>36</v>
      </c>
      <c r="G3145" t="s">
        <v>66</v>
      </c>
      <c r="H3145" t="s">
        <v>57</v>
      </c>
      <c r="I3145" t="s">
        <v>148</v>
      </c>
      <c r="J3145">
        <v>41</v>
      </c>
      <c r="K3145">
        <v>1626.86</v>
      </c>
      <c r="L3145">
        <v>66701.259999999995</v>
      </c>
      <c r="M3145">
        <v>0</v>
      </c>
      <c r="N3145">
        <v>0</v>
      </c>
      <c r="O3145">
        <v>66701.259999999995</v>
      </c>
      <c r="P3145" t="s">
        <v>73</v>
      </c>
      <c r="Q3145" t="s">
        <v>32</v>
      </c>
    </row>
    <row r="3146" spans="1:17" x14ac:dyDescent="0.25">
      <c r="A3146" t="s">
        <v>3263</v>
      </c>
      <c r="B3146" s="1">
        <v>45993</v>
      </c>
      <c r="C3146" t="s">
        <v>79</v>
      </c>
      <c r="D3146" t="s">
        <v>107</v>
      </c>
      <c r="E3146" t="s">
        <v>20</v>
      </c>
      <c r="F3146" t="s">
        <v>137</v>
      </c>
      <c r="G3146" t="s">
        <v>98</v>
      </c>
      <c r="H3146" t="s">
        <v>57</v>
      </c>
      <c r="I3146" t="s">
        <v>118</v>
      </c>
      <c r="J3146">
        <v>30</v>
      </c>
      <c r="K3146">
        <v>8887.92</v>
      </c>
      <c r="L3146">
        <v>266637.59999999998</v>
      </c>
      <c r="M3146">
        <v>1578.72</v>
      </c>
      <c r="N3146">
        <v>0</v>
      </c>
      <c r="O3146">
        <v>265058.88</v>
      </c>
      <c r="P3146" t="s">
        <v>32</v>
      </c>
      <c r="Q3146" t="s">
        <v>26</v>
      </c>
    </row>
    <row r="3147" spans="1:17" x14ac:dyDescent="0.25">
      <c r="A3147" t="s">
        <v>3264</v>
      </c>
      <c r="B3147" s="1">
        <v>45980</v>
      </c>
      <c r="C3147" t="s">
        <v>60</v>
      </c>
      <c r="D3147" t="s">
        <v>65</v>
      </c>
      <c r="E3147" t="s">
        <v>41</v>
      </c>
      <c r="F3147" t="s">
        <v>50</v>
      </c>
      <c r="G3147" t="s">
        <v>81</v>
      </c>
      <c r="H3147" t="s">
        <v>94</v>
      </c>
      <c r="I3147" t="s">
        <v>177</v>
      </c>
      <c r="J3147">
        <v>48</v>
      </c>
      <c r="K3147">
        <v>49163.83</v>
      </c>
      <c r="L3147">
        <v>2359863.84</v>
      </c>
      <c r="M3147">
        <v>53241.67</v>
      </c>
      <c r="N3147">
        <v>562998.74</v>
      </c>
      <c r="O3147">
        <v>1743623.43</v>
      </c>
      <c r="P3147" t="s">
        <v>73</v>
      </c>
      <c r="Q3147" t="s">
        <v>32</v>
      </c>
    </row>
    <row r="3148" spans="1:17" x14ac:dyDescent="0.25">
      <c r="A3148" t="s">
        <v>3265</v>
      </c>
      <c r="B3148" s="1">
        <v>45987</v>
      </c>
      <c r="C3148" t="s">
        <v>54</v>
      </c>
      <c r="D3148" t="s">
        <v>97</v>
      </c>
      <c r="E3148" t="s">
        <v>35</v>
      </c>
      <c r="F3148" t="s">
        <v>42</v>
      </c>
      <c r="G3148" t="s">
        <v>85</v>
      </c>
      <c r="H3148" t="s">
        <v>44</v>
      </c>
      <c r="I3148" t="s">
        <v>152</v>
      </c>
      <c r="J3148">
        <v>11</v>
      </c>
      <c r="K3148">
        <v>34402.99</v>
      </c>
      <c r="L3148">
        <v>378432.89</v>
      </c>
      <c r="M3148">
        <v>0</v>
      </c>
      <c r="N3148">
        <v>0</v>
      </c>
      <c r="O3148">
        <v>378432.89</v>
      </c>
      <c r="P3148" t="s">
        <v>25</v>
      </c>
      <c r="Q3148" t="s">
        <v>26</v>
      </c>
    </row>
    <row r="3149" spans="1:17" x14ac:dyDescent="0.25">
      <c r="A3149" t="s">
        <v>3266</v>
      </c>
      <c r="B3149" s="1">
        <v>46029</v>
      </c>
      <c r="C3149" t="s">
        <v>18</v>
      </c>
      <c r="D3149" t="s">
        <v>75</v>
      </c>
      <c r="E3149" t="s">
        <v>20</v>
      </c>
      <c r="F3149" t="s">
        <v>84</v>
      </c>
      <c r="G3149" t="s">
        <v>140</v>
      </c>
      <c r="H3149" t="s">
        <v>44</v>
      </c>
      <c r="I3149" t="s">
        <v>124</v>
      </c>
      <c r="J3149">
        <v>31</v>
      </c>
      <c r="K3149">
        <v>21469.77</v>
      </c>
      <c r="L3149">
        <v>665562.87</v>
      </c>
      <c r="M3149">
        <v>2982.04</v>
      </c>
      <c r="N3149">
        <v>0</v>
      </c>
      <c r="O3149">
        <v>662580.82999999996</v>
      </c>
      <c r="P3149" t="s">
        <v>73</v>
      </c>
      <c r="Q3149" t="s">
        <v>32</v>
      </c>
    </row>
    <row r="3150" spans="1:17" x14ac:dyDescent="0.25">
      <c r="A3150" t="s">
        <v>3267</v>
      </c>
      <c r="B3150" s="1">
        <v>45985</v>
      </c>
      <c r="C3150" t="s">
        <v>79</v>
      </c>
      <c r="D3150" t="s">
        <v>91</v>
      </c>
      <c r="E3150" t="s">
        <v>20</v>
      </c>
      <c r="F3150" t="s">
        <v>62</v>
      </c>
      <c r="G3150" t="s">
        <v>85</v>
      </c>
      <c r="H3150" t="s">
        <v>57</v>
      </c>
      <c r="I3150" t="s">
        <v>160</v>
      </c>
      <c r="J3150">
        <v>18</v>
      </c>
      <c r="K3150">
        <v>24588.41</v>
      </c>
      <c r="L3150">
        <v>442591.38</v>
      </c>
      <c r="M3150">
        <v>2081.0100000000002</v>
      </c>
      <c r="N3150">
        <v>0</v>
      </c>
      <c r="O3150">
        <v>440510.37</v>
      </c>
      <c r="P3150" t="s">
        <v>73</v>
      </c>
      <c r="Q3150" t="s">
        <v>32</v>
      </c>
    </row>
    <row r="3151" spans="1:17" x14ac:dyDescent="0.25">
      <c r="A3151" t="s">
        <v>3268</v>
      </c>
      <c r="B3151" s="1">
        <v>45989</v>
      </c>
      <c r="C3151" t="s">
        <v>79</v>
      </c>
      <c r="D3151" t="s">
        <v>91</v>
      </c>
      <c r="E3151" t="s">
        <v>49</v>
      </c>
      <c r="F3151" t="s">
        <v>105</v>
      </c>
      <c r="G3151" t="s">
        <v>140</v>
      </c>
      <c r="H3151" t="s">
        <v>57</v>
      </c>
      <c r="I3151" t="s">
        <v>72</v>
      </c>
      <c r="J3151">
        <v>8</v>
      </c>
      <c r="K3151">
        <v>12904.21</v>
      </c>
      <c r="L3151">
        <v>103233.68</v>
      </c>
      <c r="M3151">
        <v>13888.61</v>
      </c>
      <c r="N3151">
        <v>0</v>
      </c>
      <c r="O3151">
        <v>89345.07</v>
      </c>
      <c r="P3151" t="s">
        <v>31</v>
      </c>
      <c r="Q3151" t="s">
        <v>32</v>
      </c>
    </row>
    <row r="3152" spans="1:17" x14ac:dyDescent="0.25">
      <c r="A3152" t="s">
        <v>3269</v>
      </c>
      <c r="B3152" s="1">
        <v>45996</v>
      </c>
      <c r="C3152" t="s">
        <v>60</v>
      </c>
      <c r="D3152" t="s">
        <v>61</v>
      </c>
      <c r="E3152" t="s">
        <v>35</v>
      </c>
      <c r="F3152" t="s">
        <v>42</v>
      </c>
      <c r="G3152" t="s">
        <v>66</v>
      </c>
      <c r="H3152" t="s">
        <v>23</v>
      </c>
      <c r="I3152" t="s">
        <v>24</v>
      </c>
      <c r="J3152">
        <v>5</v>
      </c>
      <c r="K3152">
        <v>12453.24</v>
      </c>
      <c r="L3152">
        <v>62266.2</v>
      </c>
      <c r="M3152">
        <v>4722.3900000000003</v>
      </c>
      <c r="N3152">
        <v>0</v>
      </c>
      <c r="O3152">
        <v>57543.81</v>
      </c>
      <c r="P3152" t="s">
        <v>31</v>
      </c>
      <c r="Q3152" t="s">
        <v>32</v>
      </c>
    </row>
    <row r="3153" spans="1:17" x14ac:dyDescent="0.25">
      <c r="A3153" t="s">
        <v>3270</v>
      </c>
      <c r="B3153" s="1">
        <v>46025</v>
      </c>
      <c r="C3153" t="s">
        <v>60</v>
      </c>
      <c r="D3153" t="s">
        <v>123</v>
      </c>
      <c r="E3153" t="s">
        <v>49</v>
      </c>
      <c r="F3153" t="s">
        <v>62</v>
      </c>
      <c r="G3153" t="s">
        <v>56</v>
      </c>
      <c r="H3153" t="s">
        <v>38</v>
      </c>
      <c r="I3153" t="s">
        <v>108</v>
      </c>
      <c r="J3153">
        <v>2</v>
      </c>
      <c r="K3153">
        <v>27856.47</v>
      </c>
      <c r="L3153">
        <v>55712.94</v>
      </c>
      <c r="M3153">
        <v>0</v>
      </c>
      <c r="N3153">
        <v>0</v>
      </c>
      <c r="O3153">
        <v>55712.94</v>
      </c>
      <c r="P3153" t="s">
        <v>32</v>
      </c>
      <c r="Q3153" t="s">
        <v>26</v>
      </c>
    </row>
    <row r="3154" spans="1:17" x14ac:dyDescent="0.25">
      <c r="A3154" t="s">
        <v>3271</v>
      </c>
      <c r="B3154" s="1">
        <v>45973</v>
      </c>
      <c r="C3154" t="s">
        <v>47</v>
      </c>
      <c r="D3154" t="s">
        <v>88</v>
      </c>
      <c r="E3154" t="s">
        <v>35</v>
      </c>
      <c r="F3154" t="s">
        <v>42</v>
      </c>
      <c r="G3154" t="s">
        <v>89</v>
      </c>
      <c r="H3154" t="s">
        <v>44</v>
      </c>
      <c r="I3154" t="s">
        <v>135</v>
      </c>
      <c r="J3154">
        <v>39</v>
      </c>
      <c r="K3154">
        <v>47828.83</v>
      </c>
      <c r="L3154">
        <v>1865324.37</v>
      </c>
      <c r="M3154">
        <v>243158.7</v>
      </c>
      <c r="N3154">
        <v>0</v>
      </c>
      <c r="O3154">
        <v>1622165.67</v>
      </c>
      <c r="P3154" t="s">
        <v>73</v>
      </c>
      <c r="Q3154" t="s">
        <v>32</v>
      </c>
    </row>
    <row r="3155" spans="1:17" x14ac:dyDescent="0.25">
      <c r="A3155" t="s">
        <v>3272</v>
      </c>
      <c r="B3155" s="1">
        <v>45964</v>
      </c>
      <c r="C3155" t="s">
        <v>60</v>
      </c>
      <c r="D3155" t="s">
        <v>123</v>
      </c>
      <c r="E3155" t="s">
        <v>49</v>
      </c>
      <c r="F3155" t="s">
        <v>36</v>
      </c>
      <c r="G3155" t="s">
        <v>51</v>
      </c>
      <c r="H3155" t="s">
        <v>23</v>
      </c>
      <c r="I3155" t="s">
        <v>99</v>
      </c>
      <c r="J3155">
        <v>5</v>
      </c>
      <c r="K3155">
        <v>3743.14</v>
      </c>
      <c r="L3155">
        <v>18715.7</v>
      </c>
      <c r="M3155">
        <v>3285.34</v>
      </c>
      <c r="N3155">
        <v>0</v>
      </c>
      <c r="O3155">
        <v>15430.36</v>
      </c>
      <c r="P3155" t="s">
        <v>25</v>
      </c>
      <c r="Q3155" t="s">
        <v>26</v>
      </c>
    </row>
    <row r="3156" spans="1:17" x14ac:dyDescent="0.25">
      <c r="A3156" t="s">
        <v>3273</v>
      </c>
      <c r="B3156" s="1">
        <v>46002</v>
      </c>
      <c r="C3156" t="s">
        <v>60</v>
      </c>
      <c r="D3156" t="s">
        <v>151</v>
      </c>
      <c r="E3156" t="s">
        <v>49</v>
      </c>
      <c r="F3156" t="s">
        <v>112</v>
      </c>
      <c r="G3156" t="s">
        <v>51</v>
      </c>
      <c r="H3156" t="s">
        <v>44</v>
      </c>
      <c r="I3156" t="s">
        <v>124</v>
      </c>
      <c r="J3156">
        <v>26</v>
      </c>
      <c r="K3156">
        <v>7159.91</v>
      </c>
      <c r="L3156">
        <v>186157.66</v>
      </c>
      <c r="M3156">
        <v>0</v>
      </c>
      <c r="N3156">
        <v>0</v>
      </c>
      <c r="O3156">
        <v>186157.66</v>
      </c>
      <c r="P3156" t="s">
        <v>31</v>
      </c>
      <c r="Q3156" t="s">
        <v>32</v>
      </c>
    </row>
    <row r="3157" spans="1:17" x14ac:dyDescent="0.25">
      <c r="A3157" t="s">
        <v>3274</v>
      </c>
      <c r="B3157" s="1">
        <v>45957</v>
      </c>
      <c r="C3157" t="s">
        <v>18</v>
      </c>
      <c r="D3157" t="s">
        <v>19</v>
      </c>
      <c r="E3157" t="s">
        <v>41</v>
      </c>
      <c r="F3157" t="s">
        <v>105</v>
      </c>
      <c r="G3157" t="s">
        <v>56</v>
      </c>
      <c r="H3157" t="s">
        <v>44</v>
      </c>
      <c r="I3157" t="s">
        <v>152</v>
      </c>
      <c r="J3157">
        <v>17</v>
      </c>
      <c r="K3157">
        <v>37166.76</v>
      </c>
      <c r="L3157">
        <v>631834.92000000004</v>
      </c>
      <c r="M3157">
        <v>61783.91</v>
      </c>
      <c r="N3157">
        <v>0</v>
      </c>
      <c r="O3157">
        <v>570051.01</v>
      </c>
      <c r="P3157" t="s">
        <v>31</v>
      </c>
      <c r="Q3157" t="s">
        <v>32</v>
      </c>
    </row>
    <row r="3158" spans="1:17" x14ac:dyDescent="0.25">
      <c r="A3158" t="s">
        <v>3275</v>
      </c>
      <c r="B3158" s="1">
        <v>45973</v>
      </c>
      <c r="C3158" t="s">
        <v>60</v>
      </c>
      <c r="D3158" t="s">
        <v>151</v>
      </c>
      <c r="E3158" t="s">
        <v>49</v>
      </c>
      <c r="F3158" t="s">
        <v>50</v>
      </c>
      <c r="G3158" t="s">
        <v>140</v>
      </c>
      <c r="H3158" t="s">
        <v>57</v>
      </c>
      <c r="I3158" t="s">
        <v>148</v>
      </c>
      <c r="J3158">
        <v>36</v>
      </c>
      <c r="K3158">
        <v>4333.96</v>
      </c>
      <c r="L3158">
        <v>156022.56</v>
      </c>
      <c r="M3158">
        <v>0</v>
      </c>
      <c r="N3158">
        <v>0</v>
      </c>
      <c r="O3158">
        <v>156022.56</v>
      </c>
      <c r="P3158" t="s">
        <v>32</v>
      </c>
      <c r="Q3158" t="s">
        <v>26</v>
      </c>
    </row>
    <row r="3159" spans="1:17" x14ac:dyDescent="0.25">
      <c r="A3159" t="s">
        <v>3276</v>
      </c>
      <c r="B3159" s="1">
        <v>46008</v>
      </c>
      <c r="C3159" t="s">
        <v>18</v>
      </c>
      <c r="D3159" t="s">
        <v>34</v>
      </c>
      <c r="E3159" t="s">
        <v>20</v>
      </c>
      <c r="F3159" t="s">
        <v>62</v>
      </c>
      <c r="G3159" t="s">
        <v>138</v>
      </c>
      <c r="H3159" t="s">
        <v>67</v>
      </c>
      <c r="I3159" t="s">
        <v>103</v>
      </c>
      <c r="J3159">
        <v>47</v>
      </c>
      <c r="K3159">
        <v>40319.449999999997</v>
      </c>
      <c r="L3159">
        <v>1895014.15</v>
      </c>
      <c r="M3159">
        <v>250789.99</v>
      </c>
      <c r="N3159">
        <v>208342.1</v>
      </c>
      <c r="O3159">
        <v>1435882.06</v>
      </c>
      <c r="P3159" t="s">
        <v>73</v>
      </c>
      <c r="Q3159" t="s">
        <v>32</v>
      </c>
    </row>
    <row r="3160" spans="1:17" x14ac:dyDescent="0.25">
      <c r="A3160" t="s">
        <v>3277</v>
      </c>
      <c r="B3160" s="1">
        <v>46009</v>
      </c>
      <c r="C3160" t="s">
        <v>47</v>
      </c>
      <c r="D3160" t="s">
        <v>114</v>
      </c>
      <c r="E3160" t="s">
        <v>41</v>
      </c>
      <c r="F3160" t="s">
        <v>21</v>
      </c>
      <c r="G3160" t="s">
        <v>37</v>
      </c>
      <c r="H3160" t="s">
        <v>44</v>
      </c>
      <c r="I3160" t="s">
        <v>281</v>
      </c>
      <c r="J3160">
        <v>12</v>
      </c>
      <c r="K3160">
        <v>9081</v>
      </c>
      <c r="L3160">
        <v>108972</v>
      </c>
      <c r="M3160">
        <v>0</v>
      </c>
      <c r="N3160">
        <v>7671.86</v>
      </c>
      <c r="O3160">
        <v>101300.14</v>
      </c>
      <c r="P3160" t="s">
        <v>31</v>
      </c>
      <c r="Q3160" t="s">
        <v>32</v>
      </c>
    </row>
    <row r="3161" spans="1:17" x14ac:dyDescent="0.25">
      <c r="A3161" t="s">
        <v>3278</v>
      </c>
      <c r="B3161" s="1">
        <v>46040</v>
      </c>
      <c r="C3161" t="s">
        <v>47</v>
      </c>
      <c r="D3161" t="s">
        <v>114</v>
      </c>
      <c r="E3161" t="s">
        <v>49</v>
      </c>
      <c r="F3161" t="s">
        <v>21</v>
      </c>
      <c r="G3161" t="s">
        <v>89</v>
      </c>
      <c r="H3161" t="s">
        <v>38</v>
      </c>
      <c r="I3161" t="s">
        <v>120</v>
      </c>
      <c r="J3161">
        <v>38</v>
      </c>
      <c r="K3161">
        <v>22959.68</v>
      </c>
      <c r="L3161">
        <v>872467.84</v>
      </c>
      <c r="M3161">
        <v>0</v>
      </c>
      <c r="N3161">
        <v>0</v>
      </c>
      <c r="O3161">
        <v>872467.84</v>
      </c>
      <c r="P3161" t="s">
        <v>25</v>
      </c>
      <c r="Q3161" t="s">
        <v>128</v>
      </c>
    </row>
    <row r="3162" spans="1:17" x14ac:dyDescent="0.25">
      <c r="A3162" t="s">
        <v>3279</v>
      </c>
      <c r="B3162" s="1">
        <v>45998</v>
      </c>
      <c r="C3162" t="s">
        <v>18</v>
      </c>
      <c r="D3162" t="s">
        <v>19</v>
      </c>
      <c r="E3162" t="s">
        <v>35</v>
      </c>
      <c r="F3162" t="s">
        <v>84</v>
      </c>
      <c r="G3162" t="s">
        <v>22</v>
      </c>
      <c r="H3162" t="s">
        <v>44</v>
      </c>
      <c r="I3162" t="s">
        <v>135</v>
      </c>
      <c r="J3162">
        <v>43</v>
      </c>
      <c r="K3162">
        <v>7634.22</v>
      </c>
      <c r="L3162">
        <v>328271.46000000002</v>
      </c>
      <c r="M3162">
        <v>46410.33</v>
      </c>
      <c r="N3162">
        <v>0</v>
      </c>
      <c r="O3162">
        <v>281861.13</v>
      </c>
      <c r="P3162" t="s">
        <v>25</v>
      </c>
      <c r="Q3162" t="s">
        <v>26</v>
      </c>
    </row>
    <row r="3163" spans="1:17" x14ac:dyDescent="0.25">
      <c r="A3163" t="s">
        <v>3280</v>
      </c>
      <c r="B3163" s="1">
        <v>45961</v>
      </c>
      <c r="C3163" t="s">
        <v>47</v>
      </c>
      <c r="D3163" t="s">
        <v>48</v>
      </c>
      <c r="E3163" t="s">
        <v>20</v>
      </c>
      <c r="F3163" t="s">
        <v>50</v>
      </c>
      <c r="G3163" t="s">
        <v>138</v>
      </c>
      <c r="H3163" t="s">
        <v>38</v>
      </c>
      <c r="I3163" t="s">
        <v>175</v>
      </c>
      <c r="J3163">
        <v>27</v>
      </c>
      <c r="K3163">
        <v>43597.74</v>
      </c>
      <c r="L3163">
        <v>1177138.98</v>
      </c>
      <c r="M3163">
        <v>212821.27</v>
      </c>
      <c r="N3163">
        <v>0</v>
      </c>
      <c r="O3163">
        <v>964317.71</v>
      </c>
      <c r="P3163" t="s">
        <v>32</v>
      </c>
      <c r="Q3163" t="s">
        <v>32</v>
      </c>
    </row>
    <row r="3164" spans="1:17" x14ac:dyDescent="0.25">
      <c r="A3164" t="s">
        <v>3281</v>
      </c>
      <c r="B3164" s="1">
        <v>46034</v>
      </c>
      <c r="C3164" t="s">
        <v>54</v>
      </c>
      <c r="D3164" t="s">
        <v>55</v>
      </c>
      <c r="E3164" t="s">
        <v>41</v>
      </c>
      <c r="F3164" t="s">
        <v>137</v>
      </c>
      <c r="G3164" t="s">
        <v>81</v>
      </c>
      <c r="H3164" t="s">
        <v>38</v>
      </c>
      <c r="I3164" t="s">
        <v>175</v>
      </c>
      <c r="J3164">
        <v>30</v>
      </c>
      <c r="K3164">
        <v>48258.63</v>
      </c>
      <c r="L3164">
        <v>1447758.9</v>
      </c>
      <c r="M3164">
        <v>105088.54</v>
      </c>
      <c r="N3164">
        <v>0</v>
      </c>
      <c r="O3164">
        <v>1342670.36</v>
      </c>
      <c r="P3164" t="s">
        <v>73</v>
      </c>
      <c r="Q3164" t="s">
        <v>26</v>
      </c>
    </row>
    <row r="3165" spans="1:17" x14ac:dyDescent="0.25">
      <c r="A3165" t="s">
        <v>3282</v>
      </c>
      <c r="B3165" s="1">
        <v>46028</v>
      </c>
      <c r="C3165" t="s">
        <v>18</v>
      </c>
      <c r="D3165" t="s">
        <v>28</v>
      </c>
      <c r="E3165" t="s">
        <v>41</v>
      </c>
      <c r="F3165" t="s">
        <v>36</v>
      </c>
      <c r="G3165" t="s">
        <v>98</v>
      </c>
      <c r="H3165" t="s">
        <v>94</v>
      </c>
      <c r="I3165" t="s">
        <v>95</v>
      </c>
      <c r="J3165">
        <v>35</v>
      </c>
      <c r="K3165">
        <v>33624.559999999998</v>
      </c>
      <c r="L3165">
        <v>1176859.6000000001</v>
      </c>
      <c r="M3165">
        <v>0</v>
      </c>
      <c r="N3165">
        <v>0</v>
      </c>
      <c r="O3165">
        <v>1176859.6000000001</v>
      </c>
      <c r="P3165" t="s">
        <v>73</v>
      </c>
      <c r="Q3165" t="s">
        <v>32</v>
      </c>
    </row>
    <row r="3166" spans="1:17" x14ac:dyDescent="0.25">
      <c r="A3166" t="s">
        <v>3283</v>
      </c>
      <c r="B3166" s="1">
        <v>45955</v>
      </c>
      <c r="C3166" t="s">
        <v>79</v>
      </c>
      <c r="D3166" t="s">
        <v>101</v>
      </c>
      <c r="E3166" t="s">
        <v>20</v>
      </c>
      <c r="F3166" t="s">
        <v>71</v>
      </c>
      <c r="G3166" t="s">
        <v>85</v>
      </c>
      <c r="H3166" t="s">
        <v>23</v>
      </c>
      <c r="I3166" t="s">
        <v>99</v>
      </c>
      <c r="J3166">
        <v>48</v>
      </c>
      <c r="K3166">
        <v>19809.48</v>
      </c>
      <c r="L3166">
        <v>950855.04</v>
      </c>
      <c r="M3166">
        <v>40863.53</v>
      </c>
      <c r="N3166">
        <v>0</v>
      </c>
      <c r="O3166">
        <v>909991.51</v>
      </c>
      <c r="P3166" t="s">
        <v>73</v>
      </c>
      <c r="Q3166" t="s">
        <v>32</v>
      </c>
    </row>
    <row r="3167" spans="1:17" x14ac:dyDescent="0.25">
      <c r="A3167" t="s">
        <v>3284</v>
      </c>
      <c r="B3167" s="1">
        <v>45982</v>
      </c>
      <c r="C3167" t="s">
        <v>47</v>
      </c>
      <c r="D3167" t="s">
        <v>114</v>
      </c>
      <c r="E3167" t="s">
        <v>35</v>
      </c>
      <c r="F3167" t="s">
        <v>62</v>
      </c>
      <c r="G3167" t="s">
        <v>63</v>
      </c>
      <c r="H3167" t="s">
        <v>67</v>
      </c>
      <c r="I3167" t="s">
        <v>68</v>
      </c>
      <c r="J3167">
        <v>27</v>
      </c>
      <c r="K3167">
        <v>7726.77</v>
      </c>
      <c r="L3167">
        <v>208622.79</v>
      </c>
      <c r="M3167">
        <v>0</v>
      </c>
      <c r="N3167">
        <v>0</v>
      </c>
      <c r="O3167">
        <v>208622.79</v>
      </c>
      <c r="P3167" t="s">
        <v>25</v>
      </c>
      <c r="Q3167" t="s">
        <v>26</v>
      </c>
    </row>
    <row r="3168" spans="1:17" x14ac:dyDescent="0.25">
      <c r="A3168" t="s">
        <v>3285</v>
      </c>
      <c r="B3168" s="1">
        <v>46030</v>
      </c>
      <c r="C3168" t="s">
        <v>79</v>
      </c>
      <c r="D3168" t="s">
        <v>80</v>
      </c>
      <c r="E3168" t="s">
        <v>49</v>
      </c>
      <c r="F3168" t="s">
        <v>71</v>
      </c>
      <c r="G3168" t="s">
        <v>51</v>
      </c>
      <c r="H3168" t="s">
        <v>67</v>
      </c>
      <c r="I3168" t="s">
        <v>103</v>
      </c>
      <c r="J3168">
        <v>43</v>
      </c>
      <c r="K3168">
        <v>20406.560000000001</v>
      </c>
      <c r="L3168">
        <v>877482.08</v>
      </c>
      <c r="M3168">
        <v>152193</v>
      </c>
      <c r="N3168">
        <v>0</v>
      </c>
      <c r="O3168">
        <v>725289.08</v>
      </c>
      <c r="P3168" t="s">
        <v>73</v>
      </c>
      <c r="Q3168" t="s">
        <v>32</v>
      </c>
    </row>
    <row r="3169" spans="1:17" x14ac:dyDescent="0.25">
      <c r="A3169" t="s">
        <v>3286</v>
      </c>
      <c r="B3169" s="1">
        <v>45960</v>
      </c>
      <c r="C3169" t="s">
        <v>79</v>
      </c>
      <c r="D3169" t="s">
        <v>91</v>
      </c>
      <c r="E3169" t="s">
        <v>41</v>
      </c>
      <c r="F3169" t="s">
        <v>137</v>
      </c>
      <c r="G3169" t="s">
        <v>140</v>
      </c>
      <c r="H3169" t="s">
        <v>57</v>
      </c>
      <c r="I3169" t="s">
        <v>58</v>
      </c>
      <c r="J3169">
        <v>12</v>
      </c>
      <c r="K3169">
        <v>40764.300000000003</v>
      </c>
      <c r="L3169">
        <v>489171.6</v>
      </c>
      <c r="M3169">
        <v>71993.490000000005</v>
      </c>
      <c r="N3169">
        <v>0</v>
      </c>
      <c r="O3169">
        <v>417178.11</v>
      </c>
      <c r="P3169" t="s">
        <v>73</v>
      </c>
      <c r="Q3169" t="s">
        <v>32</v>
      </c>
    </row>
    <row r="3170" spans="1:17" x14ac:dyDescent="0.25">
      <c r="A3170" t="s">
        <v>3287</v>
      </c>
      <c r="B3170" s="1">
        <v>45971</v>
      </c>
      <c r="C3170" t="s">
        <v>60</v>
      </c>
      <c r="D3170" t="s">
        <v>65</v>
      </c>
      <c r="E3170" t="s">
        <v>35</v>
      </c>
      <c r="F3170" t="s">
        <v>50</v>
      </c>
      <c r="G3170" t="s">
        <v>37</v>
      </c>
      <c r="H3170" t="s">
        <v>94</v>
      </c>
      <c r="I3170" t="s">
        <v>163</v>
      </c>
      <c r="J3170">
        <v>17</v>
      </c>
      <c r="K3170">
        <v>4125.67</v>
      </c>
      <c r="L3170">
        <v>70136.39</v>
      </c>
      <c r="M3170">
        <v>566.87</v>
      </c>
      <c r="N3170">
        <v>0</v>
      </c>
      <c r="O3170">
        <v>69569.52</v>
      </c>
      <c r="P3170" t="s">
        <v>32</v>
      </c>
      <c r="Q3170" t="s">
        <v>32</v>
      </c>
    </row>
    <row r="3171" spans="1:17" x14ac:dyDescent="0.25">
      <c r="A3171" t="s">
        <v>3288</v>
      </c>
      <c r="B3171" s="1">
        <v>46022</v>
      </c>
      <c r="C3171" t="s">
        <v>18</v>
      </c>
      <c r="D3171" t="s">
        <v>75</v>
      </c>
      <c r="E3171" t="s">
        <v>20</v>
      </c>
      <c r="F3171" t="s">
        <v>50</v>
      </c>
      <c r="G3171" t="s">
        <v>43</v>
      </c>
      <c r="H3171" t="s">
        <v>67</v>
      </c>
      <c r="I3171" t="s">
        <v>77</v>
      </c>
      <c r="J3171">
        <v>44</v>
      </c>
      <c r="K3171">
        <v>16458.5</v>
      </c>
      <c r="L3171">
        <v>724174</v>
      </c>
      <c r="M3171">
        <v>127545.03</v>
      </c>
      <c r="N3171">
        <v>0</v>
      </c>
      <c r="O3171">
        <v>596628.97</v>
      </c>
      <c r="P3171" t="s">
        <v>25</v>
      </c>
      <c r="Q3171" t="s">
        <v>26</v>
      </c>
    </row>
    <row r="3172" spans="1:17" x14ac:dyDescent="0.25">
      <c r="A3172" t="s">
        <v>3289</v>
      </c>
      <c r="B3172" s="1">
        <v>46019</v>
      </c>
      <c r="C3172" t="s">
        <v>79</v>
      </c>
      <c r="D3172" t="s">
        <v>91</v>
      </c>
      <c r="E3172" t="s">
        <v>20</v>
      </c>
      <c r="F3172" t="s">
        <v>84</v>
      </c>
      <c r="G3172" t="s">
        <v>98</v>
      </c>
      <c r="H3172" t="s">
        <v>44</v>
      </c>
      <c r="I3172" t="s">
        <v>124</v>
      </c>
      <c r="J3172">
        <v>13</v>
      </c>
      <c r="K3172">
        <v>4242.01</v>
      </c>
      <c r="L3172">
        <v>55146.13</v>
      </c>
      <c r="M3172">
        <v>11012.39</v>
      </c>
      <c r="N3172">
        <v>0</v>
      </c>
      <c r="O3172">
        <v>44133.74</v>
      </c>
      <c r="P3172" t="s">
        <v>25</v>
      </c>
      <c r="Q3172" t="s">
        <v>26</v>
      </c>
    </row>
    <row r="3173" spans="1:17" x14ac:dyDescent="0.25">
      <c r="A3173" t="s">
        <v>3290</v>
      </c>
      <c r="B3173" s="1">
        <v>45985</v>
      </c>
      <c r="C3173" t="s">
        <v>79</v>
      </c>
      <c r="D3173" t="s">
        <v>101</v>
      </c>
      <c r="E3173" t="s">
        <v>49</v>
      </c>
      <c r="F3173" t="s">
        <v>42</v>
      </c>
      <c r="G3173" t="s">
        <v>81</v>
      </c>
      <c r="H3173" t="s">
        <v>44</v>
      </c>
      <c r="I3173" t="s">
        <v>152</v>
      </c>
      <c r="J3173">
        <v>46</v>
      </c>
      <c r="K3173">
        <v>15337.02</v>
      </c>
      <c r="L3173">
        <v>705502.92</v>
      </c>
      <c r="M3173">
        <v>0</v>
      </c>
      <c r="N3173">
        <v>0</v>
      </c>
      <c r="O3173">
        <v>705502.92</v>
      </c>
      <c r="P3173" t="s">
        <v>25</v>
      </c>
      <c r="Q3173" t="s">
        <v>26</v>
      </c>
    </row>
    <row r="3174" spans="1:17" x14ac:dyDescent="0.25">
      <c r="A3174" t="s">
        <v>3291</v>
      </c>
      <c r="B3174" s="1">
        <v>46037</v>
      </c>
      <c r="C3174" t="s">
        <v>54</v>
      </c>
      <c r="D3174" t="s">
        <v>55</v>
      </c>
      <c r="E3174" t="s">
        <v>49</v>
      </c>
      <c r="F3174" t="s">
        <v>112</v>
      </c>
      <c r="G3174" t="s">
        <v>140</v>
      </c>
      <c r="H3174" t="s">
        <v>38</v>
      </c>
      <c r="I3174" t="s">
        <v>175</v>
      </c>
      <c r="J3174">
        <v>23</v>
      </c>
      <c r="K3174">
        <v>24771.57</v>
      </c>
      <c r="L3174">
        <v>569746.11</v>
      </c>
      <c r="M3174">
        <v>4443.6499999999996</v>
      </c>
      <c r="N3174">
        <v>0</v>
      </c>
      <c r="O3174">
        <v>565302.46</v>
      </c>
      <c r="P3174" t="s">
        <v>25</v>
      </c>
      <c r="Q3174" t="s">
        <v>26</v>
      </c>
    </row>
    <row r="3175" spans="1:17" x14ac:dyDescent="0.25">
      <c r="A3175" t="s">
        <v>3292</v>
      </c>
      <c r="B3175" s="1">
        <v>45963</v>
      </c>
      <c r="C3175" t="s">
        <v>47</v>
      </c>
      <c r="D3175" t="s">
        <v>48</v>
      </c>
      <c r="E3175" t="s">
        <v>20</v>
      </c>
      <c r="F3175" t="s">
        <v>137</v>
      </c>
      <c r="G3175" t="s">
        <v>138</v>
      </c>
      <c r="H3175" t="s">
        <v>38</v>
      </c>
      <c r="I3175" t="s">
        <v>108</v>
      </c>
      <c r="J3175">
        <v>45</v>
      </c>
      <c r="K3175">
        <v>36914.54</v>
      </c>
      <c r="L3175">
        <v>1661154.3</v>
      </c>
      <c r="M3175">
        <v>0</v>
      </c>
      <c r="N3175">
        <v>0</v>
      </c>
      <c r="O3175">
        <v>1661154.3</v>
      </c>
      <c r="P3175" t="s">
        <v>31</v>
      </c>
      <c r="Q3175" t="s">
        <v>32</v>
      </c>
    </row>
    <row r="3176" spans="1:17" x14ac:dyDescent="0.25">
      <c r="A3176" t="s">
        <v>3293</v>
      </c>
      <c r="B3176" s="1">
        <v>45987</v>
      </c>
      <c r="C3176" t="s">
        <v>60</v>
      </c>
      <c r="D3176" t="s">
        <v>65</v>
      </c>
      <c r="E3176" t="s">
        <v>35</v>
      </c>
      <c r="F3176" t="s">
        <v>112</v>
      </c>
      <c r="G3176" t="s">
        <v>102</v>
      </c>
      <c r="H3176" t="s">
        <v>94</v>
      </c>
      <c r="I3176" t="s">
        <v>144</v>
      </c>
      <c r="J3176">
        <v>26</v>
      </c>
      <c r="K3176">
        <v>39591.620000000003</v>
      </c>
      <c r="L3176">
        <v>1029382.12</v>
      </c>
      <c r="M3176">
        <v>22438.799999999999</v>
      </c>
      <c r="N3176">
        <v>0</v>
      </c>
      <c r="O3176">
        <v>1006943.32</v>
      </c>
      <c r="P3176" t="s">
        <v>31</v>
      </c>
      <c r="Q3176" t="s">
        <v>32</v>
      </c>
    </row>
    <row r="3177" spans="1:17" x14ac:dyDescent="0.25">
      <c r="A3177" t="s">
        <v>3294</v>
      </c>
      <c r="B3177" s="1">
        <v>46040</v>
      </c>
      <c r="C3177" t="s">
        <v>79</v>
      </c>
      <c r="D3177" t="s">
        <v>80</v>
      </c>
      <c r="E3177" t="s">
        <v>35</v>
      </c>
      <c r="F3177" t="s">
        <v>71</v>
      </c>
      <c r="G3177" t="s">
        <v>102</v>
      </c>
      <c r="H3177" t="s">
        <v>57</v>
      </c>
      <c r="I3177" t="s">
        <v>72</v>
      </c>
      <c r="J3177">
        <v>7</v>
      </c>
      <c r="K3177">
        <v>30767.39</v>
      </c>
      <c r="L3177">
        <v>215371.73</v>
      </c>
      <c r="M3177">
        <v>10814.16</v>
      </c>
      <c r="N3177">
        <v>0</v>
      </c>
      <c r="O3177">
        <v>204557.57</v>
      </c>
      <c r="P3177" t="s">
        <v>73</v>
      </c>
      <c r="Q3177" t="s">
        <v>32</v>
      </c>
    </row>
    <row r="3178" spans="1:17" x14ac:dyDescent="0.25">
      <c r="A3178" t="s">
        <v>3295</v>
      </c>
      <c r="B3178" s="1">
        <v>45956</v>
      </c>
      <c r="C3178" t="s">
        <v>54</v>
      </c>
      <c r="D3178" t="s">
        <v>55</v>
      </c>
      <c r="E3178" t="s">
        <v>41</v>
      </c>
      <c r="F3178" t="s">
        <v>71</v>
      </c>
      <c r="G3178" t="s">
        <v>102</v>
      </c>
      <c r="H3178" t="s">
        <v>67</v>
      </c>
      <c r="I3178" t="s">
        <v>201</v>
      </c>
      <c r="J3178">
        <v>30</v>
      </c>
      <c r="K3178">
        <v>38312.46</v>
      </c>
      <c r="L3178">
        <v>1149373.8</v>
      </c>
      <c r="M3178">
        <v>21197.85</v>
      </c>
      <c r="N3178">
        <v>292084.12</v>
      </c>
      <c r="O3178">
        <v>836091.83</v>
      </c>
      <c r="P3178" t="s">
        <v>31</v>
      </c>
      <c r="Q3178" t="s">
        <v>32</v>
      </c>
    </row>
    <row r="3179" spans="1:17" x14ac:dyDescent="0.25">
      <c r="A3179" t="s">
        <v>3296</v>
      </c>
      <c r="B3179" s="1">
        <v>46022</v>
      </c>
      <c r="C3179" t="s">
        <v>47</v>
      </c>
      <c r="D3179" t="s">
        <v>48</v>
      </c>
      <c r="E3179" t="s">
        <v>49</v>
      </c>
      <c r="F3179" t="s">
        <v>50</v>
      </c>
      <c r="G3179" t="s">
        <v>81</v>
      </c>
      <c r="H3179" t="s">
        <v>44</v>
      </c>
      <c r="I3179" t="s">
        <v>141</v>
      </c>
      <c r="J3179">
        <v>30</v>
      </c>
      <c r="K3179">
        <v>28821.53</v>
      </c>
      <c r="L3179">
        <v>864645.9</v>
      </c>
      <c r="M3179">
        <v>44352.45</v>
      </c>
      <c r="N3179">
        <v>0</v>
      </c>
      <c r="O3179">
        <v>820293.45</v>
      </c>
      <c r="P3179" t="s">
        <v>73</v>
      </c>
      <c r="Q3179" t="s">
        <v>26</v>
      </c>
    </row>
    <row r="3180" spans="1:17" x14ac:dyDescent="0.25">
      <c r="A3180" t="s">
        <v>3297</v>
      </c>
      <c r="B3180" s="1">
        <v>45966</v>
      </c>
      <c r="C3180" t="s">
        <v>79</v>
      </c>
      <c r="D3180" t="s">
        <v>91</v>
      </c>
      <c r="E3180" t="s">
        <v>20</v>
      </c>
      <c r="F3180" t="s">
        <v>105</v>
      </c>
      <c r="G3180" t="s">
        <v>102</v>
      </c>
      <c r="H3180" t="s">
        <v>44</v>
      </c>
      <c r="I3180" t="s">
        <v>135</v>
      </c>
      <c r="J3180">
        <v>44</v>
      </c>
      <c r="K3180">
        <v>27296.71</v>
      </c>
      <c r="L3180">
        <v>1201055.24</v>
      </c>
      <c r="M3180">
        <v>229132.24</v>
      </c>
      <c r="N3180">
        <v>0</v>
      </c>
      <c r="O3180">
        <v>971923</v>
      </c>
      <c r="P3180" t="s">
        <v>31</v>
      </c>
      <c r="Q3180" t="s">
        <v>32</v>
      </c>
    </row>
    <row r="3181" spans="1:17" x14ac:dyDescent="0.25">
      <c r="A3181" t="s">
        <v>3298</v>
      </c>
      <c r="B3181" s="1">
        <v>45987</v>
      </c>
      <c r="C3181" t="s">
        <v>54</v>
      </c>
      <c r="D3181" t="s">
        <v>55</v>
      </c>
      <c r="E3181" t="s">
        <v>49</v>
      </c>
      <c r="F3181" t="s">
        <v>84</v>
      </c>
      <c r="G3181" t="s">
        <v>63</v>
      </c>
      <c r="H3181" t="s">
        <v>94</v>
      </c>
      <c r="I3181" t="s">
        <v>95</v>
      </c>
      <c r="J3181">
        <v>34</v>
      </c>
      <c r="K3181">
        <v>45784.65</v>
      </c>
      <c r="L3181">
        <v>1556678.1</v>
      </c>
      <c r="M3181">
        <v>63708.45</v>
      </c>
      <c r="N3181">
        <v>0</v>
      </c>
      <c r="O3181">
        <v>1492969.65</v>
      </c>
      <c r="P3181" t="s">
        <v>73</v>
      </c>
      <c r="Q3181" t="s">
        <v>26</v>
      </c>
    </row>
    <row r="3182" spans="1:17" x14ac:dyDescent="0.25">
      <c r="A3182" t="s">
        <v>3299</v>
      </c>
      <c r="B3182" s="1">
        <v>45962</v>
      </c>
      <c r="C3182" t="s">
        <v>47</v>
      </c>
      <c r="D3182" t="s">
        <v>88</v>
      </c>
      <c r="E3182" t="s">
        <v>35</v>
      </c>
      <c r="F3182" t="s">
        <v>137</v>
      </c>
      <c r="G3182" t="s">
        <v>63</v>
      </c>
      <c r="H3182" t="s">
        <v>57</v>
      </c>
      <c r="I3182" t="s">
        <v>148</v>
      </c>
      <c r="J3182">
        <v>22</v>
      </c>
      <c r="K3182">
        <v>21233.89</v>
      </c>
      <c r="L3182">
        <v>467145.58</v>
      </c>
      <c r="M3182">
        <v>45906.98</v>
      </c>
      <c r="N3182">
        <v>2087.36</v>
      </c>
      <c r="O3182">
        <v>419151.24</v>
      </c>
      <c r="P3182" t="s">
        <v>25</v>
      </c>
      <c r="Q3182" t="s">
        <v>26</v>
      </c>
    </row>
    <row r="3183" spans="1:17" x14ac:dyDescent="0.25">
      <c r="A3183" t="s">
        <v>3300</v>
      </c>
      <c r="B3183" s="1">
        <v>45971</v>
      </c>
      <c r="C3183" t="s">
        <v>60</v>
      </c>
      <c r="D3183" t="s">
        <v>151</v>
      </c>
      <c r="E3183" t="s">
        <v>20</v>
      </c>
      <c r="F3183" t="s">
        <v>42</v>
      </c>
      <c r="G3183" t="s">
        <v>29</v>
      </c>
      <c r="H3183" t="s">
        <v>57</v>
      </c>
      <c r="I3183" t="s">
        <v>118</v>
      </c>
      <c r="J3183">
        <v>23</v>
      </c>
      <c r="K3183">
        <v>17512.21</v>
      </c>
      <c r="L3183">
        <v>402780.83</v>
      </c>
      <c r="M3183">
        <v>53379.19</v>
      </c>
      <c r="N3183">
        <v>0</v>
      </c>
      <c r="O3183">
        <v>349401.64</v>
      </c>
      <c r="P3183" t="s">
        <v>25</v>
      </c>
      <c r="Q3183" t="s">
        <v>26</v>
      </c>
    </row>
    <row r="3184" spans="1:17" x14ac:dyDescent="0.25">
      <c r="A3184" t="s">
        <v>3301</v>
      </c>
      <c r="B3184" s="1">
        <v>46033</v>
      </c>
      <c r="C3184" t="s">
        <v>79</v>
      </c>
      <c r="D3184" t="s">
        <v>107</v>
      </c>
      <c r="E3184" t="s">
        <v>20</v>
      </c>
      <c r="F3184" t="s">
        <v>62</v>
      </c>
      <c r="G3184" t="s">
        <v>29</v>
      </c>
      <c r="H3184" t="s">
        <v>44</v>
      </c>
      <c r="I3184" t="s">
        <v>141</v>
      </c>
      <c r="J3184">
        <v>19</v>
      </c>
      <c r="K3184">
        <v>38652.879999999997</v>
      </c>
      <c r="L3184">
        <v>734404.72</v>
      </c>
      <c r="M3184">
        <v>144054.60999999999</v>
      </c>
      <c r="N3184">
        <v>0</v>
      </c>
      <c r="O3184">
        <v>590350.11</v>
      </c>
      <c r="P3184" t="s">
        <v>25</v>
      </c>
      <c r="Q3184" t="s">
        <v>26</v>
      </c>
    </row>
    <row r="3185" spans="1:17" x14ac:dyDescent="0.25">
      <c r="A3185" t="s">
        <v>3302</v>
      </c>
      <c r="B3185" s="1">
        <v>45957</v>
      </c>
      <c r="C3185" t="s">
        <v>54</v>
      </c>
      <c r="D3185" t="s">
        <v>70</v>
      </c>
      <c r="E3185" t="s">
        <v>49</v>
      </c>
      <c r="F3185" t="s">
        <v>36</v>
      </c>
      <c r="G3185" t="s">
        <v>102</v>
      </c>
      <c r="H3185" t="s">
        <v>44</v>
      </c>
      <c r="I3185" t="s">
        <v>124</v>
      </c>
      <c r="J3185">
        <v>16</v>
      </c>
      <c r="K3185">
        <v>42477.1</v>
      </c>
      <c r="L3185">
        <v>679633.6</v>
      </c>
      <c r="M3185">
        <v>108220.72</v>
      </c>
      <c r="N3185">
        <v>0</v>
      </c>
      <c r="O3185">
        <v>571412.88</v>
      </c>
      <c r="P3185" t="s">
        <v>32</v>
      </c>
      <c r="Q3185" t="s">
        <v>32</v>
      </c>
    </row>
    <row r="3186" spans="1:17" x14ac:dyDescent="0.25">
      <c r="A3186" t="s">
        <v>3303</v>
      </c>
      <c r="B3186" s="1">
        <v>46015</v>
      </c>
      <c r="C3186" t="s">
        <v>54</v>
      </c>
      <c r="D3186" t="s">
        <v>55</v>
      </c>
      <c r="E3186" t="s">
        <v>41</v>
      </c>
      <c r="F3186" t="s">
        <v>137</v>
      </c>
      <c r="G3186" t="s">
        <v>22</v>
      </c>
      <c r="H3186" t="s">
        <v>38</v>
      </c>
      <c r="I3186" t="s">
        <v>108</v>
      </c>
      <c r="J3186">
        <v>23</v>
      </c>
      <c r="K3186">
        <v>31490.43</v>
      </c>
      <c r="L3186">
        <v>724279.89</v>
      </c>
      <c r="M3186">
        <v>14353.27</v>
      </c>
      <c r="N3186">
        <v>0</v>
      </c>
      <c r="O3186">
        <v>709926.62</v>
      </c>
      <c r="P3186" t="s">
        <v>25</v>
      </c>
      <c r="Q3186" t="s">
        <v>26</v>
      </c>
    </row>
    <row r="3187" spans="1:17" x14ac:dyDescent="0.25">
      <c r="A3187" t="s">
        <v>3304</v>
      </c>
      <c r="B3187" s="1">
        <v>45976</v>
      </c>
      <c r="C3187" t="s">
        <v>54</v>
      </c>
      <c r="D3187" t="s">
        <v>70</v>
      </c>
      <c r="E3187" t="s">
        <v>35</v>
      </c>
      <c r="F3187" t="s">
        <v>21</v>
      </c>
      <c r="G3187" t="s">
        <v>66</v>
      </c>
      <c r="H3187" t="s">
        <v>44</v>
      </c>
      <c r="I3187" t="s">
        <v>45</v>
      </c>
      <c r="J3187">
        <v>36</v>
      </c>
      <c r="K3187">
        <v>3174.56</v>
      </c>
      <c r="L3187">
        <v>114284.16</v>
      </c>
      <c r="M3187">
        <v>16871.689999999999</v>
      </c>
      <c r="N3187">
        <v>0</v>
      </c>
      <c r="O3187">
        <v>97412.47</v>
      </c>
      <c r="P3187" t="s">
        <v>25</v>
      </c>
      <c r="Q3187" t="s">
        <v>26</v>
      </c>
    </row>
    <row r="3188" spans="1:17" x14ac:dyDescent="0.25">
      <c r="A3188" t="s">
        <v>3305</v>
      </c>
      <c r="B3188" s="1">
        <v>46004</v>
      </c>
      <c r="C3188" t="s">
        <v>60</v>
      </c>
      <c r="D3188" t="s">
        <v>123</v>
      </c>
      <c r="E3188" t="s">
        <v>20</v>
      </c>
      <c r="F3188" t="s">
        <v>112</v>
      </c>
      <c r="G3188" t="s">
        <v>138</v>
      </c>
      <c r="H3188" t="s">
        <v>38</v>
      </c>
      <c r="I3188" t="s">
        <v>86</v>
      </c>
      <c r="J3188">
        <v>35</v>
      </c>
      <c r="K3188">
        <v>47647.08</v>
      </c>
      <c r="L3188">
        <v>1667647.8</v>
      </c>
      <c r="M3188">
        <v>205881.01</v>
      </c>
      <c r="N3188">
        <v>0</v>
      </c>
      <c r="O3188">
        <v>1461766.79</v>
      </c>
      <c r="P3188" t="s">
        <v>32</v>
      </c>
      <c r="Q3188" t="s">
        <v>32</v>
      </c>
    </row>
    <row r="3189" spans="1:17" x14ac:dyDescent="0.25">
      <c r="A3189" t="s">
        <v>3306</v>
      </c>
      <c r="B3189" s="1">
        <v>45977</v>
      </c>
      <c r="C3189" t="s">
        <v>79</v>
      </c>
      <c r="D3189" t="s">
        <v>107</v>
      </c>
      <c r="E3189" t="s">
        <v>20</v>
      </c>
      <c r="F3189" t="s">
        <v>105</v>
      </c>
      <c r="G3189" t="s">
        <v>66</v>
      </c>
      <c r="H3189" t="s">
        <v>44</v>
      </c>
      <c r="I3189" t="s">
        <v>45</v>
      </c>
      <c r="J3189">
        <v>26</v>
      </c>
      <c r="K3189">
        <v>12026.73</v>
      </c>
      <c r="L3189">
        <v>312694.98</v>
      </c>
      <c r="M3189">
        <v>0</v>
      </c>
      <c r="N3189">
        <v>0</v>
      </c>
      <c r="O3189">
        <v>312694.98</v>
      </c>
      <c r="P3189" t="s">
        <v>25</v>
      </c>
      <c r="Q3189" t="s">
        <v>26</v>
      </c>
    </row>
    <row r="3190" spans="1:17" x14ac:dyDescent="0.25">
      <c r="A3190" t="s">
        <v>3307</v>
      </c>
      <c r="B3190" s="1">
        <v>46030</v>
      </c>
      <c r="C3190" t="s">
        <v>47</v>
      </c>
      <c r="D3190" t="s">
        <v>114</v>
      </c>
      <c r="E3190" t="s">
        <v>20</v>
      </c>
      <c r="F3190" t="s">
        <v>105</v>
      </c>
      <c r="G3190" t="s">
        <v>63</v>
      </c>
      <c r="H3190" t="s">
        <v>67</v>
      </c>
      <c r="I3190" t="s">
        <v>170</v>
      </c>
      <c r="J3190">
        <v>28</v>
      </c>
      <c r="K3190">
        <v>9011.67</v>
      </c>
      <c r="L3190">
        <v>252326.76</v>
      </c>
      <c r="M3190">
        <v>0</v>
      </c>
      <c r="N3190">
        <v>0</v>
      </c>
      <c r="O3190">
        <v>252326.76</v>
      </c>
      <c r="P3190" t="s">
        <v>32</v>
      </c>
      <c r="Q3190" t="s">
        <v>32</v>
      </c>
    </row>
    <row r="3191" spans="1:17" x14ac:dyDescent="0.25">
      <c r="A3191" t="s">
        <v>3308</v>
      </c>
      <c r="B3191" s="1">
        <v>45993</v>
      </c>
      <c r="C3191" t="s">
        <v>60</v>
      </c>
      <c r="D3191" t="s">
        <v>65</v>
      </c>
      <c r="E3191" t="s">
        <v>49</v>
      </c>
      <c r="F3191" t="s">
        <v>42</v>
      </c>
      <c r="G3191" t="s">
        <v>85</v>
      </c>
      <c r="H3191" t="s">
        <v>44</v>
      </c>
      <c r="I3191" t="s">
        <v>152</v>
      </c>
      <c r="J3191">
        <v>43</v>
      </c>
      <c r="K3191">
        <v>15873.63</v>
      </c>
      <c r="L3191">
        <v>682566.09</v>
      </c>
      <c r="M3191">
        <v>0</v>
      </c>
      <c r="N3191">
        <v>0</v>
      </c>
      <c r="O3191">
        <v>682566.09</v>
      </c>
      <c r="P3191" t="s">
        <v>73</v>
      </c>
      <c r="Q3191" t="s">
        <v>32</v>
      </c>
    </row>
    <row r="3192" spans="1:17" x14ac:dyDescent="0.25">
      <c r="A3192" t="s">
        <v>3309</v>
      </c>
      <c r="B3192" s="1">
        <v>45981</v>
      </c>
      <c r="C3192" t="s">
        <v>60</v>
      </c>
      <c r="D3192" t="s">
        <v>123</v>
      </c>
      <c r="E3192" t="s">
        <v>41</v>
      </c>
      <c r="F3192" t="s">
        <v>71</v>
      </c>
      <c r="G3192" t="s">
        <v>138</v>
      </c>
      <c r="H3192" t="s">
        <v>57</v>
      </c>
      <c r="I3192" t="s">
        <v>72</v>
      </c>
      <c r="J3192">
        <v>21</v>
      </c>
      <c r="K3192">
        <v>45296.66</v>
      </c>
      <c r="L3192">
        <v>951229.86</v>
      </c>
      <c r="M3192">
        <v>0</v>
      </c>
      <c r="N3192">
        <v>0</v>
      </c>
      <c r="O3192">
        <v>951229.86</v>
      </c>
      <c r="P3192" t="s">
        <v>25</v>
      </c>
      <c r="Q3192" t="s">
        <v>26</v>
      </c>
    </row>
    <row r="3193" spans="1:17" x14ac:dyDescent="0.25">
      <c r="A3193" t="s">
        <v>3310</v>
      </c>
      <c r="B3193" s="1">
        <v>45989</v>
      </c>
      <c r="C3193" t="s">
        <v>79</v>
      </c>
      <c r="D3193" t="s">
        <v>80</v>
      </c>
      <c r="E3193" t="s">
        <v>20</v>
      </c>
      <c r="F3193" t="s">
        <v>50</v>
      </c>
      <c r="G3193" t="s">
        <v>51</v>
      </c>
      <c r="H3193" t="s">
        <v>57</v>
      </c>
      <c r="I3193" t="s">
        <v>160</v>
      </c>
      <c r="J3193">
        <v>17</v>
      </c>
      <c r="K3193">
        <v>23429.51</v>
      </c>
      <c r="L3193">
        <v>398301.67</v>
      </c>
      <c r="M3193">
        <v>0</v>
      </c>
      <c r="N3193">
        <v>0</v>
      </c>
      <c r="O3193">
        <v>398301.67</v>
      </c>
      <c r="P3193" t="s">
        <v>31</v>
      </c>
      <c r="Q3193" t="s">
        <v>32</v>
      </c>
    </row>
    <row r="3194" spans="1:17" x14ac:dyDescent="0.25">
      <c r="A3194" t="s">
        <v>3311</v>
      </c>
      <c r="B3194" s="1">
        <v>46026</v>
      </c>
      <c r="C3194" t="s">
        <v>54</v>
      </c>
      <c r="D3194" t="s">
        <v>55</v>
      </c>
      <c r="E3194" t="s">
        <v>41</v>
      </c>
      <c r="F3194" t="s">
        <v>36</v>
      </c>
      <c r="G3194" t="s">
        <v>29</v>
      </c>
      <c r="H3194" t="s">
        <v>38</v>
      </c>
      <c r="I3194" t="s">
        <v>86</v>
      </c>
      <c r="J3194">
        <v>48</v>
      </c>
      <c r="K3194">
        <v>11240.28</v>
      </c>
      <c r="L3194">
        <v>539533.43999999994</v>
      </c>
      <c r="M3194">
        <v>52733.09</v>
      </c>
      <c r="N3194">
        <v>80544.22</v>
      </c>
      <c r="O3194">
        <v>406256.13</v>
      </c>
      <c r="P3194" t="s">
        <v>25</v>
      </c>
      <c r="Q3194" t="s">
        <v>26</v>
      </c>
    </row>
    <row r="3195" spans="1:17" x14ac:dyDescent="0.25">
      <c r="A3195" t="s">
        <v>3312</v>
      </c>
      <c r="B3195" s="1">
        <v>46014</v>
      </c>
      <c r="C3195" t="s">
        <v>79</v>
      </c>
      <c r="D3195" t="s">
        <v>107</v>
      </c>
      <c r="E3195" t="s">
        <v>41</v>
      </c>
      <c r="F3195" t="s">
        <v>62</v>
      </c>
      <c r="G3195" t="s">
        <v>98</v>
      </c>
      <c r="H3195" t="s">
        <v>94</v>
      </c>
      <c r="I3195" t="s">
        <v>177</v>
      </c>
      <c r="J3195">
        <v>15</v>
      </c>
      <c r="K3195">
        <v>14005.41</v>
      </c>
      <c r="L3195">
        <v>210081.15</v>
      </c>
      <c r="M3195">
        <v>3946.16</v>
      </c>
      <c r="N3195">
        <v>33419.120000000003</v>
      </c>
      <c r="O3195">
        <v>172715.87</v>
      </c>
      <c r="P3195" t="s">
        <v>25</v>
      </c>
      <c r="Q3195" t="s">
        <v>26</v>
      </c>
    </row>
    <row r="3196" spans="1:17" x14ac:dyDescent="0.25">
      <c r="A3196" t="s">
        <v>3313</v>
      </c>
      <c r="B3196" s="1">
        <v>45990</v>
      </c>
      <c r="C3196" t="s">
        <v>79</v>
      </c>
      <c r="D3196" t="s">
        <v>107</v>
      </c>
      <c r="E3196" t="s">
        <v>35</v>
      </c>
      <c r="F3196" t="s">
        <v>84</v>
      </c>
      <c r="G3196" t="s">
        <v>51</v>
      </c>
      <c r="H3196" t="s">
        <v>57</v>
      </c>
      <c r="I3196" t="s">
        <v>58</v>
      </c>
      <c r="J3196">
        <v>5</v>
      </c>
      <c r="K3196">
        <v>13428.28</v>
      </c>
      <c r="L3196">
        <v>67141.399999999994</v>
      </c>
      <c r="M3196">
        <v>6639.86</v>
      </c>
      <c r="N3196">
        <v>0</v>
      </c>
      <c r="O3196">
        <v>60501.54</v>
      </c>
      <c r="P3196" t="s">
        <v>73</v>
      </c>
      <c r="Q3196" t="s">
        <v>32</v>
      </c>
    </row>
    <row r="3197" spans="1:17" x14ac:dyDescent="0.25">
      <c r="A3197" t="s">
        <v>3314</v>
      </c>
      <c r="B3197" s="1">
        <v>45988</v>
      </c>
      <c r="C3197" t="s">
        <v>47</v>
      </c>
      <c r="D3197" t="s">
        <v>127</v>
      </c>
      <c r="E3197" t="s">
        <v>20</v>
      </c>
      <c r="F3197" t="s">
        <v>71</v>
      </c>
      <c r="G3197" t="s">
        <v>85</v>
      </c>
      <c r="H3197" t="s">
        <v>94</v>
      </c>
      <c r="I3197" t="s">
        <v>193</v>
      </c>
      <c r="J3197">
        <v>27</v>
      </c>
      <c r="K3197">
        <v>7798.65</v>
      </c>
      <c r="L3197">
        <v>210563.55</v>
      </c>
      <c r="M3197">
        <v>0</v>
      </c>
      <c r="N3197">
        <v>0</v>
      </c>
      <c r="O3197">
        <v>210563.55</v>
      </c>
      <c r="P3197" t="s">
        <v>32</v>
      </c>
      <c r="Q3197" t="s">
        <v>26</v>
      </c>
    </row>
    <row r="3198" spans="1:17" x14ac:dyDescent="0.25">
      <c r="A3198" t="s">
        <v>3315</v>
      </c>
      <c r="B3198" s="1">
        <v>45975</v>
      </c>
      <c r="C3198" t="s">
        <v>79</v>
      </c>
      <c r="D3198" t="s">
        <v>91</v>
      </c>
      <c r="E3198" t="s">
        <v>35</v>
      </c>
      <c r="F3198" t="s">
        <v>21</v>
      </c>
      <c r="G3198" t="s">
        <v>63</v>
      </c>
      <c r="H3198" t="s">
        <v>94</v>
      </c>
      <c r="I3198" t="s">
        <v>95</v>
      </c>
      <c r="J3198">
        <v>47</v>
      </c>
      <c r="K3198">
        <v>42696.78</v>
      </c>
      <c r="L3198">
        <v>2006748.66</v>
      </c>
      <c r="M3198">
        <v>38020.6</v>
      </c>
      <c r="N3198">
        <v>0</v>
      </c>
      <c r="O3198">
        <v>1968728.06</v>
      </c>
      <c r="P3198" t="s">
        <v>31</v>
      </c>
      <c r="Q3198" t="s">
        <v>32</v>
      </c>
    </row>
    <row r="3199" spans="1:17" x14ac:dyDescent="0.25">
      <c r="A3199" t="s">
        <v>3316</v>
      </c>
      <c r="B3199" s="1">
        <v>45974</v>
      </c>
      <c r="C3199" t="s">
        <v>18</v>
      </c>
      <c r="D3199" t="s">
        <v>19</v>
      </c>
      <c r="E3199" t="s">
        <v>35</v>
      </c>
      <c r="F3199" t="s">
        <v>105</v>
      </c>
      <c r="G3199" t="s">
        <v>51</v>
      </c>
      <c r="H3199" t="s">
        <v>38</v>
      </c>
      <c r="I3199" t="s">
        <v>108</v>
      </c>
      <c r="J3199">
        <v>49</v>
      </c>
      <c r="K3199">
        <v>10129.200000000001</v>
      </c>
      <c r="L3199">
        <v>496330.8</v>
      </c>
      <c r="M3199">
        <v>30623.96</v>
      </c>
      <c r="N3199">
        <v>0</v>
      </c>
      <c r="O3199">
        <v>465706.84</v>
      </c>
      <c r="P3199" t="s">
        <v>73</v>
      </c>
      <c r="Q3199" t="s">
        <v>32</v>
      </c>
    </row>
    <row r="3200" spans="1:17" x14ac:dyDescent="0.25">
      <c r="A3200" t="s">
        <v>3317</v>
      </c>
      <c r="B3200" s="1">
        <v>45996</v>
      </c>
      <c r="C3200" t="s">
        <v>79</v>
      </c>
      <c r="D3200" t="s">
        <v>107</v>
      </c>
      <c r="E3200" t="s">
        <v>20</v>
      </c>
      <c r="F3200" t="s">
        <v>62</v>
      </c>
      <c r="G3200" t="s">
        <v>66</v>
      </c>
      <c r="H3200" t="s">
        <v>38</v>
      </c>
      <c r="I3200" t="s">
        <v>120</v>
      </c>
      <c r="J3200">
        <v>3</v>
      </c>
      <c r="K3200">
        <v>4339.1000000000004</v>
      </c>
      <c r="L3200">
        <v>13017.3</v>
      </c>
      <c r="M3200">
        <v>1690.47</v>
      </c>
      <c r="N3200">
        <v>0</v>
      </c>
      <c r="O3200">
        <v>11326.83</v>
      </c>
      <c r="P3200" t="s">
        <v>25</v>
      </c>
      <c r="Q3200" t="s">
        <v>26</v>
      </c>
    </row>
    <row r="3201" spans="1:17" x14ac:dyDescent="0.25">
      <c r="A3201" t="s">
        <v>3318</v>
      </c>
      <c r="B3201" s="1">
        <v>46045</v>
      </c>
      <c r="C3201" t="s">
        <v>79</v>
      </c>
      <c r="D3201" t="s">
        <v>80</v>
      </c>
      <c r="E3201" t="s">
        <v>41</v>
      </c>
      <c r="F3201" t="s">
        <v>71</v>
      </c>
      <c r="G3201" t="s">
        <v>22</v>
      </c>
      <c r="H3201" t="s">
        <v>67</v>
      </c>
      <c r="I3201" t="s">
        <v>201</v>
      </c>
      <c r="J3201">
        <v>45</v>
      </c>
      <c r="K3201">
        <v>44797.59</v>
      </c>
      <c r="L3201">
        <v>2015891.55</v>
      </c>
      <c r="M3201">
        <v>66644.3</v>
      </c>
      <c r="N3201">
        <v>0</v>
      </c>
      <c r="O3201">
        <v>1949247.25</v>
      </c>
      <c r="P3201" t="s">
        <v>31</v>
      </c>
      <c r="Q3201" t="s">
        <v>32</v>
      </c>
    </row>
    <row r="3202" spans="1:17" x14ac:dyDescent="0.25">
      <c r="A3202" t="s">
        <v>3319</v>
      </c>
      <c r="B3202" s="1">
        <v>46038</v>
      </c>
      <c r="C3202" t="s">
        <v>47</v>
      </c>
      <c r="D3202" t="s">
        <v>114</v>
      </c>
      <c r="E3202" t="s">
        <v>35</v>
      </c>
      <c r="F3202" t="s">
        <v>62</v>
      </c>
      <c r="G3202" t="s">
        <v>98</v>
      </c>
      <c r="H3202" t="s">
        <v>23</v>
      </c>
      <c r="I3202" t="s">
        <v>30</v>
      </c>
      <c r="J3202">
        <v>49</v>
      </c>
      <c r="K3202">
        <v>41758.67</v>
      </c>
      <c r="L3202">
        <v>2046174.83</v>
      </c>
      <c r="M3202">
        <v>64565.4</v>
      </c>
      <c r="N3202">
        <v>0</v>
      </c>
      <c r="O3202">
        <v>1981609.43</v>
      </c>
      <c r="P3202" t="s">
        <v>73</v>
      </c>
      <c r="Q3202" t="s">
        <v>26</v>
      </c>
    </row>
    <row r="3203" spans="1:17" x14ac:dyDescent="0.25">
      <c r="A3203" t="s">
        <v>3320</v>
      </c>
      <c r="B3203" s="1">
        <v>46016</v>
      </c>
      <c r="C3203" t="s">
        <v>47</v>
      </c>
      <c r="D3203" t="s">
        <v>114</v>
      </c>
      <c r="E3203" t="s">
        <v>20</v>
      </c>
      <c r="F3203" t="s">
        <v>50</v>
      </c>
      <c r="G3203" t="s">
        <v>138</v>
      </c>
      <c r="H3203" t="s">
        <v>38</v>
      </c>
      <c r="I3203" t="s">
        <v>86</v>
      </c>
      <c r="J3203">
        <v>49</v>
      </c>
      <c r="K3203">
        <v>4245.8999999999996</v>
      </c>
      <c r="L3203">
        <v>208049.1</v>
      </c>
      <c r="M3203">
        <v>0</v>
      </c>
      <c r="N3203">
        <v>0</v>
      </c>
      <c r="O3203">
        <v>208049.1</v>
      </c>
      <c r="P3203" t="s">
        <v>73</v>
      </c>
      <c r="Q3203" t="s">
        <v>32</v>
      </c>
    </row>
    <row r="3204" spans="1:17" x14ac:dyDescent="0.25">
      <c r="A3204" t="s">
        <v>3321</v>
      </c>
      <c r="B3204" s="1">
        <v>45987</v>
      </c>
      <c r="C3204" t="s">
        <v>47</v>
      </c>
      <c r="D3204" t="s">
        <v>48</v>
      </c>
      <c r="E3204" t="s">
        <v>20</v>
      </c>
      <c r="F3204" t="s">
        <v>105</v>
      </c>
      <c r="G3204" t="s">
        <v>56</v>
      </c>
      <c r="H3204" t="s">
        <v>94</v>
      </c>
      <c r="I3204" t="s">
        <v>115</v>
      </c>
      <c r="J3204">
        <v>14</v>
      </c>
      <c r="K3204">
        <v>28536.66</v>
      </c>
      <c r="L3204">
        <v>399513.24</v>
      </c>
      <c r="M3204">
        <v>51740.95</v>
      </c>
      <c r="N3204">
        <v>0</v>
      </c>
      <c r="O3204">
        <v>347772.29</v>
      </c>
      <c r="P3204" t="s">
        <v>25</v>
      </c>
      <c r="Q3204" t="s">
        <v>26</v>
      </c>
    </row>
    <row r="3205" spans="1:17" x14ac:dyDescent="0.25">
      <c r="A3205" t="s">
        <v>3322</v>
      </c>
      <c r="B3205" s="1">
        <v>45955</v>
      </c>
      <c r="C3205" t="s">
        <v>54</v>
      </c>
      <c r="D3205" t="s">
        <v>133</v>
      </c>
      <c r="E3205" t="s">
        <v>41</v>
      </c>
      <c r="F3205" t="s">
        <v>84</v>
      </c>
      <c r="G3205" t="s">
        <v>138</v>
      </c>
      <c r="H3205" t="s">
        <v>57</v>
      </c>
      <c r="I3205" t="s">
        <v>118</v>
      </c>
      <c r="J3205">
        <v>25</v>
      </c>
      <c r="K3205">
        <v>15313.66</v>
      </c>
      <c r="L3205">
        <v>382841.5</v>
      </c>
      <c r="M3205">
        <v>0</v>
      </c>
      <c r="N3205">
        <v>0</v>
      </c>
      <c r="O3205">
        <v>382841.5</v>
      </c>
      <c r="P3205" t="s">
        <v>32</v>
      </c>
      <c r="Q3205" t="s">
        <v>26</v>
      </c>
    </row>
    <row r="3206" spans="1:17" x14ac:dyDescent="0.25">
      <c r="A3206" t="s">
        <v>3323</v>
      </c>
      <c r="B3206" s="1">
        <v>46035</v>
      </c>
      <c r="C3206" t="s">
        <v>60</v>
      </c>
      <c r="D3206" t="s">
        <v>65</v>
      </c>
      <c r="E3206" t="s">
        <v>41</v>
      </c>
      <c r="F3206" t="s">
        <v>21</v>
      </c>
      <c r="G3206" t="s">
        <v>56</v>
      </c>
      <c r="H3206" t="s">
        <v>23</v>
      </c>
      <c r="I3206" t="s">
        <v>131</v>
      </c>
      <c r="J3206">
        <v>44</v>
      </c>
      <c r="K3206">
        <v>45865.67</v>
      </c>
      <c r="L3206">
        <v>2018089.48</v>
      </c>
      <c r="M3206">
        <v>340911.65</v>
      </c>
      <c r="N3206">
        <v>147457.89000000001</v>
      </c>
      <c r="O3206">
        <v>1529719.94</v>
      </c>
      <c r="P3206" t="s">
        <v>31</v>
      </c>
      <c r="Q3206" t="s">
        <v>32</v>
      </c>
    </row>
    <row r="3207" spans="1:17" x14ac:dyDescent="0.25">
      <c r="A3207" t="s">
        <v>3324</v>
      </c>
      <c r="B3207" s="1">
        <v>45979</v>
      </c>
      <c r="C3207" t="s">
        <v>60</v>
      </c>
      <c r="D3207" t="s">
        <v>123</v>
      </c>
      <c r="E3207" t="s">
        <v>41</v>
      </c>
      <c r="F3207" t="s">
        <v>21</v>
      </c>
      <c r="G3207" t="s">
        <v>22</v>
      </c>
      <c r="H3207" t="s">
        <v>67</v>
      </c>
      <c r="I3207" t="s">
        <v>68</v>
      </c>
      <c r="J3207">
        <v>20</v>
      </c>
      <c r="K3207">
        <v>44963.69</v>
      </c>
      <c r="L3207">
        <v>899273.8</v>
      </c>
      <c r="M3207">
        <v>0</v>
      </c>
      <c r="N3207">
        <v>0</v>
      </c>
      <c r="O3207">
        <v>899273.8</v>
      </c>
      <c r="P3207" t="s">
        <v>31</v>
      </c>
      <c r="Q3207" t="s">
        <v>32</v>
      </c>
    </row>
    <row r="3208" spans="1:17" x14ac:dyDescent="0.25">
      <c r="A3208" t="s">
        <v>3325</v>
      </c>
      <c r="B3208" s="1">
        <v>45960</v>
      </c>
      <c r="C3208" t="s">
        <v>47</v>
      </c>
      <c r="D3208" t="s">
        <v>114</v>
      </c>
      <c r="E3208" t="s">
        <v>35</v>
      </c>
      <c r="F3208" t="s">
        <v>137</v>
      </c>
      <c r="G3208" t="s">
        <v>66</v>
      </c>
      <c r="H3208" t="s">
        <v>23</v>
      </c>
      <c r="I3208" t="s">
        <v>52</v>
      </c>
      <c r="J3208">
        <v>11</v>
      </c>
      <c r="K3208">
        <v>48376.03</v>
      </c>
      <c r="L3208">
        <v>532136.32999999996</v>
      </c>
      <c r="M3208">
        <v>0</v>
      </c>
      <c r="N3208">
        <v>0</v>
      </c>
      <c r="O3208">
        <v>532136.32999999996</v>
      </c>
      <c r="P3208" t="s">
        <v>32</v>
      </c>
      <c r="Q3208" t="s">
        <v>32</v>
      </c>
    </row>
    <row r="3209" spans="1:17" x14ac:dyDescent="0.25">
      <c r="A3209" t="s">
        <v>3326</v>
      </c>
      <c r="B3209" s="1">
        <v>45963</v>
      </c>
      <c r="C3209" t="s">
        <v>47</v>
      </c>
      <c r="D3209" t="s">
        <v>114</v>
      </c>
      <c r="E3209" t="s">
        <v>49</v>
      </c>
      <c r="F3209" t="s">
        <v>112</v>
      </c>
      <c r="G3209" t="s">
        <v>98</v>
      </c>
      <c r="H3209" t="s">
        <v>57</v>
      </c>
      <c r="I3209" t="s">
        <v>58</v>
      </c>
      <c r="J3209">
        <v>25</v>
      </c>
      <c r="K3209">
        <v>21556.31</v>
      </c>
      <c r="L3209">
        <v>538907.75</v>
      </c>
      <c r="M3209">
        <v>0</v>
      </c>
      <c r="N3209">
        <v>0</v>
      </c>
      <c r="O3209">
        <v>538907.75</v>
      </c>
      <c r="P3209" t="s">
        <v>31</v>
      </c>
      <c r="Q3209" t="s">
        <v>32</v>
      </c>
    </row>
    <row r="3210" spans="1:17" x14ac:dyDescent="0.25">
      <c r="A3210" t="s">
        <v>3327</v>
      </c>
      <c r="B3210" s="1">
        <v>46037</v>
      </c>
      <c r="C3210" t="s">
        <v>47</v>
      </c>
      <c r="D3210" t="s">
        <v>114</v>
      </c>
      <c r="E3210" t="s">
        <v>35</v>
      </c>
      <c r="F3210" t="s">
        <v>71</v>
      </c>
      <c r="G3210" t="s">
        <v>98</v>
      </c>
      <c r="H3210" t="s">
        <v>94</v>
      </c>
      <c r="I3210" t="s">
        <v>163</v>
      </c>
      <c r="J3210">
        <v>7</v>
      </c>
      <c r="K3210">
        <v>19014.32</v>
      </c>
      <c r="L3210">
        <v>133100.24</v>
      </c>
      <c r="M3210">
        <v>4605.9399999999996</v>
      </c>
      <c r="N3210">
        <v>0</v>
      </c>
      <c r="O3210">
        <v>128494.3</v>
      </c>
      <c r="P3210" t="s">
        <v>25</v>
      </c>
      <c r="Q3210" t="s">
        <v>26</v>
      </c>
    </row>
    <row r="3211" spans="1:17" x14ac:dyDescent="0.25">
      <c r="A3211" t="s">
        <v>3328</v>
      </c>
      <c r="B3211" s="1">
        <v>46001</v>
      </c>
      <c r="C3211" t="s">
        <v>18</v>
      </c>
      <c r="D3211" t="s">
        <v>28</v>
      </c>
      <c r="E3211" t="s">
        <v>35</v>
      </c>
      <c r="F3211" t="s">
        <v>62</v>
      </c>
      <c r="G3211" t="s">
        <v>37</v>
      </c>
      <c r="H3211" t="s">
        <v>44</v>
      </c>
      <c r="I3211" t="s">
        <v>45</v>
      </c>
      <c r="J3211">
        <v>49</v>
      </c>
      <c r="K3211">
        <v>22832.53</v>
      </c>
      <c r="L3211">
        <v>1118793.97</v>
      </c>
      <c r="M3211">
        <v>0</v>
      </c>
      <c r="N3211">
        <v>0</v>
      </c>
      <c r="O3211">
        <v>1118793.97</v>
      </c>
      <c r="P3211" t="s">
        <v>73</v>
      </c>
      <c r="Q3211" t="s">
        <v>32</v>
      </c>
    </row>
    <row r="3212" spans="1:17" x14ac:dyDescent="0.25">
      <c r="A3212" t="s">
        <v>3329</v>
      </c>
      <c r="B3212" s="1">
        <v>45973</v>
      </c>
      <c r="C3212" t="s">
        <v>79</v>
      </c>
      <c r="D3212" t="s">
        <v>91</v>
      </c>
      <c r="E3212" t="s">
        <v>41</v>
      </c>
      <c r="F3212" t="s">
        <v>42</v>
      </c>
      <c r="G3212" t="s">
        <v>22</v>
      </c>
      <c r="H3212" t="s">
        <v>57</v>
      </c>
      <c r="I3212" t="s">
        <v>92</v>
      </c>
      <c r="J3212">
        <v>2</v>
      </c>
      <c r="K3212">
        <v>38875.08</v>
      </c>
      <c r="L3212">
        <v>77750.16</v>
      </c>
      <c r="M3212">
        <v>10989.9</v>
      </c>
      <c r="N3212">
        <v>0</v>
      </c>
      <c r="O3212">
        <v>66760.259999999995</v>
      </c>
      <c r="P3212" t="s">
        <v>32</v>
      </c>
      <c r="Q3212" t="s">
        <v>26</v>
      </c>
    </row>
    <row r="3213" spans="1:17" x14ac:dyDescent="0.25">
      <c r="A3213" t="s">
        <v>3330</v>
      </c>
      <c r="B3213" s="1">
        <v>46006</v>
      </c>
      <c r="C3213" t="s">
        <v>79</v>
      </c>
      <c r="D3213" t="s">
        <v>80</v>
      </c>
      <c r="E3213" t="s">
        <v>41</v>
      </c>
      <c r="F3213" t="s">
        <v>42</v>
      </c>
      <c r="G3213" t="s">
        <v>102</v>
      </c>
      <c r="H3213" t="s">
        <v>44</v>
      </c>
      <c r="I3213" t="s">
        <v>135</v>
      </c>
      <c r="J3213">
        <v>50</v>
      </c>
      <c r="K3213">
        <v>29317.74</v>
      </c>
      <c r="L3213">
        <v>1465887</v>
      </c>
      <c r="M3213">
        <v>0</v>
      </c>
      <c r="N3213">
        <v>0</v>
      </c>
      <c r="O3213">
        <v>1465887</v>
      </c>
      <c r="P3213" t="s">
        <v>32</v>
      </c>
      <c r="Q3213" t="s">
        <v>32</v>
      </c>
    </row>
    <row r="3214" spans="1:17" x14ac:dyDescent="0.25">
      <c r="A3214" t="s">
        <v>3331</v>
      </c>
      <c r="B3214" s="1">
        <v>45958</v>
      </c>
      <c r="C3214" t="s">
        <v>60</v>
      </c>
      <c r="D3214" t="s">
        <v>61</v>
      </c>
      <c r="E3214" t="s">
        <v>41</v>
      </c>
      <c r="F3214" t="s">
        <v>105</v>
      </c>
      <c r="G3214" t="s">
        <v>22</v>
      </c>
      <c r="H3214" t="s">
        <v>94</v>
      </c>
      <c r="I3214" t="s">
        <v>177</v>
      </c>
      <c r="J3214">
        <v>38</v>
      </c>
      <c r="K3214">
        <v>38130.46</v>
      </c>
      <c r="L3214">
        <v>1448957.48</v>
      </c>
      <c r="M3214">
        <v>84186.4</v>
      </c>
      <c r="N3214">
        <v>0</v>
      </c>
      <c r="O3214">
        <v>1364771.08</v>
      </c>
      <c r="P3214" t="s">
        <v>73</v>
      </c>
      <c r="Q3214" t="s">
        <v>32</v>
      </c>
    </row>
    <row r="3215" spans="1:17" x14ac:dyDescent="0.25">
      <c r="A3215" t="s">
        <v>3332</v>
      </c>
      <c r="B3215" s="1">
        <v>45979</v>
      </c>
      <c r="C3215" t="s">
        <v>54</v>
      </c>
      <c r="D3215" t="s">
        <v>55</v>
      </c>
      <c r="E3215" t="s">
        <v>41</v>
      </c>
      <c r="F3215" t="s">
        <v>42</v>
      </c>
      <c r="G3215" t="s">
        <v>56</v>
      </c>
      <c r="H3215" t="s">
        <v>38</v>
      </c>
      <c r="I3215" t="s">
        <v>175</v>
      </c>
      <c r="J3215">
        <v>42</v>
      </c>
      <c r="K3215">
        <v>20498.46</v>
      </c>
      <c r="L3215">
        <v>860935.32</v>
      </c>
      <c r="M3215">
        <v>129430.66</v>
      </c>
      <c r="N3215">
        <v>205873.28</v>
      </c>
      <c r="O3215">
        <v>525631.38</v>
      </c>
      <c r="P3215" t="s">
        <v>32</v>
      </c>
      <c r="Q3215" t="s">
        <v>32</v>
      </c>
    </row>
    <row r="3216" spans="1:17" x14ac:dyDescent="0.25">
      <c r="A3216" t="s">
        <v>3333</v>
      </c>
      <c r="B3216" s="1">
        <v>45979</v>
      </c>
      <c r="C3216" t="s">
        <v>18</v>
      </c>
      <c r="D3216" t="s">
        <v>28</v>
      </c>
      <c r="E3216" t="s">
        <v>35</v>
      </c>
      <c r="F3216" t="s">
        <v>84</v>
      </c>
      <c r="G3216" t="s">
        <v>56</v>
      </c>
      <c r="H3216" t="s">
        <v>67</v>
      </c>
      <c r="I3216" t="s">
        <v>201</v>
      </c>
      <c r="J3216">
        <v>14</v>
      </c>
      <c r="K3216">
        <v>2418.15</v>
      </c>
      <c r="L3216">
        <v>33854.1</v>
      </c>
      <c r="M3216">
        <v>0</v>
      </c>
      <c r="N3216">
        <v>3965.98</v>
      </c>
      <c r="O3216">
        <v>29888.12</v>
      </c>
      <c r="P3216" t="s">
        <v>25</v>
      </c>
      <c r="Q3216" t="s">
        <v>26</v>
      </c>
    </row>
    <row r="3217" spans="1:17" x14ac:dyDescent="0.25">
      <c r="A3217" t="s">
        <v>3334</v>
      </c>
      <c r="B3217" s="1">
        <v>45954</v>
      </c>
      <c r="C3217" t="s">
        <v>18</v>
      </c>
      <c r="D3217" t="s">
        <v>19</v>
      </c>
      <c r="E3217" t="s">
        <v>35</v>
      </c>
      <c r="F3217" t="s">
        <v>50</v>
      </c>
      <c r="G3217" t="s">
        <v>140</v>
      </c>
      <c r="H3217" t="s">
        <v>67</v>
      </c>
      <c r="I3217" t="s">
        <v>201</v>
      </c>
      <c r="J3217">
        <v>46</v>
      </c>
      <c r="K3217">
        <v>44814.05</v>
      </c>
      <c r="L3217">
        <v>2061446.3</v>
      </c>
      <c r="M3217">
        <v>73057.990000000005</v>
      </c>
      <c r="N3217">
        <v>0</v>
      </c>
      <c r="O3217">
        <v>1988388.31</v>
      </c>
      <c r="P3217" t="s">
        <v>73</v>
      </c>
      <c r="Q3217" t="s">
        <v>32</v>
      </c>
    </row>
    <row r="3218" spans="1:17" x14ac:dyDescent="0.25">
      <c r="A3218" t="s">
        <v>3335</v>
      </c>
      <c r="B3218" s="1">
        <v>45962</v>
      </c>
      <c r="C3218" t="s">
        <v>79</v>
      </c>
      <c r="D3218" t="s">
        <v>107</v>
      </c>
      <c r="E3218" t="s">
        <v>20</v>
      </c>
      <c r="F3218" t="s">
        <v>42</v>
      </c>
      <c r="G3218" t="s">
        <v>63</v>
      </c>
      <c r="H3218" t="s">
        <v>57</v>
      </c>
      <c r="I3218" t="s">
        <v>58</v>
      </c>
      <c r="J3218">
        <v>36</v>
      </c>
      <c r="K3218">
        <v>40042.61</v>
      </c>
      <c r="L3218">
        <v>1441533.96</v>
      </c>
      <c r="M3218">
        <v>67206.31</v>
      </c>
      <c r="N3218">
        <v>0</v>
      </c>
      <c r="O3218">
        <v>1374327.65</v>
      </c>
      <c r="P3218" t="s">
        <v>31</v>
      </c>
      <c r="Q3218" t="s">
        <v>32</v>
      </c>
    </row>
    <row r="3219" spans="1:17" x14ac:dyDescent="0.25">
      <c r="A3219" t="s">
        <v>3336</v>
      </c>
      <c r="B3219" s="1">
        <v>46008</v>
      </c>
      <c r="C3219" t="s">
        <v>18</v>
      </c>
      <c r="D3219" t="s">
        <v>75</v>
      </c>
      <c r="E3219" t="s">
        <v>20</v>
      </c>
      <c r="F3219" t="s">
        <v>84</v>
      </c>
      <c r="G3219" t="s">
        <v>81</v>
      </c>
      <c r="H3219" t="s">
        <v>23</v>
      </c>
      <c r="I3219" t="s">
        <v>110</v>
      </c>
      <c r="J3219">
        <v>15</v>
      </c>
      <c r="K3219">
        <v>16014.44</v>
      </c>
      <c r="L3219">
        <v>240216.6</v>
      </c>
      <c r="M3219">
        <v>46735.45</v>
      </c>
      <c r="N3219">
        <v>16684.7</v>
      </c>
      <c r="O3219">
        <v>176796.45</v>
      </c>
      <c r="P3219" t="s">
        <v>25</v>
      </c>
      <c r="Q3219" t="s">
        <v>26</v>
      </c>
    </row>
    <row r="3220" spans="1:17" x14ac:dyDescent="0.25">
      <c r="A3220" t="s">
        <v>3337</v>
      </c>
      <c r="B3220" s="1">
        <v>46010</v>
      </c>
      <c r="C3220" t="s">
        <v>47</v>
      </c>
      <c r="D3220" t="s">
        <v>127</v>
      </c>
      <c r="E3220" t="s">
        <v>20</v>
      </c>
      <c r="F3220" t="s">
        <v>62</v>
      </c>
      <c r="G3220" t="s">
        <v>63</v>
      </c>
      <c r="H3220" t="s">
        <v>38</v>
      </c>
      <c r="I3220" t="s">
        <v>120</v>
      </c>
      <c r="J3220">
        <v>19</v>
      </c>
      <c r="K3220">
        <v>15392.29</v>
      </c>
      <c r="L3220">
        <v>292453.51</v>
      </c>
      <c r="M3220">
        <v>0</v>
      </c>
      <c r="N3220">
        <v>0</v>
      </c>
      <c r="O3220">
        <v>292453.51</v>
      </c>
      <c r="P3220" t="s">
        <v>31</v>
      </c>
      <c r="Q3220" t="s">
        <v>32</v>
      </c>
    </row>
    <row r="3221" spans="1:17" x14ac:dyDescent="0.25">
      <c r="A3221" t="s">
        <v>3338</v>
      </c>
      <c r="B3221" s="1">
        <v>46015</v>
      </c>
      <c r="C3221" t="s">
        <v>54</v>
      </c>
      <c r="D3221" t="s">
        <v>55</v>
      </c>
      <c r="E3221" t="s">
        <v>35</v>
      </c>
      <c r="F3221" t="s">
        <v>50</v>
      </c>
      <c r="G3221" t="s">
        <v>43</v>
      </c>
      <c r="H3221" t="s">
        <v>38</v>
      </c>
      <c r="I3221" t="s">
        <v>86</v>
      </c>
      <c r="J3221">
        <v>28</v>
      </c>
      <c r="K3221">
        <v>17085.400000000001</v>
      </c>
      <c r="L3221">
        <v>478391.2</v>
      </c>
      <c r="M3221">
        <v>0</v>
      </c>
      <c r="N3221">
        <v>0</v>
      </c>
      <c r="O3221">
        <v>478391.2</v>
      </c>
      <c r="P3221" t="s">
        <v>31</v>
      </c>
      <c r="Q3221" t="s">
        <v>32</v>
      </c>
    </row>
    <row r="3222" spans="1:17" x14ac:dyDescent="0.25">
      <c r="A3222" t="s">
        <v>3339</v>
      </c>
      <c r="B3222" s="1">
        <v>45980</v>
      </c>
      <c r="C3222" t="s">
        <v>60</v>
      </c>
      <c r="D3222" t="s">
        <v>123</v>
      </c>
      <c r="E3222" t="s">
        <v>20</v>
      </c>
      <c r="F3222" t="s">
        <v>42</v>
      </c>
      <c r="G3222" t="s">
        <v>37</v>
      </c>
      <c r="H3222" t="s">
        <v>67</v>
      </c>
      <c r="I3222" t="s">
        <v>201</v>
      </c>
      <c r="J3222">
        <v>16</v>
      </c>
      <c r="K3222">
        <v>32330.04</v>
      </c>
      <c r="L3222">
        <v>517280.64</v>
      </c>
      <c r="M3222">
        <v>0</v>
      </c>
      <c r="N3222">
        <v>0</v>
      </c>
      <c r="O3222">
        <v>517280.64</v>
      </c>
      <c r="P3222" t="s">
        <v>31</v>
      </c>
      <c r="Q3222" t="s">
        <v>32</v>
      </c>
    </row>
    <row r="3223" spans="1:17" x14ac:dyDescent="0.25">
      <c r="A3223" t="s">
        <v>3340</v>
      </c>
      <c r="B3223" s="1">
        <v>45998</v>
      </c>
      <c r="C3223" t="s">
        <v>54</v>
      </c>
      <c r="D3223" t="s">
        <v>97</v>
      </c>
      <c r="E3223" t="s">
        <v>20</v>
      </c>
      <c r="F3223" t="s">
        <v>42</v>
      </c>
      <c r="G3223" t="s">
        <v>140</v>
      </c>
      <c r="H3223" t="s">
        <v>44</v>
      </c>
      <c r="I3223" t="s">
        <v>45</v>
      </c>
      <c r="J3223">
        <v>2</v>
      </c>
      <c r="K3223">
        <v>19418.91</v>
      </c>
      <c r="L3223">
        <v>38837.82</v>
      </c>
      <c r="M3223">
        <v>0</v>
      </c>
      <c r="N3223">
        <v>0</v>
      </c>
      <c r="O3223">
        <v>38837.82</v>
      </c>
      <c r="P3223" t="s">
        <v>31</v>
      </c>
      <c r="Q3223" t="s">
        <v>32</v>
      </c>
    </row>
    <row r="3224" spans="1:17" x14ac:dyDescent="0.25">
      <c r="A3224" t="s">
        <v>3341</v>
      </c>
      <c r="B3224" s="1">
        <v>45980</v>
      </c>
      <c r="C3224" t="s">
        <v>79</v>
      </c>
      <c r="D3224" t="s">
        <v>80</v>
      </c>
      <c r="E3224" t="s">
        <v>20</v>
      </c>
      <c r="F3224" t="s">
        <v>50</v>
      </c>
      <c r="G3224" t="s">
        <v>98</v>
      </c>
      <c r="H3224" t="s">
        <v>44</v>
      </c>
      <c r="I3224" t="s">
        <v>141</v>
      </c>
      <c r="J3224">
        <v>16</v>
      </c>
      <c r="K3224">
        <v>40307.620000000003</v>
      </c>
      <c r="L3224">
        <v>644921.92000000004</v>
      </c>
      <c r="M3224">
        <v>78684.679999999993</v>
      </c>
      <c r="N3224">
        <v>0</v>
      </c>
      <c r="O3224">
        <v>566237.24</v>
      </c>
      <c r="P3224" t="s">
        <v>73</v>
      </c>
      <c r="Q3224" t="s">
        <v>32</v>
      </c>
    </row>
    <row r="3225" spans="1:17" x14ac:dyDescent="0.25">
      <c r="A3225" t="s">
        <v>3342</v>
      </c>
      <c r="B3225" s="1">
        <v>46043</v>
      </c>
      <c r="C3225" t="s">
        <v>54</v>
      </c>
      <c r="D3225" t="s">
        <v>55</v>
      </c>
      <c r="E3225" t="s">
        <v>49</v>
      </c>
      <c r="F3225" t="s">
        <v>50</v>
      </c>
      <c r="G3225" t="s">
        <v>51</v>
      </c>
      <c r="H3225" t="s">
        <v>23</v>
      </c>
      <c r="I3225" t="s">
        <v>110</v>
      </c>
      <c r="J3225">
        <v>42</v>
      </c>
      <c r="K3225">
        <v>25256.22</v>
      </c>
      <c r="L3225">
        <v>1060761.24</v>
      </c>
      <c r="M3225">
        <v>0</v>
      </c>
      <c r="N3225">
        <v>0</v>
      </c>
      <c r="O3225">
        <v>1060761.24</v>
      </c>
      <c r="P3225" t="s">
        <v>32</v>
      </c>
      <c r="Q3225" t="s">
        <v>26</v>
      </c>
    </row>
    <row r="3226" spans="1:17" x14ac:dyDescent="0.25">
      <c r="A3226" t="s">
        <v>3343</v>
      </c>
      <c r="B3226" s="1">
        <v>46022</v>
      </c>
      <c r="C3226" t="s">
        <v>18</v>
      </c>
      <c r="D3226" t="s">
        <v>34</v>
      </c>
      <c r="E3226" t="s">
        <v>41</v>
      </c>
      <c r="F3226" t="s">
        <v>105</v>
      </c>
      <c r="G3226" t="s">
        <v>66</v>
      </c>
      <c r="H3226" t="s">
        <v>57</v>
      </c>
      <c r="I3226" t="s">
        <v>148</v>
      </c>
      <c r="J3226">
        <v>22</v>
      </c>
      <c r="K3226">
        <v>39314.28</v>
      </c>
      <c r="L3226">
        <v>864914.16</v>
      </c>
      <c r="M3226">
        <v>0</v>
      </c>
      <c r="N3226">
        <v>0</v>
      </c>
      <c r="O3226">
        <v>864914.16</v>
      </c>
      <c r="P3226" t="s">
        <v>73</v>
      </c>
      <c r="Q3226" t="s">
        <v>32</v>
      </c>
    </row>
    <row r="3227" spans="1:17" x14ac:dyDescent="0.25">
      <c r="A3227" t="s">
        <v>3344</v>
      </c>
      <c r="B3227" s="1">
        <v>45959</v>
      </c>
      <c r="C3227" t="s">
        <v>47</v>
      </c>
      <c r="D3227" t="s">
        <v>127</v>
      </c>
      <c r="E3227" t="s">
        <v>20</v>
      </c>
      <c r="F3227" t="s">
        <v>50</v>
      </c>
      <c r="G3227" t="s">
        <v>51</v>
      </c>
      <c r="H3227" t="s">
        <v>67</v>
      </c>
      <c r="I3227" t="s">
        <v>170</v>
      </c>
      <c r="J3227">
        <v>19</v>
      </c>
      <c r="K3227">
        <v>18945.37</v>
      </c>
      <c r="L3227">
        <v>359962.03</v>
      </c>
      <c r="M3227">
        <v>0</v>
      </c>
      <c r="N3227">
        <v>0</v>
      </c>
      <c r="O3227">
        <v>359962.03</v>
      </c>
      <c r="P3227" t="s">
        <v>25</v>
      </c>
      <c r="Q3227" t="s">
        <v>26</v>
      </c>
    </row>
    <row r="3228" spans="1:17" x14ac:dyDescent="0.25">
      <c r="A3228" t="s">
        <v>3345</v>
      </c>
      <c r="B3228" s="1">
        <v>46033</v>
      </c>
      <c r="C3228" t="s">
        <v>18</v>
      </c>
      <c r="D3228" t="s">
        <v>34</v>
      </c>
      <c r="E3228" t="s">
        <v>35</v>
      </c>
      <c r="F3228" t="s">
        <v>137</v>
      </c>
      <c r="G3228" t="s">
        <v>98</v>
      </c>
      <c r="H3228" t="s">
        <v>44</v>
      </c>
      <c r="I3228" t="s">
        <v>281</v>
      </c>
      <c r="J3228">
        <v>47</v>
      </c>
      <c r="K3228">
        <v>40322.730000000003</v>
      </c>
      <c r="L3228">
        <v>1895168.31</v>
      </c>
      <c r="M3228">
        <v>325049.13</v>
      </c>
      <c r="N3228">
        <v>0</v>
      </c>
      <c r="O3228">
        <v>1570119.18</v>
      </c>
      <c r="P3228" t="s">
        <v>32</v>
      </c>
      <c r="Q3228" t="s">
        <v>26</v>
      </c>
    </row>
    <row r="3229" spans="1:17" x14ac:dyDescent="0.25">
      <c r="A3229" t="s">
        <v>3346</v>
      </c>
      <c r="B3229" s="1">
        <v>45960</v>
      </c>
      <c r="C3229" t="s">
        <v>18</v>
      </c>
      <c r="D3229" t="s">
        <v>34</v>
      </c>
      <c r="E3229" t="s">
        <v>20</v>
      </c>
      <c r="F3229" t="s">
        <v>62</v>
      </c>
      <c r="G3229" t="s">
        <v>140</v>
      </c>
      <c r="H3229" t="s">
        <v>44</v>
      </c>
      <c r="I3229" t="s">
        <v>281</v>
      </c>
      <c r="J3229">
        <v>48</v>
      </c>
      <c r="K3229">
        <v>6153.31</v>
      </c>
      <c r="L3229">
        <v>295358.88</v>
      </c>
      <c r="M3229">
        <v>30027.87</v>
      </c>
      <c r="N3229">
        <v>32610.94</v>
      </c>
      <c r="O3229">
        <v>232720.07</v>
      </c>
      <c r="P3229" t="s">
        <v>32</v>
      </c>
      <c r="Q3229" t="s">
        <v>32</v>
      </c>
    </row>
    <row r="3230" spans="1:17" x14ac:dyDescent="0.25">
      <c r="A3230" t="s">
        <v>3347</v>
      </c>
      <c r="B3230" s="1">
        <v>46008</v>
      </c>
      <c r="C3230" t="s">
        <v>54</v>
      </c>
      <c r="D3230" t="s">
        <v>55</v>
      </c>
      <c r="E3230" t="s">
        <v>41</v>
      </c>
      <c r="F3230" t="s">
        <v>21</v>
      </c>
      <c r="G3230" t="s">
        <v>89</v>
      </c>
      <c r="H3230" t="s">
        <v>57</v>
      </c>
      <c r="I3230" t="s">
        <v>148</v>
      </c>
      <c r="J3230">
        <v>32</v>
      </c>
      <c r="K3230">
        <v>39496.83</v>
      </c>
      <c r="L3230">
        <v>1263898.56</v>
      </c>
      <c r="M3230">
        <v>184228.37</v>
      </c>
      <c r="N3230">
        <v>0</v>
      </c>
      <c r="O3230">
        <v>1079670.19</v>
      </c>
      <c r="P3230" t="s">
        <v>73</v>
      </c>
      <c r="Q3230" t="s">
        <v>26</v>
      </c>
    </row>
    <row r="3231" spans="1:17" x14ac:dyDescent="0.25">
      <c r="A3231" t="s">
        <v>3348</v>
      </c>
      <c r="B3231" s="1">
        <v>46034</v>
      </c>
      <c r="C3231" t="s">
        <v>47</v>
      </c>
      <c r="D3231" t="s">
        <v>48</v>
      </c>
      <c r="E3231" t="s">
        <v>41</v>
      </c>
      <c r="F3231" t="s">
        <v>50</v>
      </c>
      <c r="G3231" t="s">
        <v>138</v>
      </c>
      <c r="H3231" t="s">
        <v>38</v>
      </c>
      <c r="I3231" t="s">
        <v>39</v>
      </c>
      <c r="J3231">
        <v>4</v>
      </c>
      <c r="K3231">
        <v>16236.73</v>
      </c>
      <c r="L3231">
        <v>64946.92</v>
      </c>
      <c r="M3231">
        <v>0</v>
      </c>
      <c r="N3231">
        <v>0</v>
      </c>
      <c r="O3231">
        <v>64946.92</v>
      </c>
      <c r="P3231" t="s">
        <v>73</v>
      </c>
      <c r="Q3231" t="s">
        <v>32</v>
      </c>
    </row>
    <row r="3232" spans="1:17" x14ac:dyDescent="0.25">
      <c r="A3232" t="s">
        <v>3349</v>
      </c>
      <c r="B3232" s="1">
        <v>46035</v>
      </c>
      <c r="C3232" t="s">
        <v>79</v>
      </c>
      <c r="D3232" t="s">
        <v>91</v>
      </c>
      <c r="E3232" t="s">
        <v>49</v>
      </c>
      <c r="F3232" t="s">
        <v>137</v>
      </c>
      <c r="G3232" t="s">
        <v>85</v>
      </c>
      <c r="H3232" t="s">
        <v>94</v>
      </c>
      <c r="I3232" t="s">
        <v>115</v>
      </c>
      <c r="J3232">
        <v>20</v>
      </c>
      <c r="K3232">
        <v>25686.54</v>
      </c>
      <c r="L3232">
        <v>513730.8</v>
      </c>
      <c r="M3232">
        <v>0</v>
      </c>
      <c r="N3232">
        <v>0</v>
      </c>
      <c r="O3232">
        <v>513730.8</v>
      </c>
      <c r="P3232" t="s">
        <v>73</v>
      </c>
      <c r="Q3232" t="s">
        <v>32</v>
      </c>
    </row>
    <row r="3233" spans="1:17" x14ac:dyDescent="0.25">
      <c r="A3233" t="s">
        <v>3350</v>
      </c>
      <c r="B3233" s="1">
        <v>45956</v>
      </c>
      <c r="C3233" t="s">
        <v>18</v>
      </c>
      <c r="D3233" t="s">
        <v>75</v>
      </c>
      <c r="E3233" t="s">
        <v>35</v>
      </c>
      <c r="F3233" t="s">
        <v>84</v>
      </c>
      <c r="G3233" t="s">
        <v>89</v>
      </c>
      <c r="H3233" t="s">
        <v>94</v>
      </c>
      <c r="I3233" t="s">
        <v>177</v>
      </c>
      <c r="J3233">
        <v>19</v>
      </c>
      <c r="K3233">
        <v>15738.94</v>
      </c>
      <c r="L3233">
        <v>299039.86</v>
      </c>
      <c r="M3233">
        <v>51260.81</v>
      </c>
      <c r="N3233">
        <v>0</v>
      </c>
      <c r="O3233">
        <v>247779.05</v>
      </c>
      <c r="P3233" t="s">
        <v>32</v>
      </c>
      <c r="Q3233" t="s">
        <v>32</v>
      </c>
    </row>
    <row r="3234" spans="1:17" x14ac:dyDescent="0.25">
      <c r="A3234" t="s">
        <v>3351</v>
      </c>
      <c r="B3234" s="1">
        <v>46036</v>
      </c>
      <c r="C3234" t="s">
        <v>54</v>
      </c>
      <c r="D3234" t="s">
        <v>97</v>
      </c>
      <c r="E3234" t="s">
        <v>41</v>
      </c>
      <c r="F3234" t="s">
        <v>42</v>
      </c>
      <c r="G3234" t="s">
        <v>43</v>
      </c>
      <c r="H3234" t="s">
        <v>57</v>
      </c>
      <c r="I3234" t="s">
        <v>92</v>
      </c>
      <c r="J3234">
        <v>32</v>
      </c>
      <c r="K3234">
        <v>36948.71</v>
      </c>
      <c r="L3234">
        <v>1182358.72</v>
      </c>
      <c r="M3234">
        <v>0</v>
      </c>
      <c r="N3234">
        <v>0</v>
      </c>
      <c r="O3234">
        <v>1182358.72</v>
      </c>
      <c r="P3234" t="s">
        <v>32</v>
      </c>
      <c r="Q3234" t="s">
        <v>32</v>
      </c>
    </row>
    <row r="3235" spans="1:17" x14ac:dyDescent="0.25">
      <c r="A3235" t="s">
        <v>3352</v>
      </c>
      <c r="B3235" s="1">
        <v>45965</v>
      </c>
      <c r="C3235" t="s">
        <v>18</v>
      </c>
      <c r="D3235" t="s">
        <v>75</v>
      </c>
      <c r="E3235" t="s">
        <v>49</v>
      </c>
      <c r="F3235" t="s">
        <v>105</v>
      </c>
      <c r="G3235" t="s">
        <v>43</v>
      </c>
      <c r="H3235" t="s">
        <v>57</v>
      </c>
      <c r="I3235" t="s">
        <v>92</v>
      </c>
      <c r="J3235">
        <v>41</v>
      </c>
      <c r="K3235">
        <v>50113.83</v>
      </c>
      <c r="L3235">
        <v>2054667.03</v>
      </c>
      <c r="M3235">
        <v>0</v>
      </c>
      <c r="N3235">
        <v>0</v>
      </c>
      <c r="O3235">
        <v>2054667.03</v>
      </c>
      <c r="P3235" t="s">
        <v>32</v>
      </c>
      <c r="Q3235" t="s">
        <v>32</v>
      </c>
    </row>
    <row r="3236" spans="1:17" x14ac:dyDescent="0.25">
      <c r="A3236" t="s">
        <v>3353</v>
      </c>
      <c r="B3236" s="1">
        <v>45969</v>
      </c>
      <c r="C3236" t="s">
        <v>54</v>
      </c>
      <c r="D3236" t="s">
        <v>133</v>
      </c>
      <c r="E3236" t="s">
        <v>41</v>
      </c>
      <c r="F3236" t="s">
        <v>36</v>
      </c>
      <c r="G3236" t="s">
        <v>89</v>
      </c>
      <c r="H3236" t="s">
        <v>67</v>
      </c>
      <c r="I3236" t="s">
        <v>201</v>
      </c>
      <c r="J3236">
        <v>38</v>
      </c>
      <c r="K3236">
        <v>13401.62</v>
      </c>
      <c r="L3236">
        <v>509261.56</v>
      </c>
      <c r="M3236">
        <v>0</v>
      </c>
      <c r="N3236">
        <v>0</v>
      </c>
      <c r="O3236">
        <v>509261.56</v>
      </c>
      <c r="P3236" t="s">
        <v>25</v>
      </c>
      <c r="Q3236" t="s">
        <v>32</v>
      </c>
    </row>
    <row r="3237" spans="1:17" x14ac:dyDescent="0.25">
      <c r="A3237" t="s">
        <v>3354</v>
      </c>
      <c r="B3237" s="1">
        <v>45963</v>
      </c>
      <c r="C3237" t="s">
        <v>54</v>
      </c>
      <c r="D3237" t="s">
        <v>70</v>
      </c>
      <c r="E3237" t="s">
        <v>20</v>
      </c>
      <c r="F3237" t="s">
        <v>137</v>
      </c>
      <c r="G3237" t="s">
        <v>138</v>
      </c>
      <c r="H3237" t="s">
        <v>94</v>
      </c>
      <c r="I3237" t="s">
        <v>95</v>
      </c>
      <c r="J3237">
        <v>38</v>
      </c>
      <c r="K3237">
        <v>9317.41</v>
      </c>
      <c r="L3237">
        <v>354061.58</v>
      </c>
      <c r="M3237">
        <v>8223.49</v>
      </c>
      <c r="N3237">
        <v>0</v>
      </c>
      <c r="O3237">
        <v>345838.09</v>
      </c>
      <c r="P3237" t="s">
        <v>73</v>
      </c>
      <c r="Q3237" t="s">
        <v>32</v>
      </c>
    </row>
    <row r="3238" spans="1:17" x14ac:dyDescent="0.25">
      <c r="A3238" t="s">
        <v>3355</v>
      </c>
      <c r="B3238" s="1">
        <v>45968</v>
      </c>
      <c r="C3238" t="s">
        <v>47</v>
      </c>
      <c r="D3238" t="s">
        <v>88</v>
      </c>
      <c r="E3238" t="s">
        <v>49</v>
      </c>
      <c r="F3238" t="s">
        <v>62</v>
      </c>
      <c r="G3238" t="s">
        <v>102</v>
      </c>
      <c r="H3238" t="s">
        <v>44</v>
      </c>
      <c r="I3238" t="s">
        <v>281</v>
      </c>
      <c r="J3238">
        <v>49</v>
      </c>
      <c r="K3238">
        <v>48487.040000000001</v>
      </c>
      <c r="L3238">
        <v>2375864.96</v>
      </c>
      <c r="M3238">
        <v>86705.27</v>
      </c>
      <c r="N3238">
        <v>540059.81000000006</v>
      </c>
      <c r="O3238">
        <v>1749099.88</v>
      </c>
      <c r="P3238" t="s">
        <v>31</v>
      </c>
      <c r="Q3238" t="s">
        <v>32</v>
      </c>
    </row>
    <row r="3239" spans="1:17" x14ac:dyDescent="0.25">
      <c r="A3239" t="s">
        <v>3356</v>
      </c>
      <c r="B3239" s="1">
        <v>45959</v>
      </c>
      <c r="C3239" t="s">
        <v>79</v>
      </c>
      <c r="D3239" t="s">
        <v>107</v>
      </c>
      <c r="E3239" t="s">
        <v>35</v>
      </c>
      <c r="F3239" t="s">
        <v>42</v>
      </c>
      <c r="G3239" t="s">
        <v>51</v>
      </c>
      <c r="H3239" t="s">
        <v>38</v>
      </c>
      <c r="I3239" t="s">
        <v>39</v>
      </c>
      <c r="J3239">
        <v>30</v>
      </c>
      <c r="K3239">
        <v>5877.69</v>
      </c>
      <c r="L3239">
        <v>176330.7</v>
      </c>
      <c r="M3239">
        <v>10619.44</v>
      </c>
      <c r="N3239">
        <v>40002.25</v>
      </c>
      <c r="O3239">
        <v>125709.01</v>
      </c>
      <c r="P3239" t="s">
        <v>25</v>
      </c>
      <c r="Q3239" t="s">
        <v>26</v>
      </c>
    </row>
    <row r="3240" spans="1:17" x14ac:dyDescent="0.25">
      <c r="A3240" t="s">
        <v>3357</v>
      </c>
      <c r="B3240" s="1">
        <v>45993</v>
      </c>
      <c r="C3240" t="s">
        <v>47</v>
      </c>
      <c r="D3240" t="s">
        <v>88</v>
      </c>
      <c r="E3240" t="s">
        <v>35</v>
      </c>
      <c r="F3240" t="s">
        <v>62</v>
      </c>
      <c r="G3240" t="s">
        <v>85</v>
      </c>
      <c r="H3240" t="s">
        <v>57</v>
      </c>
      <c r="I3240" t="s">
        <v>92</v>
      </c>
      <c r="J3240">
        <v>16</v>
      </c>
      <c r="K3240">
        <v>35843.040000000001</v>
      </c>
      <c r="L3240">
        <v>573488.64000000001</v>
      </c>
      <c r="M3240">
        <v>17194.830000000002</v>
      </c>
      <c r="N3240">
        <v>132346.69</v>
      </c>
      <c r="O3240">
        <v>423947.12</v>
      </c>
      <c r="P3240" t="s">
        <v>32</v>
      </c>
      <c r="Q3240" t="s">
        <v>32</v>
      </c>
    </row>
    <row r="3241" spans="1:17" x14ac:dyDescent="0.25">
      <c r="A3241" t="s">
        <v>3358</v>
      </c>
      <c r="B3241" s="1">
        <v>45988</v>
      </c>
      <c r="C3241" t="s">
        <v>47</v>
      </c>
      <c r="D3241" t="s">
        <v>88</v>
      </c>
      <c r="E3241" t="s">
        <v>41</v>
      </c>
      <c r="F3241" t="s">
        <v>84</v>
      </c>
      <c r="G3241" t="s">
        <v>66</v>
      </c>
      <c r="H3241" t="s">
        <v>44</v>
      </c>
      <c r="I3241" t="s">
        <v>141</v>
      </c>
      <c r="J3241">
        <v>46</v>
      </c>
      <c r="K3241">
        <v>48148.49</v>
      </c>
      <c r="L3241">
        <v>2214830.54</v>
      </c>
      <c r="M3241">
        <v>0</v>
      </c>
      <c r="N3241">
        <v>0</v>
      </c>
      <c r="O3241">
        <v>2214830.54</v>
      </c>
      <c r="P3241" t="s">
        <v>31</v>
      </c>
      <c r="Q3241" t="s">
        <v>32</v>
      </c>
    </row>
    <row r="3242" spans="1:17" x14ac:dyDescent="0.25">
      <c r="A3242" t="s">
        <v>3359</v>
      </c>
      <c r="B3242" s="1">
        <v>46006</v>
      </c>
      <c r="C3242" t="s">
        <v>79</v>
      </c>
      <c r="D3242" t="s">
        <v>80</v>
      </c>
      <c r="E3242" t="s">
        <v>35</v>
      </c>
      <c r="F3242" t="s">
        <v>36</v>
      </c>
      <c r="G3242" t="s">
        <v>89</v>
      </c>
      <c r="H3242" t="s">
        <v>23</v>
      </c>
      <c r="I3242" t="s">
        <v>24</v>
      </c>
      <c r="J3242">
        <v>36</v>
      </c>
      <c r="K3242">
        <v>31731.040000000001</v>
      </c>
      <c r="L3242">
        <v>1142317.44</v>
      </c>
      <c r="M3242">
        <v>198328.01</v>
      </c>
      <c r="N3242">
        <v>0</v>
      </c>
      <c r="O3242">
        <v>943989.43</v>
      </c>
      <c r="P3242" t="s">
        <v>32</v>
      </c>
      <c r="Q3242" t="s">
        <v>32</v>
      </c>
    </row>
    <row r="3243" spans="1:17" x14ac:dyDescent="0.25">
      <c r="A3243" t="s">
        <v>3360</v>
      </c>
      <c r="B3243" s="1">
        <v>45959</v>
      </c>
      <c r="C3243" t="s">
        <v>54</v>
      </c>
      <c r="D3243" t="s">
        <v>133</v>
      </c>
      <c r="E3243" t="s">
        <v>49</v>
      </c>
      <c r="F3243" t="s">
        <v>105</v>
      </c>
      <c r="G3243" t="s">
        <v>102</v>
      </c>
      <c r="H3243" t="s">
        <v>94</v>
      </c>
      <c r="I3243" t="s">
        <v>144</v>
      </c>
      <c r="J3243">
        <v>24</v>
      </c>
      <c r="K3243">
        <v>734.85</v>
      </c>
      <c r="L3243">
        <v>17636.400000000001</v>
      </c>
      <c r="M3243">
        <v>0</v>
      </c>
      <c r="N3243">
        <v>0</v>
      </c>
      <c r="O3243">
        <v>17636.400000000001</v>
      </c>
      <c r="P3243" t="s">
        <v>32</v>
      </c>
      <c r="Q3243" t="s">
        <v>26</v>
      </c>
    </row>
    <row r="3244" spans="1:17" x14ac:dyDescent="0.25">
      <c r="A3244" t="s">
        <v>3361</v>
      </c>
      <c r="B3244" s="1">
        <v>46016</v>
      </c>
      <c r="C3244" t="s">
        <v>79</v>
      </c>
      <c r="D3244" t="s">
        <v>91</v>
      </c>
      <c r="E3244" t="s">
        <v>20</v>
      </c>
      <c r="F3244" t="s">
        <v>137</v>
      </c>
      <c r="G3244" t="s">
        <v>29</v>
      </c>
      <c r="H3244" t="s">
        <v>57</v>
      </c>
      <c r="I3244" t="s">
        <v>72</v>
      </c>
      <c r="J3244">
        <v>26</v>
      </c>
      <c r="K3244">
        <v>50070.78</v>
      </c>
      <c r="L3244">
        <v>1301840.28</v>
      </c>
      <c r="M3244">
        <v>33810.720000000001</v>
      </c>
      <c r="N3244">
        <v>0</v>
      </c>
      <c r="O3244">
        <v>1268029.56</v>
      </c>
      <c r="P3244" t="s">
        <v>32</v>
      </c>
      <c r="Q3244" t="s">
        <v>32</v>
      </c>
    </row>
    <row r="3245" spans="1:17" x14ac:dyDescent="0.25">
      <c r="A3245" t="s">
        <v>3362</v>
      </c>
      <c r="B3245" s="1">
        <v>45987</v>
      </c>
      <c r="C3245" t="s">
        <v>79</v>
      </c>
      <c r="D3245" t="s">
        <v>107</v>
      </c>
      <c r="E3245" t="s">
        <v>20</v>
      </c>
      <c r="F3245" t="s">
        <v>42</v>
      </c>
      <c r="G3245" t="s">
        <v>102</v>
      </c>
      <c r="H3245" t="s">
        <v>57</v>
      </c>
      <c r="I3245" t="s">
        <v>92</v>
      </c>
      <c r="J3245">
        <v>38</v>
      </c>
      <c r="K3245">
        <v>40041.35</v>
      </c>
      <c r="L3245">
        <v>1521571.3</v>
      </c>
      <c r="M3245">
        <v>85216.4</v>
      </c>
      <c r="N3245">
        <v>0</v>
      </c>
      <c r="O3245">
        <v>1436354.9</v>
      </c>
      <c r="P3245" t="s">
        <v>25</v>
      </c>
      <c r="Q3245" t="s">
        <v>26</v>
      </c>
    </row>
    <row r="3246" spans="1:17" x14ac:dyDescent="0.25">
      <c r="A3246" t="s">
        <v>3363</v>
      </c>
      <c r="B3246" s="1">
        <v>45958</v>
      </c>
      <c r="C3246" t="s">
        <v>60</v>
      </c>
      <c r="D3246" t="s">
        <v>65</v>
      </c>
      <c r="E3246" t="s">
        <v>35</v>
      </c>
      <c r="F3246" t="s">
        <v>36</v>
      </c>
      <c r="G3246" t="s">
        <v>66</v>
      </c>
      <c r="H3246" t="s">
        <v>44</v>
      </c>
      <c r="I3246" t="s">
        <v>281</v>
      </c>
      <c r="J3246">
        <v>24</v>
      </c>
      <c r="K3246">
        <v>46319.14</v>
      </c>
      <c r="L3246">
        <v>1111659.3600000001</v>
      </c>
      <c r="M3246">
        <v>17265.8</v>
      </c>
      <c r="N3246">
        <v>51670.93</v>
      </c>
      <c r="O3246">
        <v>1042722.63</v>
      </c>
      <c r="P3246" t="s">
        <v>31</v>
      </c>
      <c r="Q3246" t="s">
        <v>32</v>
      </c>
    </row>
    <row r="3247" spans="1:17" x14ac:dyDescent="0.25">
      <c r="A3247" t="s">
        <v>3364</v>
      </c>
      <c r="B3247" s="1">
        <v>46041</v>
      </c>
      <c r="C3247" t="s">
        <v>60</v>
      </c>
      <c r="D3247" t="s">
        <v>123</v>
      </c>
      <c r="E3247" t="s">
        <v>41</v>
      </c>
      <c r="F3247" t="s">
        <v>137</v>
      </c>
      <c r="G3247" t="s">
        <v>98</v>
      </c>
      <c r="H3247" t="s">
        <v>44</v>
      </c>
      <c r="I3247" t="s">
        <v>124</v>
      </c>
      <c r="J3247">
        <v>16</v>
      </c>
      <c r="K3247">
        <v>28843.360000000001</v>
      </c>
      <c r="L3247">
        <v>461493.76000000001</v>
      </c>
      <c r="M3247">
        <v>0</v>
      </c>
      <c r="N3247">
        <v>0</v>
      </c>
      <c r="O3247">
        <v>461493.76000000001</v>
      </c>
      <c r="P3247" t="s">
        <v>31</v>
      </c>
      <c r="Q3247" t="s">
        <v>32</v>
      </c>
    </row>
    <row r="3248" spans="1:17" x14ac:dyDescent="0.25">
      <c r="A3248" t="s">
        <v>3365</v>
      </c>
      <c r="B3248" s="1">
        <v>46018</v>
      </c>
      <c r="C3248" t="s">
        <v>79</v>
      </c>
      <c r="D3248" t="s">
        <v>80</v>
      </c>
      <c r="E3248" t="s">
        <v>35</v>
      </c>
      <c r="F3248" t="s">
        <v>36</v>
      </c>
      <c r="G3248" t="s">
        <v>22</v>
      </c>
      <c r="H3248" t="s">
        <v>38</v>
      </c>
      <c r="I3248" t="s">
        <v>108</v>
      </c>
      <c r="J3248">
        <v>48</v>
      </c>
      <c r="K3248">
        <v>35305.620000000003</v>
      </c>
      <c r="L3248">
        <v>1694669.76</v>
      </c>
      <c r="M3248">
        <v>110930.2</v>
      </c>
      <c r="N3248">
        <v>277982.23</v>
      </c>
      <c r="O3248">
        <v>1305757.33</v>
      </c>
      <c r="P3248" t="s">
        <v>32</v>
      </c>
      <c r="Q3248" t="s">
        <v>32</v>
      </c>
    </row>
    <row r="3249" spans="1:17" x14ac:dyDescent="0.25">
      <c r="A3249" t="s">
        <v>3366</v>
      </c>
      <c r="B3249" s="1">
        <v>45959</v>
      </c>
      <c r="C3249" t="s">
        <v>54</v>
      </c>
      <c r="D3249" t="s">
        <v>133</v>
      </c>
      <c r="E3249" t="s">
        <v>35</v>
      </c>
      <c r="F3249" t="s">
        <v>42</v>
      </c>
      <c r="G3249" t="s">
        <v>51</v>
      </c>
      <c r="H3249" t="s">
        <v>38</v>
      </c>
      <c r="I3249" t="s">
        <v>86</v>
      </c>
      <c r="J3249">
        <v>37</v>
      </c>
      <c r="K3249">
        <v>2029.52</v>
      </c>
      <c r="L3249">
        <v>75092.240000000005</v>
      </c>
      <c r="M3249">
        <v>5440.97</v>
      </c>
      <c r="N3249">
        <v>0</v>
      </c>
      <c r="O3249">
        <v>69651.27</v>
      </c>
      <c r="P3249" t="s">
        <v>32</v>
      </c>
      <c r="Q3249" t="s">
        <v>32</v>
      </c>
    </row>
    <row r="3250" spans="1:17" x14ac:dyDescent="0.25">
      <c r="A3250" t="s">
        <v>3367</v>
      </c>
      <c r="B3250" s="1">
        <v>45955</v>
      </c>
      <c r="C3250" t="s">
        <v>60</v>
      </c>
      <c r="D3250" t="s">
        <v>61</v>
      </c>
      <c r="E3250" t="s">
        <v>20</v>
      </c>
      <c r="F3250" t="s">
        <v>36</v>
      </c>
      <c r="G3250" t="s">
        <v>56</v>
      </c>
      <c r="H3250" t="s">
        <v>94</v>
      </c>
      <c r="I3250" t="s">
        <v>193</v>
      </c>
      <c r="J3250">
        <v>26</v>
      </c>
      <c r="K3250">
        <v>1611.73</v>
      </c>
      <c r="L3250">
        <v>41904.980000000003</v>
      </c>
      <c r="M3250">
        <v>7710.11</v>
      </c>
      <c r="N3250">
        <v>0</v>
      </c>
      <c r="O3250">
        <v>34194.870000000003</v>
      </c>
      <c r="P3250" t="s">
        <v>32</v>
      </c>
      <c r="Q3250" t="s">
        <v>32</v>
      </c>
    </row>
    <row r="3251" spans="1:17" x14ac:dyDescent="0.25">
      <c r="A3251" t="s">
        <v>3368</v>
      </c>
      <c r="B3251" s="1">
        <v>46009</v>
      </c>
      <c r="C3251" t="s">
        <v>79</v>
      </c>
      <c r="D3251" t="s">
        <v>107</v>
      </c>
      <c r="E3251" t="s">
        <v>35</v>
      </c>
      <c r="F3251" t="s">
        <v>50</v>
      </c>
      <c r="G3251" t="s">
        <v>37</v>
      </c>
      <c r="H3251" t="s">
        <v>23</v>
      </c>
      <c r="I3251" t="s">
        <v>30</v>
      </c>
      <c r="J3251">
        <v>31</v>
      </c>
      <c r="K3251">
        <v>14029.28</v>
      </c>
      <c r="L3251">
        <v>434907.68</v>
      </c>
      <c r="M3251">
        <v>0</v>
      </c>
      <c r="N3251">
        <v>0</v>
      </c>
      <c r="O3251">
        <v>434907.68</v>
      </c>
      <c r="P3251" t="s">
        <v>25</v>
      </c>
      <c r="Q3251" t="s">
        <v>26</v>
      </c>
    </row>
    <row r="3252" spans="1:17" x14ac:dyDescent="0.25">
      <c r="A3252" t="s">
        <v>3369</v>
      </c>
      <c r="B3252" s="1">
        <v>46026</v>
      </c>
      <c r="C3252" t="s">
        <v>60</v>
      </c>
      <c r="D3252" t="s">
        <v>65</v>
      </c>
      <c r="E3252" t="s">
        <v>35</v>
      </c>
      <c r="F3252" t="s">
        <v>112</v>
      </c>
      <c r="G3252" t="s">
        <v>37</v>
      </c>
      <c r="H3252" t="s">
        <v>57</v>
      </c>
      <c r="I3252" t="s">
        <v>148</v>
      </c>
      <c r="J3252">
        <v>28</v>
      </c>
      <c r="K3252">
        <v>32912.1</v>
      </c>
      <c r="L3252">
        <v>921538.8</v>
      </c>
      <c r="M3252">
        <v>182602.59</v>
      </c>
      <c r="N3252">
        <v>0</v>
      </c>
      <c r="O3252">
        <v>738936.21</v>
      </c>
      <c r="P3252" t="s">
        <v>25</v>
      </c>
      <c r="Q3252" t="s">
        <v>26</v>
      </c>
    </row>
    <row r="3253" spans="1:17" x14ac:dyDescent="0.25">
      <c r="A3253" t="s">
        <v>3370</v>
      </c>
      <c r="B3253" s="1">
        <v>45999</v>
      </c>
      <c r="C3253" t="s">
        <v>47</v>
      </c>
      <c r="D3253" t="s">
        <v>48</v>
      </c>
      <c r="E3253" t="s">
        <v>20</v>
      </c>
      <c r="F3253" t="s">
        <v>21</v>
      </c>
      <c r="G3253" t="s">
        <v>56</v>
      </c>
      <c r="H3253" t="s">
        <v>57</v>
      </c>
      <c r="I3253" t="s">
        <v>160</v>
      </c>
      <c r="J3253">
        <v>13</v>
      </c>
      <c r="K3253">
        <v>3082.22</v>
      </c>
      <c r="L3253">
        <v>40068.86</v>
      </c>
      <c r="M3253">
        <v>0</v>
      </c>
      <c r="N3253">
        <v>1321.34</v>
      </c>
      <c r="O3253">
        <v>38747.519999999997</v>
      </c>
      <c r="P3253" t="s">
        <v>25</v>
      </c>
      <c r="Q3253" t="s">
        <v>26</v>
      </c>
    </row>
    <row r="3254" spans="1:17" x14ac:dyDescent="0.25">
      <c r="A3254" t="s">
        <v>3371</v>
      </c>
      <c r="B3254" s="1">
        <v>45980</v>
      </c>
      <c r="C3254" t="s">
        <v>18</v>
      </c>
      <c r="D3254" t="s">
        <v>75</v>
      </c>
      <c r="E3254" t="s">
        <v>41</v>
      </c>
      <c r="F3254" t="s">
        <v>42</v>
      </c>
      <c r="G3254" t="s">
        <v>140</v>
      </c>
      <c r="H3254" t="s">
        <v>57</v>
      </c>
      <c r="I3254" t="s">
        <v>148</v>
      </c>
      <c r="J3254">
        <v>2</v>
      </c>
      <c r="K3254">
        <v>9309.24</v>
      </c>
      <c r="L3254">
        <v>18618.48</v>
      </c>
      <c r="M3254">
        <v>0</v>
      </c>
      <c r="N3254">
        <v>0</v>
      </c>
      <c r="O3254">
        <v>18618.48</v>
      </c>
      <c r="P3254" t="s">
        <v>25</v>
      </c>
      <c r="Q3254" t="s">
        <v>26</v>
      </c>
    </row>
    <row r="3255" spans="1:17" x14ac:dyDescent="0.25">
      <c r="A3255" t="s">
        <v>3372</v>
      </c>
      <c r="B3255" s="1">
        <v>45961</v>
      </c>
      <c r="C3255" t="s">
        <v>54</v>
      </c>
      <c r="D3255" t="s">
        <v>55</v>
      </c>
      <c r="E3255" t="s">
        <v>20</v>
      </c>
      <c r="F3255" t="s">
        <v>71</v>
      </c>
      <c r="G3255" t="s">
        <v>85</v>
      </c>
      <c r="H3255" t="s">
        <v>94</v>
      </c>
      <c r="I3255" t="s">
        <v>177</v>
      </c>
      <c r="J3255">
        <v>29</v>
      </c>
      <c r="K3255">
        <v>15708.12</v>
      </c>
      <c r="L3255">
        <v>455535.48</v>
      </c>
      <c r="M3255">
        <v>0</v>
      </c>
      <c r="N3255">
        <v>0</v>
      </c>
      <c r="O3255">
        <v>455535.48</v>
      </c>
      <c r="P3255" t="s">
        <v>32</v>
      </c>
      <c r="Q3255" t="s">
        <v>26</v>
      </c>
    </row>
    <row r="3256" spans="1:17" x14ac:dyDescent="0.25">
      <c r="A3256" t="s">
        <v>3373</v>
      </c>
      <c r="B3256" s="1">
        <v>46042</v>
      </c>
      <c r="C3256" t="s">
        <v>60</v>
      </c>
      <c r="D3256" t="s">
        <v>61</v>
      </c>
      <c r="E3256" t="s">
        <v>41</v>
      </c>
      <c r="F3256" t="s">
        <v>112</v>
      </c>
      <c r="G3256" t="s">
        <v>22</v>
      </c>
      <c r="H3256" t="s">
        <v>57</v>
      </c>
      <c r="I3256" t="s">
        <v>92</v>
      </c>
      <c r="J3256">
        <v>24</v>
      </c>
      <c r="K3256">
        <v>28692.62</v>
      </c>
      <c r="L3256">
        <v>688622.88</v>
      </c>
      <c r="M3256">
        <v>86420.61</v>
      </c>
      <c r="N3256">
        <v>0</v>
      </c>
      <c r="O3256">
        <v>602202.27</v>
      </c>
      <c r="P3256" t="s">
        <v>73</v>
      </c>
      <c r="Q3256" t="s">
        <v>26</v>
      </c>
    </row>
    <row r="3257" spans="1:17" x14ac:dyDescent="0.25">
      <c r="A3257" t="s">
        <v>3374</v>
      </c>
      <c r="B3257" s="1">
        <v>45992</v>
      </c>
      <c r="C3257" t="s">
        <v>47</v>
      </c>
      <c r="D3257" t="s">
        <v>127</v>
      </c>
      <c r="E3257" t="s">
        <v>35</v>
      </c>
      <c r="F3257" t="s">
        <v>50</v>
      </c>
      <c r="G3257" t="s">
        <v>85</v>
      </c>
      <c r="H3257" t="s">
        <v>38</v>
      </c>
      <c r="I3257" t="s">
        <v>39</v>
      </c>
      <c r="J3257">
        <v>25</v>
      </c>
      <c r="K3257">
        <v>26658.22</v>
      </c>
      <c r="L3257">
        <v>666455.5</v>
      </c>
      <c r="M3257">
        <v>0</v>
      </c>
      <c r="N3257">
        <v>0</v>
      </c>
      <c r="O3257">
        <v>666455.5</v>
      </c>
      <c r="P3257" t="s">
        <v>25</v>
      </c>
      <c r="Q3257" t="s">
        <v>26</v>
      </c>
    </row>
    <row r="3258" spans="1:17" x14ac:dyDescent="0.25">
      <c r="A3258" t="s">
        <v>3375</v>
      </c>
      <c r="B3258" s="1">
        <v>46018</v>
      </c>
      <c r="C3258" t="s">
        <v>47</v>
      </c>
      <c r="D3258" t="s">
        <v>127</v>
      </c>
      <c r="E3258" t="s">
        <v>49</v>
      </c>
      <c r="F3258" t="s">
        <v>112</v>
      </c>
      <c r="G3258" t="s">
        <v>56</v>
      </c>
      <c r="H3258" t="s">
        <v>23</v>
      </c>
      <c r="I3258" t="s">
        <v>131</v>
      </c>
      <c r="J3258">
        <v>9</v>
      </c>
      <c r="K3258">
        <v>44292.47</v>
      </c>
      <c r="L3258">
        <v>398632.23</v>
      </c>
      <c r="M3258">
        <v>7903.18</v>
      </c>
      <c r="N3258">
        <v>0</v>
      </c>
      <c r="O3258">
        <v>390729.05</v>
      </c>
      <c r="P3258" t="s">
        <v>32</v>
      </c>
      <c r="Q3258" t="s">
        <v>32</v>
      </c>
    </row>
    <row r="3259" spans="1:17" x14ac:dyDescent="0.25">
      <c r="A3259" t="s">
        <v>3376</v>
      </c>
      <c r="B3259" s="1">
        <v>45973</v>
      </c>
      <c r="C3259" t="s">
        <v>54</v>
      </c>
      <c r="D3259" t="s">
        <v>70</v>
      </c>
      <c r="E3259" t="s">
        <v>35</v>
      </c>
      <c r="F3259" t="s">
        <v>42</v>
      </c>
      <c r="G3259" t="s">
        <v>29</v>
      </c>
      <c r="H3259" t="s">
        <v>44</v>
      </c>
      <c r="I3259" t="s">
        <v>281</v>
      </c>
      <c r="J3259">
        <v>37</v>
      </c>
      <c r="K3259">
        <v>7678.54</v>
      </c>
      <c r="L3259">
        <v>284105.98</v>
      </c>
      <c r="M3259">
        <v>35972.11</v>
      </c>
      <c r="N3259">
        <v>0</v>
      </c>
      <c r="O3259">
        <v>248133.87</v>
      </c>
      <c r="P3259" t="s">
        <v>73</v>
      </c>
      <c r="Q3259" t="s">
        <v>32</v>
      </c>
    </row>
    <row r="3260" spans="1:17" x14ac:dyDescent="0.25">
      <c r="A3260" t="s">
        <v>3377</v>
      </c>
      <c r="B3260" s="1">
        <v>46013</v>
      </c>
      <c r="C3260" t="s">
        <v>60</v>
      </c>
      <c r="D3260" t="s">
        <v>123</v>
      </c>
      <c r="E3260" t="s">
        <v>20</v>
      </c>
      <c r="F3260" t="s">
        <v>112</v>
      </c>
      <c r="G3260" t="s">
        <v>140</v>
      </c>
      <c r="H3260" t="s">
        <v>38</v>
      </c>
      <c r="I3260" t="s">
        <v>82</v>
      </c>
      <c r="J3260">
        <v>32</v>
      </c>
      <c r="K3260">
        <v>43447.05</v>
      </c>
      <c r="L3260">
        <v>1390305.6</v>
      </c>
      <c r="M3260">
        <v>169089.48</v>
      </c>
      <c r="N3260">
        <v>143666.13</v>
      </c>
      <c r="O3260">
        <v>1077549.99</v>
      </c>
      <c r="P3260" t="s">
        <v>32</v>
      </c>
      <c r="Q3260" t="s">
        <v>32</v>
      </c>
    </row>
    <row r="3261" spans="1:17" x14ac:dyDescent="0.25">
      <c r="A3261" t="s">
        <v>3378</v>
      </c>
      <c r="B3261" s="1">
        <v>45992</v>
      </c>
      <c r="C3261" t="s">
        <v>60</v>
      </c>
      <c r="D3261" t="s">
        <v>123</v>
      </c>
      <c r="E3261" t="s">
        <v>35</v>
      </c>
      <c r="F3261" t="s">
        <v>137</v>
      </c>
      <c r="G3261" t="s">
        <v>89</v>
      </c>
      <c r="H3261" t="s">
        <v>38</v>
      </c>
      <c r="I3261" t="s">
        <v>108</v>
      </c>
      <c r="J3261">
        <v>24</v>
      </c>
      <c r="K3261">
        <v>40146.17</v>
      </c>
      <c r="L3261">
        <v>963508.08</v>
      </c>
      <c r="M3261">
        <v>42969.48</v>
      </c>
      <c r="N3261">
        <v>0</v>
      </c>
      <c r="O3261">
        <v>920538.6</v>
      </c>
      <c r="P3261" t="s">
        <v>31</v>
      </c>
      <c r="Q3261" t="s">
        <v>32</v>
      </c>
    </row>
    <row r="3262" spans="1:17" x14ac:dyDescent="0.25">
      <c r="A3262" t="s">
        <v>3379</v>
      </c>
      <c r="B3262" s="1">
        <v>45974</v>
      </c>
      <c r="C3262" t="s">
        <v>79</v>
      </c>
      <c r="D3262" t="s">
        <v>91</v>
      </c>
      <c r="E3262" t="s">
        <v>20</v>
      </c>
      <c r="F3262" t="s">
        <v>62</v>
      </c>
      <c r="G3262" t="s">
        <v>37</v>
      </c>
      <c r="H3262" t="s">
        <v>38</v>
      </c>
      <c r="I3262" t="s">
        <v>82</v>
      </c>
      <c r="J3262">
        <v>22</v>
      </c>
      <c r="K3262">
        <v>10913.46</v>
      </c>
      <c r="L3262">
        <v>240096.12</v>
      </c>
      <c r="M3262">
        <v>42390.07</v>
      </c>
      <c r="N3262">
        <v>0</v>
      </c>
      <c r="O3262">
        <v>197706.05</v>
      </c>
      <c r="P3262" t="s">
        <v>73</v>
      </c>
      <c r="Q3262" t="s">
        <v>32</v>
      </c>
    </row>
    <row r="3263" spans="1:17" x14ac:dyDescent="0.25">
      <c r="A3263" t="s">
        <v>3380</v>
      </c>
      <c r="B3263" s="1">
        <v>46020</v>
      </c>
      <c r="C3263" t="s">
        <v>54</v>
      </c>
      <c r="D3263" t="s">
        <v>133</v>
      </c>
      <c r="E3263" t="s">
        <v>41</v>
      </c>
      <c r="F3263" t="s">
        <v>62</v>
      </c>
      <c r="G3263" t="s">
        <v>81</v>
      </c>
      <c r="H3263" t="s">
        <v>23</v>
      </c>
      <c r="I3263" t="s">
        <v>131</v>
      </c>
      <c r="J3263">
        <v>21</v>
      </c>
      <c r="K3263">
        <v>21539.200000000001</v>
      </c>
      <c r="L3263">
        <v>452323.2</v>
      </c>
      <c r="M3263">
        <v>0</v>
      </c>
      <c r="N3263">
        <v>0</v>
      </c>
      <c r="O3263">
        <v>452323.2</v>
      </c>
      <c r="P3263" t="s">
        <v>25</v>
      </c>
      <c r="Q3263" t="s">
        <v>26</v>
      </c>
    </row>
    <row r="3264" spans="1:17" x14ac:dyDescent="0.25">
      <c r="A3264" t="s">
        <v>3381</v>
      </c>
      <c r="B3264" s="1">
        <v>46037</v>
      </c>
      <c r="C3264" t="s">
        <v>47</v>
      </c>
      <c r="D3264" t="s">
        <v>88</v>
      </c>
      <c r="E3264" t="s">
        <v>35</v>
      </c>
      <c r="F3264" t="s">
        <v>71</v>
      </c>
      <c r="G3264" t="s">
        <v>37</v>
      </c>
      <c r="H3264" t="s">
        <v>57</v>
      </c>
      <c r="I3264" t="s">
        <v>118</v>
      </c>
      <c r="J3264">
        <v>42</v>
      </c>
      <c r="K3264">
        <v>44015.13</v>
      </c>
      <c r="L3264">
        <v>1848635.46</v>
      </c>
      <c r="M3264">
        <v>0</v>
      </c>
      <c r="N3264">
        <v>0</v>
      </c>
      <c r="O3264">
        <v>1848635.46</v>
      </c>
      <c r="P3264" t="s">
        <v>32</v>
      </c>
      <c r="Q3264" t="s">
        <v>26</v>
      </c>
    </row>
    <row r="3265" spans="1:17" x14ac:dyDescent="0.25">
      <c r="A3265" t="s">
        <v>3382</v>
      </c>
      <c r="B3265" s="1">
        <v>45989</v>
      </c>
      <c r="C3265" t="s">
        <v>60</v>
      </c>
      <c r="D3265" t="s">
        <v>65</v>
      </c>
      <c r="E3265" t="s">
        <v>35</v>
      </c>
      <c r="F3265" t="s">
        <v>84</v>
      </c>
      <c r="G3265" t="s">
        <v>56</v>
      </c>
      <c r="H3265" t="s">
        <v>57</v>
      </c>
      <c r="I3265" t="s">
        <v>148</v>
      </c>
      <c r="J3265">
        <v>28</v>
      </c>
      <c r="K3265">
        <v>35826.81</v>
      </c>
      <c r="L3265">
        <v>1003150.68</v>
      </c>
      <c r="M3265">
        <v>155878.39999999999</v>
      </c>
      <c r="N3265">
        <v>46580.95</v>
      </c>
      <c r="O3265">
        <v>800691.33</v>
      </c>
      <c r="P3265" t="s">
        <v>73</v>
      </c>
      <c r="Q3265" t="s">
        <v>32</v>
      </c>
    </row>
    <row r="3266" spans="1:17" x14ac:dyDescent="0.25">
      <c r="A3266" t="s">
        <v>3383</v>
      </c>
      <c r="B3266" s="1">
        <v>45957</v>
      </c>
      <c r="C3266" t="s">
        <v>18</v>
      </c>
      <c r="D3266" t="s">
        <v>34</v>
      </c>
      <c r="E3266" t="s">
        <v>20</v>
      </c>
      <c r="F3266" t="s">
        <v>112</v>
      </c>
      <c r="G3266" t="s">
        <v>29</v>
      </c>
      <c r="H3266" t="s">
        <v>44</v>
      </c>
      <c r="I3266" t="s">
        <v>141</v>
      </c>
      <c r="J3266">
        <v>34</v>
      </c>
      <c r="K3266">
        <v>17524.48</v>
      </c>
      <c r="L3266">
        <v>595832.31999999995</v>
      </c>
      <c r="M3266">
        <v>0</v>
      </c>
      <c r="N3266">
        <v>0</v>
      </c>
      <c r="O3266">
        <v>595832.31999999995</v>
      </c>
      <c r="P3266" t="s">
        <v>31</v>
      </c>
      <c r="Q3266" t="s">
        <v>32</v>
      </c>
    </row>
    <row r="3267" spans="1:17" x14ac:dyDescent="0.25">
      <c r="A3267" t="s">
        <v>3384</v>
      </c>
      <c r="B3267" s="1">
        <v>46006</v>
      </c>
      <c r="C3267" t="s">
        <v>60</v>
      </c>
      <c r="D3267" t="s">
        <v>123</v>
      </c>
      <c r="E3267" t="s">
        <v>41</v>
      </c>
      <c r="F3267" t="s">
        <v>62</v>
      </c>
      <c r="G3267" t="s">
        <v>37</v>
      </c>
      <c r="H3267" t="s">
        <v>94</v>
      </c>
      <c r="I3267" t="s">
        <v>163</v>
      </c>
      <c r="J3267">
        <v>14</v>
      </c>
      <c r="K3267">
        <v>38416.129999999997</v>
      </c>
      <c r="L3267">
        <v>537825.81999999995</v>
      </c>
      <c r="M3267">
        <v>41798.19</v>
      </c>
      <c r="N3267">
        <v>0</v>
      </c>
      <c r="O3267">
        <v>496027.63</v>
      </c>
      <c r="P3267" t="s">
        <v>31</v>
      </c>
      <c r="Q3267" t="s">
        <v>32</v>
      </c>
    </row>
    <row r="3268" spans="1:17" x14ac:dyDescent="0.25">
      <c r="A3268" t="s">
        <v>3385</v>
      </c>
      <c r="B3268" s="1">
        <v>46025</v>
      </c>
      <c r="C3268" t="s">
        <v>60</v>
      </c>
      <c r="D3268" t="s">
        <v>65</v>
      </c>
      <c r="E3268" t="s">
        <v>20</v>
      </c>
      <c r="F3268" t="s">
        <v>50</v>
      </c>
      <c r="G3268" t="s">
        <v>89</v>
      </c>
      <c r="H3268" t="s">
        <v>38</v>
      </c>
      <c r="I3268" t="s">
        <v>86</v>
      </c>
      <c r="J3268">
        <v>18</v>
      </c>
      <c r="K3268">
        <v>35111.57</v>
      </c>
      <c r="L3268">
        <v>632008.26</v>
      </c>
      <c r="M3268">
        <v>0</v>
      </c>
      <c r="N3268">
        <v>143081.85</v>
      </c>
      <c r="O3268">
        <v>488926.41</v>
      </c>
      <c r="P3268" t="s">
        <v>31</v>
      </c>
      <c r="Q3268" t="s">
        <v>32</v>
      </c>
    </row>
    <row r="3269" spans="1:17" x14ac:dyDescent="0.25">
      <c r="A3269" t="s">
        <v>3386</v>
      </c>
      <c r="B3269" s="1">
        <v>46042</v>
      </c>
      <c r="C3269" t="s">
        <v>79</v>
      </c>
      <c r="D3269" t="s">
        <v>101</v>
      </c>
      <c r="E3269" t="s">
        <v>49</v>
      </c>
      <c r="F3269" t="s">
        <v>50</v>
      </c>
      <c r="G3269" t="s">
        <v>51</v>
      </c>
      <c r="H3269" t="s">
        <v>57</v>
      </c>
      <c r="I3269" t="s">
        <v>92</v>
      </c>
      <c r="J3269">
        <v>25</v>
      </c>
      <c r="K3269">
        <v>3271.13</v>
      </c>
      <c r="L3269">
        <v>81778.25</v>
      </c>
      <c r="M3269">
        <v>1980.81</v>
      </c>
      <c r="N3269">
        <v>19832.52</v>
      </c>
      <c r="O3269">
        <v>59964.92</v>
      </c>
      <c r="P3269" t="s">
        <v>32</v>
      </c>
      <c r="Q3269" t="s">
        <v>32</v>
      </c>
    </row>
    <row r="3270" spans="1:17" x14ac:dyDescent="0.25">
      <c r="A3270" t="s">
        <v>3387</v>
      </c>
      <c r="B3270" s="1">
        <v>45979</v>
      </c>
      <c r="C3270" t="s">
        <v>18</v>
      </c>
      <c r="D3270" t="s">
        <v>34</v>
      </c>
      <c r="E3270" t="s">
        <v>49</v>
      </c>
      <c r="F3270" t="s">
        <v>36</v>
      </c>
      <c r="G3270" t="s">
        <v>51</v>
      </c>
      <c r="H3270" t="s">
        <v>57</v>
      </c>
      <c r="I3270" t="s">
        <v>118</v>
      </c>
      <c r="J3270">
        <v>28</v>
      </c>
      <c r="K3270">
        <v>1824.71</v>
      </c>
      <c r="L3270">
        <v>51091.88</v>
      </c>
      <c r="M3270">
        <v>5615.96</v>
      </c>
      <c r="N3270">
        <v>0</v>
      </c>
      <c r="O3270">
        <v>45475.92</v>
      </c>
      <c r="P3270" t="s">
        <v>31</v>
      </c>
      <c r="Q3270" t="s">
        <v>32</v>
      </c>
    </row>
    <row r="3271" spans="1:17" x14ac:dyDescent="0.25">
      <c r="A3271" t="s">
        <v>3388</v>
      </c>
      <c r="B3271" s="1">
        <v>45963</v>
      </c>
      <c r="C3271" t="s">
        <v>79</v>
      </c>
      <c r="D3271" t="s">
        <v>91</v>
      </c>
      <c r="E3271" t="s">
        <v>41</v>
      </c>
      <c r="F3271" t="s">
        <v>105</v>
      </c>
      <c r="G3271" t="s">
        <v>89</v>
      </c>
      <c r="H3271" t="s">
        <v>44</v>
      </c>
      <c r="I3271" t="s">
        <v>281</v>
      </c>
      <c r="J3271">
        <v>49</v>
      </c>
      <c r="K3271">
        <v>32568.14</v>
      </c>
      <c r="L3271">
        <v>1595838.86</v>
      </c>
      <c r="M3271">
        <v>22921.52</v>
      </c>
      <c r="N3271">
        <v>0</v>
      </c>
      <c r="O3271">
        <v>1572917.34</v>
      </c>
      <c r="P3271" t="s">
        <v>73</v>
      </c>
      <c r="Q3271" t="s">
        <v>26</v>
      </c>
    </row>
    <row r="3272" spans="1:17" x14ac:dyDescent="0.25">
      <c r="A3272" t="s">
        <v>3389</v>
      </c>
      <c r="B3272" s="1">
        <v>46014</v>
      </c>
      <c r="C3272" t="s">
        <v>18</v>
      </c>
      <c r="D3272" t="s">
        <v>19</v>
      </c>
      <c r="E3272" t="s">
        <v>49</v>
      </c>
      <c r="F3272" t="s">
        <v>62</v>
      </c>
      <c r="G3272" t="s">
        <v>89</v>
      </c>
      <c r="H3272" t="s">
        <v>67</v>
      </c>
      <c r="I3272" t="s">
        <v>201</v>
      </c>
      <c r="J3272">
        <v>42</v>
      </c>
      <c r="K3272">
        <v>33547.74</v>
      </c>
      <c r="L3272">
        <v>1409005.08</v>
      </c>
      <c r="M3272">
        <v>261116.44</v>
      </c>
      <c r="N3272">
        <v>0</v>
      </c>
      <c r="O3272">
        <v>1147888.6399999999</v>
      </c>
      <c r="P3272" t="s">
        <v>25</v>
      </c>
      <c r="Q3272" t="s">
        <v>26</v>
      </c>
    </row>
    <row r="3273" spans="1:17" x14ac:dyDescent="0.25">
      <c r="A3273" t="s">
        <v>3390</v>
      </c>
      <c r="B3273" s="1">
        <v>46026</v>
      </c>
      <c r="C3273" t="s">
        <v>54</v>
      </c>
      <c r="D3273" t="s">
        <v>70</v>
      </c>
      <c r="E3273" t="s">
        <v>41</v>
      </c>
      <c r="F3273" t="s">
        <v>112</v>
      </c>
      <c r="G3273" t="s">
        <v>29</v>
      </c>
      <c r="H3273" t="s">
        <v>44</v>
      </c>
      <c r="I3273" t="s">
        <v>141</v>
      </c>
      <c r="J3273">
        <v>19</v>
      </c>
      <c r="K3273">
        <v>4750.46</v>
      </c>
      <c r="L3273">
        <v>90258.74</v>
      </c>
      <c r="M3273">
        <v>0</v>
      </c>
      <c r="N3273">
        <v>0</v>
      </c>
      <c r="O3273">
        <v>90258.74</v>
      </c>
      <c r="P3273" t="s">
        <v>31</v>
      </c>
      <c r="Q3273" t="s">
        <v>32</v>
      </c>
    </row>
    <row r="3274" spans="1:17" x14ac:dyDescent="0.25">
      <c r="A3274" t="s">
        <v>3391</v>
      </c>
      <c r="B3274" s="1">
        <v>46042</v>
      </c>
      <c r="C3274" t="s">
        <v>60</v>
      </c>
      <c r="D3274" t="s">
        <v>151</v>
      </c>
      <c r="E3274" t="s">
        <v>49</v>
      </c>
      <c r="F3274" t="s">
        <v>42</v>
      </c>
      <c r="G3274" t="s">
        <v>63</v>
      </c>
      <c r="H3274" t="s">
        <v>67</v>
      </c>
      <c r="I3274" t="s">
        <v>103</v>
      </c>
      <c r="J3274">
        <v>43</v>
      </c>
      <c r="K3274">
        <v>29375.81</v>
      </c>
      <c r="L3274">
        <v>1263159.83</v>
      </c>
      <c r="M3274">
        <v>0</v>
      </c>
      <c r="N3274">
        <v>0</v>
      </c>
      <c r="O3274">
        <v>1263159.83</v>
      </c>
      <c r="P3274" t="s">
        <v>73</v>
      </c>
      <c r="Q3274" t="s">
        <v>32</v>
      </c>
    </row>
    <row r="3275" spans="1:17" x14ac:dyDescent="0.25">
      <c r="A3275" t="s">
        <v>3392</v>
      </c>
      <c r="B3275" s="1">
        <v>46030</v>
      </c>
      <c r="C3275" t="s">
        <v>79</v>
      </c>
      <c r="D3275" t="s">
        <v>107</v>
      </c>
      <c r="E3275" t="s">
        <v>20</v>
      </c>
      <c r="F3275" t="s">
        <v>137</v>
      </c>
      <c r="G3275" t="s">
        <v>98</v>
      </c>
      <c r="H3275" t="s">
        <v>67</v>
      </c>
      <c r="I3275" t="s">
        <v>68</v>
      </c>
      <c r="J3275">
        <v>37</v>
      </c>
      <c r="K3275">
        <v>35300.400000000001</v>
      </c>
      <c r="L3275">
        <v>1306114.8</v>
      </c>
      <c r="M3275">
        <v>55.68</v>
      </c>
      <c r="N3275">
        <v>0</v>
      </c>
      <c r="O3275">
        <v>1306059.1200000001</v>
      </c>
      <c r="P3275" t="s">
        <v>25</v>
      </c>
      <c r="Q3275" t="s">
        <v>26</v>
      </c>
    </row>
    <row r="3276" spans="1:17" x14ac:dyDescent="0.25">
      <c r="A3276" t="s">
        <v>3393</v>
      </c>
      <c r="B3276" s="1">
        <v>45960</v>
      </c>
      <c r="C3276" t="s">
        <v>60</v>
      </c>
      <c r="D3276" t="s">
        <v>151</v>
      </c>
      <c r="E3276" t="s">
        <v>20</v>
      </c>
      <c r="F3276" t="s">
        <v>105</v>
      </c>
      <c r="G3276" t="s">
        <v>22</v>
      </c>
      <c r="H3276" t="s">
        <v>94</v>
      </c>
      <c r="I3276" t="s">
        <v>163</v>
      </c>
      <c r="J3276">
        <v>20</v>
      </c>
      <c r="K3276">
        <v>42436.79</v>
      </c>
      <c r="L3276">
        <v>848735.8</v>
      </c>
      <c r="M3276">
        <v>95971.28</v>
      </c>
      <c r="N3276">
        <v>0</v>
      </c>
      <c r="O3276">
        <v>752764.52</v>
      </c>
      <c r="P3276" t="s">
        <v>25</v>
      </c>
      <c r="Q3276" t="s">
        <v>26</v>
      </c>
    </row>
    <row r="3277" spans="1:17" x14ac:dyDescent="0.25">
      <c r="A3277" t="s">
        <v>3394</v>
      </c>
      <c r="B3277" s="1">
        <v>46041</v>
      </c>
      <c r="C3277" t="s">
        <v>47</v>
      </c>
      <c r="D3277" t="s">
        <v>127</v>
      </c>
      <c r="E3277" t="s">
        <v>41</v>
      </c>
      <c r="F3277" t="s">
        <v>84</v>
      </c>
      <c r="G3277" t="s">
        <v>140</v>
      </c>
      <c r="H3277" t="s">
        <v>38</v>
      </c>
      <c r="I3277" t="s">
        <v>82</v>
      </c>
      <c r="J3277">
        <v>6</v>
      </c>
      <c r="K3277">
        <v>11429.93</v>
      </c>
      <c r="L3277">
        <v>68579.58</v>
      </c>
      <c r="M3277">
        <v>4612.66</v>
      </c>
      <c r="N3277">
        <v>0</v>
      </c>
      <c r="O3277">
        <v>63966.92</v>
      </c>
      <c r="P3277" t="s">
        <v>25</v>
      </c>
      <c r="Q3277" t="s">
        <v>26</v>
      </c>
    </row>
    <row r="3278" spans="1:17" x14ac:dyDescent="0.25">
      <c r="A3278" t="s">
        <v>3395</v>
      </c>
      <c r="B3278" s="1">
        <v>45970</v>
      </c>
      <c r="C3278" t="s">
        <v>47</v>
      </c>
      <c r="D3278" t="s">
        <v>48</v>
      </c>
      <c r="E3278" t="s">
        <v>41</v>
      </c>
      <c r="F3278" t="s">
        <v>112</v>
      </c>
      <c r="G3278" t="s">
        <v>56</v>
      </c>
      <c r="H3278" t="s">
        <v>57</v>
      </c>
      <c r="I3278" t="s">
        <v>160</v>
      </c>
      <c r="J3278">
        <v>8</v>
      </c>
      <c r="K3278">
        <v>9076.69</v>
      </c>
      <c r="L3278">
        <v>72613.52</v>
      </c>
      <c r="M3278">
        <v>8577.68</v>
      </c>
      <c r="N3278">
        <v>0</v>
      </c>
      <c r="O3278">
        <v>64035.839999999997</v>
      </c>
      <c r="P3278" t="s">
        <v>31</v>
      </c>
      <c r="Q3278" t="s">
        <v>32</v>
      </c>
    </row>
    <row r="3279" spans="1:17" x14ac:dyDescent="0.25">
      <c r="A3279" t="s">
        <v>3396</v>
      </c>
      <c r="B3279" s="1">
        <v>46003</v>
      </c>
      <c r="C3279" t="s">
        <v>18</v>
      </c>
      <c r="D3279" t="s">
        <v>34</v>
      </c>
      <c r="E3279" t="s">
        <v>41</v>
      </c>
      <c r="F3279" t="s">
        <v>71</v>
      </c>
      <c r="G3279" t="s">
        <v>89</v>
      </c>
      <c r="H3279" t="s">
        <v>38</v>
      </c>
      <c r="I3279" t="s">
        <v>39</v>
      </c>
      <c r="J3279">
        <v>29</v>
      </c>
      <c r="K3279">
        <v>15163.38</v>
      </c>
      <c r="L3279">
        <v>439738.02</v>
      </c>
      <c r="M3279">
        <v>37918.25</v>
      </c>
      <c r="N3279">
        <v>0</v>
      </c>
      <c r="O3279">
        <v>401819.77</v>
      </c>
      <c r="P3279" t="s">
        <v>32</v>
      </c>
      <c r="Q3279" t="s">
        <v>26</v>
      </c>
    </row>
    <row r="3280" spans="1:17" x14ac:dyDescent="0.25">
      <c r="A3280" t="s">
        <v>3397</v>
      </c>
      <c r="B3280" s="1">
        <v>45973</v>
      </c>
      <c r="C3280" t="s">
        <v>18</v>
      </c>
      <c r="D3280" t="s">
        <v>34</v>
      </c>
      <c r="E3280" t="s">
        <v>49</v>
      </c>
      <c r="F3280" t="s">
        <v>71</v>
      </c>
      <c r="G3280" t="s">
        <v>81</v>
      </c>
      <c r="H3280" t="s">
        <v>94</v>
      </c>
      <c r="I3280" t="s">
        <v>144</v>
      </c>
      <c r="J3280">
        <v>12</v>
      </c>
      <c r="K3280">
        <v>48406.83</v>
      </c>
      <c r="L3280">
        <v>580881.96</v>
      </c>
      <c r="M3280">
        <v>71459.88</v>
      </c>
      <c r="N3280">
        <v>0</v>
      </c>
      <c r="O3280">
        <v>509422.08000000002</v>
      </c>
      <c r="P3280" t="s">
        <v>73</v>
      </c>
      <c r="Q3280" t="s">
        <v>26</v>
      </c>
    </row>
    <row r="3281" spans="1:17" x14ac:dyDescent="0.25">
      <c r="A3281" t="s">
        <v>3398</v>
      </c>
      <c r="B3281" s="1">
        <v>46028</v>
      </c>
      <c r="C3281" t="s">
        <v>60</v>
      </c>
      <c r="D3281" t="s">
        <v>151</v>
      </c>
      <c r="E3281" t="s">
        <v>49</v>
      </c>
      <c r="F3281" t="s">
        <v>50</v>
      </c>
      <c r="G3281" t="s">
        <v>56</v>
      </c>
      <c r="H3281" t="s">
        <v>38</v>
      </c>
      <c r="I3281" t="s">
        <v>108</v>
      </c>
      <c r="J3281">
        <v>15</v>
      </c>
      <c r="K3281">
        <v>38687.599999999999</v>
      </c>
      <c r="L3281">
        <v>580314</v>
      </c>
      <c r="M3281">
        <v>0</v>
      </c>
      <c r="N3281">
        <v>0</v>
      </c>
      <c r="O3281">
        <v>580314</v>
      </c>
      <c r="P3281" t="s">
        <v>31</v>
      </c>
      <c r="Q3281" t="s">
        <v>32</v>
      </c>
    </row>
    <row r="3282" spans="1:17" x14ac:dyDescent="0.25">
      <c r="A3282" t="s">
        <v>3399</v>
      </c>
      <c r="B3282" s="1">
        <v>45997</v>
      </c>
      <c r="C3282" t="s">
        <v>18</v>
      </c>
      <c r="D3282" t="s">
        <v>28</v>
      </c>
      <c r="E3282" t="s">
        <v>49</v>
      </c>
      <c r="F3282" t="s">
        <v>50</v>
      </c>
      <c r="G3282" t="s">
        <v>37</v>
      </c>
      <c r="H3282" t="s">
        <v>23</v>
      </c>
      <c r="I3282" t="s">
        <v>110</v>
      </c>
      <c r="J3282">
        <v>46</v>
      </c>
      <c r="K3282">
        <v>4421.3500000000004</v>
      </c>
      <c r="L3282">
        <v>203382.1</v>
      </c>
      <c r="M3282">
        <v>19016.54</v>
      </c>
      <c r="N3282">
        <v>0</v>
      </c>
      <c r="O3282">
        <v>184365.56</v>
      </c>
      <c r="P3282" t="s">
        <v>73</v>
      </c>
      <c r="Q3282" t="s">
        <v>32</v>
      </c>
    </row>
    <row r="3283" spans="1:17" x14ac:dyDescent="0.25">
      <c r="A3283" t="s">
        <v>3400</v>
      </c>
      <c r="B3283" s="1">
        <v>46004</v>
      </c>
      <c r="C3283" t="s">
        <v>18</v>
      </c>
      <c r="D3283" t="s">
        <v>34</v>
      </c>
      <c r="E3283" t="s">
        <v>41</v>
      </c>
      <c r="F3283" t="s">
        <v>105</v>
      </c>
      <c r="G3283" t="s">
        <v>138</v>
      </c>
      <c r="H3283" t="s">
        <v>57</v>
      </c>
      <c r="I3283" t="s">
        <v>118</v>
      </c>
      <c r="J3283">
        <v>29</v>
      </c>
      <c r="K3283">
        <v>17041.939999999999</v>
      </c>
      <c r="L3283">
        <v>494216.26</v>
      </c>
      <c r="M3283">
        <v>90798.11</v>
      </c>
      <c r="N3283">
        <v>0</v>
      </c>
      <c r="O3283">
        <v>403418.15</v>
      </c>
      <c r="P3283" t="s">
        <v>31</v>
      </c>
      <c r="Q3283" t="s">
        <v>32</v>
      </c>
    </row>
    <row r="3284" spans="1:17" x14ac:dyDescent="0.25">
      <c r="A3284" t="s">
        <v>3401</v>
      </c>
      <c r="B3284" s="1">
        <v>46045</v>
      </c>
      <c r="C3284" t="s">
        <v>79</v>
      </c>
      <c r="D3284" t="s">
        <v>101</v>
      </c>
      <c r="E3284" t="s">
        <v>49</v>
      </c>
      <c r="F3284" t="s">
        <v>50</v>
      </c>
      <c r="G3284" t="s">
        <v>98</v>
      </c>
      <c r="H3284" t="s">
        <v>94</v>
      </c>
      <c r="I3284" t="s">
        <v>115</v>
      </c>
      <c r="J3284">
        <v>47</v>
      </c>
      <c r="K3284">
        <v>7747.22</v>
      </c>
      <c r="L3284">
        <v>364119.34</v>
      </c>
      <c r="M3284">
        <v>52890.46</v>
      </c>
      <c r="N3284">
        <v>0</v>
      </c>
      <c r="O3284">
        <v>311228.88</v>
      </c>
      <c r="P3284" t="s">
        <v>25</v>
      </c>
      <c r="Q3284" t="s">
        <v>26</v>
      </c>
    </row>
    <row r="3285" spans="1:17" x14ac:dyDescent="0.25">
      <c r="A3285" t="s">
        <v>3402</v>
      </c>
      <c r="B3285" s="1">
        <v>46017</v>
      </c>
      <c r="C3285" t="s">
        <v>54</v>
      </c>
      <c r="D3285" t="s">
        <v>133</v>
      </c>
      <c r="E3285" t="s">
        <v>41</v>
      </c>
      <c r="F3285" t="s">
        <v>21</v>
      </c>
      <c r="G3285" t="s">
        <v>29</v>
      </c>
      <c r="H3285" t="s">
        <v>38</v>
      </c>
      <c r="I3285" t="s">
        <v>86</v>
      </c>
      <c r="J3285">
        <v>38</v>
      </c>
      <c r="K3285">
        <v>3904.84</v>
      </c>
      <c r="L3285">
        <v>148383.92000000001</v>
      </c>
      <c r="M3285">
        <v>0</v>
      </c>
      <c r="N3285">
        <v>0</v>
      </c>
      <c r="O3285">
        <v>148383.92000000001</v>
      </c>
      <c r="P3285" t="s">
        <v>25</v>
      </c>
      <c r="Q3285" t="s">
        <v>26</v>
      </c>
    </row>
    <row r="3286" spans="1:17" x14ac:dyDescent="0.25">
      <c r="A3286" t="s">
        <v>3403</v>
      </c>
      <c r="B3286" s="1">
        <v>46041</v>
      </c>
      <c r="C3286" t="s">
        <v>79</v>
      </c>
      <c r="D3286" t="s">
        <v>107</v>
      </c>
      <c r="E3286" t="s">
        <v>20</v>
      </c>
      <c r="F3286" t="s">
        <v>42</v>
      </c>
      <c r="G3286" t="s">
        <v>140</v>
      </c>
      <c r="H3286" t="s">
        <v>44</v>
      </c>
      <c r="I3286" t="s">
        <v>141</v>
      </c>
      <c r="J3286">
        <v>29</v>
      </c>
      <c r="K3286">
        <v>46834.080000000002</v>
      </c>
      <c r="L3286">
        <v>1358188.32</v>
      </c>
      <c r="M3286">
        <v>214466.66</v>
      </c>
      <c r="N3286">
        <v>0</v>
      </c>
      <c r="O3286">
        <v>1143721.6599999999</v>
      </c>
      <c r="P3286" t="s">
        <v>31</v>
      </c>
      <c r="Q3286" t="s">
        <v>32</v>
      </c>
    </row>
    <row r="3287" spans="1:17" x14ac:dyDescent="0.25">
      <c r="A3287" t="s">
        <v>3404</v>
      </c>
      <c r="B3287" s="1">
        <v>45985</v>
      </c>
      <c r="C3287" t="s">
        <v>18</v>
      </c>
      <c r="D3287" t="s">
        <v>19</v>
      </c>
      <c r="E3287" t="s">
        <v>41</v>
      </c>
      <c r="F3287" t="s">
        <v>42</v>
      </c>
      <c r="G3287" t="s">
        <v>89</v>
      </c>
      <c r="H3287" t="s">
        <v>94</v>
      </c>
      <c r="I3287" t="s">
        <v>144</v>
      </c>
      <c r="J3287">
        <v>40</v>
      </c>
      <c r="K3287">
        <v>32975.35</v>
      </c>
      <c r="L3287">
        <v>1319014</v>
      </c>
      <c r="M3287">
        <v>163334.62</v>
      </c>
      <c r="N3287">
        <v>117411.43</v>
      </c>
      <c r="O3287">
        <v>1038267.95</v>
      </c>
      <c r="P3287" t="s">
        <v>25</v>
      </c>
      <c r="Q3287" t="s">
        <v>26</v>
      </c>
    </row>
    <row r="3288" spans="1:17" x14ac:dyDescent="0.25">
      <c r="A3288" t="s">
        <v>3405</v>
      </c>
      <c r="B3288" s="1">
        <v>46006</v>
      </c>
      <c r="C3288" t="s">
        <v>47</v>
      </c>
      <c r="D3288" t="s">
        <v>48</v>
      </c>
      <c r="E3288" t="s">
        <v>41</v>
      </c>
      <c r="F3288" t="s">
        <v>42</v>
      </c>
      <c r="G3288" t="s">
        <v>51</v>
      </c>
      <c r="H3288" t="s">
        <v>94</v>
      </c>
      <c r="I3288" t="s">
        <v>95</v>
      </c>
      <c r="J3288">
        <v>27</v>
      </c>
      <c r="K3288">
        <v>2196.52</v>
      </c>
      <c r="L3288">
        <v>59306.04</v>
      </c>
      <c r="M3288">
        <v>0</v>
      </c>
      <c r="N3288">
        <v>0</v>
      </c>
      <c r="O3288">
        <v>59306.04</v>
      </c>
      <c r="P3288" t="s">
        <v>25</v>
      </c>
      <c r="Q3288" t="s">
        <v>26</v>
      </c>
    </row>
    <row r="3289" spans="1:17" x14ac:dyDescent="0.25">
      <c r="A3289" t="s">
        <v>3406</v>
      </c>
      <c r="B3289" s="1">
        <v>45993</v>
      </c>
      <c r="C3289" t="s">
        <v>60</v>
      </c>
      <c r="D3289" t="s">
        <v>151</v>
      </c>
      <c r="E3289" t="s">
        <v>49</v>
      </c>
      <c r="F3289" t="s">
        <v>62</v>
      </c>
      <c r="G3289" t="s">
        <v>102</v>
      </c>
      <c r="H3289" t="s">
        <v>57</v>
      </c>
      <c r="I3289" t="s">
        <v>92</v>
      </c>
      <c r="J3289">
        <v>18</v>
      </c>
      <c r="K3289">
        <v>552.29</v>
      </c>
      <c r="L3289">
        <v>9941.2199999999993</v>
      </c>
      <c r="M3289">
        <v>147.01</v>
      </c>
      <c r="N3289">
        <v>0</v>
      </c>
      <c r="O3289">
        <v>9794.2099999999991</v>
      </c>
      <c r="P3289" t="s">
        <v>25</v>
      </c>
      <c r="Q3289" t="s">
        <v>26</v>
      </c>
    </row>
    <row r="3290" spans="1:17" x14ac:dyDescent="0.25">
      <c r="A3290" t="s">
        <v>3407</v>
      </c>
      <c r="B3290" s="1">
        <v>46026</v>
      </c>
      <c r="C3290" t="s">
        <v>54</v>
      </c>
      <c r="D3290" t="s">
        <v>97</v>
      </c>
      <c r="E3290" t="s">
        <v>49</v>
      </c>
      <c r="F3290" t="s">
        <v>112</v>
      </c>
      <c r="G3290" t="s">
        <v>37</v>
      </c>
      <c r="H3290" t="s">
        <v>67</v>
      </c>
      <c r="I3290" t="s">
        <v>154</v>
      </c>
      <c r="J3290">
        <v>38</v>
      </c>
      <c r="K3290">
        <v>37244.07</v>
      </c>
      <c r="L3290">
        <v>1415274.66</v>
      </c>
      <c r="M3290">
        <v>220726.58</v>
      </c>
      <c r="N3290">
        <v>229682.18</v>
      </c>
      <c r="O3290">
        <v>964865.9</v>
      </c>
      <c r="P3290" t="s">
        <v>32</v>
      </c>
      <c r="Q3290" t="s">
        <v>26</v>
      </c>
    </row>
    <row r="3291" spans="1:17" x14ac:dyDescent="0.25">
      <c r="A3291" t="s">
        <v>3408</v>
      </c>
      <c r="B3291" s="1">
        <v>45978</v>
      </c>
      <c r="C3291" t="s">
        <v>18</v>
      </c>
      <c r="D3291" t="s">
        <v>19</v>
      </c>
      <c r="E3291" t="s">
        <v>35</v>
      </c>
      <c r="F3291" t="s">
        <v>21</v>
      </c>
      <c r="G3291" t="s">
        <v>140</v>
      </c>
      <c r="H3291" t="s">
        <v>38</v>
      </c>
      <c r="I3291" t="s">
        <v>175</v>
      </c>
      <c r="J3291">
        <v>30</v>
      </c>
      <c r="K3291">
        <v>45492.25</v>
      </c>
      <c r="L3291">
        <v>1364767.5</v>
      </c>
      <c r="M3291">
        <v>61935.57</v>
      </c>
      <c r="N3291">
        <v>0</v>
      </c>
      <c r="O3291">
        <v>1302831.93</v>
      </c>
      <c r="P3291" t="s">
        <v>25</v>
      </c>
      <c r="Q3291" t="s">
        <v>26</v>
      </c>
    </row>
    <row r="3292" spans="1:17" x14ac:dyDescent="0.25">
      <c r="A3292" t="s">
        <v>3409</v>
      </c>
      <c r="B3292" s="1">
        <v>45962</v>
      </c>
      <c r="C3292" t="s">
        <v>79</v>
      </c>
      <c r="D3292" t="s">
        <v>80</v>
      </c>
      <c r="E3292" t="s">
        <v>49</v>
      </c>
      <c r="F3292" t="s">
        <v>21</v>
      </c>
      <c r="G3292" t="s">
        <v>37</v>
      </c>
      <c r="H3292" t="s">
        <v>44</v>
      </c>
      <c r="I3292" t="s">
        <v>152</v>
      </c>
      <c r="J3292">
        <v>35</v>
      </c>
      <c r="K3292">
        <v>45739.95</v>
      </c>
      <c r="L3292">
        <v>1600898.25</v>
      </c>
      <c r="M3292">
        <v>261194.97</v>
      </c>
      <c r="N3292">
        <v>0</v>
      </c>
      <c r="O3292">
        <v>1339703.28</v>
      </c>
      <c r="P3292" t="s">
        <v>73</v>
      </c>
      <c r="Q3292" t="s">
        <v>32</v>
      </c>
    </row>
    <row r="3293" spans="1:17" x14ac:dyDescent="0.25">
      <c r="A3293" t="s">
        <v>3410</v>
      </c>
      <c r="B3293" s="1">
        <v>46000</v>
      </c>
      <c r="C3293" t="s">
        <v>18</v>
      </c>
      <c r="D3293" t="s">
        <v>75</v>
      </c>
      <c r="E3293" t="s">
        <v>41</v>
      </c>
      <c r="F3293" t="s">
        <v>137</v>
      </c>
      <c r="G3293" t="s">
        <v>138</v>
      </c>
      <c r="H3293" t="s">
        <v>94</v>
      </c>
      <c r="I3293" t="s">
        <v>177</v>
      </c>
      <c r="J3293">
        <v>8</v>
      </c>
      <c r="K3293">
        <v>4777.74</v>
      </c>
      <c r="L3293">
        <v>38221.919999999998</v>
      </c>
      <c r="M3293">
        <v>6924.51</v>
      </c>
      <c r="N3293">
        <v>0</v>
      </c>
      <c r="O3293">
        <v>31297.41</v>
      </c>
      <c r="P3293" t="s">
        <v>32</v>
      </c>
      <c r="Q3293" t="s">
        <v>32</v>
      </c>
    </row>
    <row r="3294" spans="1:17" x14ac:dyDescent="0.25">
      <c r="A3294" t="s">
        <v>3411</v>
      </c>
      <c r="B3294" s="1">
        <v>45994</v>
      </c>
      <c r="C3294" t="s">
        <v>79</v>
      </c>
      <c r="D3294" t="s">
        <v>80</v>
      </c>
      <c r="E3294" t="s">
        <v>41</v>
      </c>
      <c r="F3294" t="s">
        <v>71</v>
      </c>
      <c r="G3294" t="s">
        <v>102</v>
      </c>
      <c r="H3294" t="s">
        <v>23</v>
      </c>
      <c r="I3294" t="s">
        <v>99</v>
      </c>
      <c r="J3294">
        <v>30</v>
      </c>
      <c r="K3294">
        <v>14168.55</v>
      </c>
      <c r="L3294">
        <v>425056.5</v>
      </c>
      <c r="M3294">
        <v>0</v>
      </c>
      <c r="N3294">
        <v>0</v>
      </c>
      <c r="O3294">
        <v>425056.5</v>
      </c>
      <c r="P3294" t="s">
        <v>32</v>
      </c>
      <c r="Q3294" t="s">
        <v>32</v>
      </c>
    </row>
    <row r="3295" spans="1:17" x14ac:dyDescent="0.25">
      <c r="A3295" t="s">
        <v>3412</v>
      </c>
      <c r="B3295" s="1">
        <v>45958</v>
      </c>
      <c r="C3295" t="s">
        <v>54</v>
      </c>
      <c r="D3295" t="s">
        <v>133</v>
      </c>
      <c r="E3295" t="s">
        <v>35</v>
      </c>
      <c r="F3295" t="s">
        <v>42</v>
      </c>
      <c r="G3295" t="s">
        <v>43</v>
      </c>
      <c r="H3295" t="s">
        <v>44</v>
      </c>
      <c r="I3295" t="s">
        <v>124</v>
      </c>
      <c r="J3295">
        <v>44</v>
      </c>
      <c r="K3295">
        <v>35301.620000000003</v>
      </c>
      <c r="L3295">
        <v>1553271.28</v>
      </c>
      <c r="M3295">
        <v>282862.44</v>
      </c>
      <c r="N3295">
        <v>0</v>
      </c>
      <c r="O3295">
        <v>1270408.8400000001</v>
      </c>
      <c r="P3295" t="s">
        <v>25</v>
      </c>
      <c r="Q3295" t="s">
        <v>26</v>
      </c>
    </row>
    <row r="3296" spans="1:17" x14ac:dyDescent="0.25">
      <c r="A3296" t="s">
        <v>3413</v>
      </c>
      <c r="B3296" s="1">
        <v>45977</v>
      </c>
      <c r="C3296" t="s">
        <v>18</v>
      </c>
      <c r="D3296" t="s">
        <v>75</v>
      </c>
      <c r="E3296" t="s">
        <v>49</v>
      </c>
      <c r="F3296" t="s">
        <v>112</v>
      </c>
      <c r="G3296" t="s">
        <v>66</v>
      </c>
      <c r="H3296" t="s">
        <v>44</v>
      </c>
      <c r="I3296" t="s">
        <v>281</v>
      </c>
      <c r="J3296">
        <v>41</v>
      </c>
      <c r="K3296">
        <v>24590.89</v>
      </c>
      <c r="L3296">
        <v>1008226.49</v>
      </c>
      <c r="M3296">
        <v>0</v>
      </c>
      <c r="N3296">
        <v>0</v>
      </c>
      <c r="O3296">
        <v>1008226.49</v>
      </c>
      <c r="P3296" t="s">
        <v>25</v>
      </c>
      <c r="Q3296" t="s">
        <v>26</v>
      </c>
    </row>
    <row r="3297" spans="1:17" x14ac:dyDescent="0.25">
      <c r="A3297" t="s">
        <v>3414</v>
      </c>
      <c r="B3297" s="1">
        <v>45954</v>
      </c>
      <c r="C3297" t="s">
        <v>54</v>
      </c>
      <c r="D3297" t="s">
        <v>97</v>
      </c>
      <c r="E3297" t="s">
        <v>20</v>
      </c>
      <c r="F3297" t="s">
        <v>84</v>
      </c>
      <c r="G3297" t="s">
        <v>98</v>
      </c>
      <c r="H3297" t="s">
        <v>94</v>
      </c>
      <c r="I3297" t="s">
        <v>95</v>
      </c>
      <c r="J3297">
        <v>8</v>
      </c>
      <c r="K3297">
        <v>22612.01</v>
      </c>
      <c r="L3297">
        <v>180896.08</v>
      </c>
      <c r="M3297">
        <v>4471.16</v>
      </c>
      <c r="N3297">
        <v>0</v>
      </c>
      <c r="O3297">
        <v>176424.92</v>
      </c>
      <c r="P3297" t="s">
        <v>73</v>
      </c>
      <c r="Q3297" t="s">
        <v>32</v>
      </c>
    </row>
    <row r="3298" spans="1:17" x14ac:dyDescent="0.25">
      <c r="A3298" t="s">
        <v>3415</v>
      </c>
      <c r="B3298" s="1">
        <v>45977</v>
      </c>
      <c r="C3298" t="s">
        <v>54</v>
      </c>
      <c r="D3298" t="s">
        <v>70</v>
      </c>
      <c r="E3298" t="s">
        <v>20</v>
      </c>
      <c r="F3298" t="s">
        <v>137</v>
      </c>
      <c r="G3298" t="s">
        <v>56</v>
      </c>
      <c r="H3298" t="s">
        <v>23</v>
      </c>
      <c r="I3298" t="s">
        <v>131</v>
      </c>
      <c r="J3298">
        <v>34</v>
      </c>
      <c r="K3298">
        <v>31782.33</v>
      </c>
      <c r="L3298">
        <v>1080599.22</v>
      </c>
      <c r="M3298">
        <v>42394.559999999998</v>
      </c>
      <c r="N3298">
        <v>0</v>
      </c>
      <c r="O3298">
        <v>1038204.66</v>
      </c>
      <c r="P3298" t="s">
        <v>73</v>
      </c>
      <c r="Q3298" t="s">
        <v>32</v>
      </c>
    </row>
    <row r="3299" spans="1:17" x14ac:dyDescent="0.25">
      <c r="A3299" t="s">
        <v>3416</v>
      </c>
      <c r="B3299" s="1">
        <v>45963</v>
      </c>
      <c r="C3299" t="s">
        <v>60</v>
      </c>
      <c r="D3299" t="s">
        <v>61</v>
      </c>
      <c r="E3299" t="s">
        <v>49</v>
      </c>
      <c r="F3299" t="s">
        <v>71</v>
      </c>
      <c r="G3299" t="s">
        <v>102</v>
      </c>
      <c r="H3299" t="s">
        <v>38</v>
      </c>
      <c r="I3299" t="s">
        <v>120</v>
      </c>
      <c r="J3299">
        <v>39</v>
      </c>
      <c r="K3299">
        <v>18456.37</v>
      </c>
      <c r="L3299">
        <v>719798.43</v>
      </c>
      <c r="M3299">
        <v>87263.16</v>
      </c>
      <c r="N3299">
        <v>0</v>
      </c>
      <c r="O3299">
        <v>632535.27</v>
      </c>
      <c r="P3299" t="s">
        <v>25</v>
      </c>
      <c r="Q3299" t="s">
        <v>26</v>
      </c>
    </row>
    <row r="3300" spans="1:17" x14ac:dyDescent="0.25">
      <c r="A3300" t="s">
        <v>3417</v>
      </c>
      <c r="B3300" s="1">
        <v>45998</v>
      </c>
      <c r="C3300" t="s">
        <v>54</v>
      </c>
      <c r="D3300" t="s">
        <v>97</v>
      </c>
      <c r="E3300" t="s">
        <v>35</v>
      </c>
      <c r="F3300" t="s">
        <v>112</v>
      </c>
      <c r="G3300" t="s">
        <v>140</v>
      </c>
      <c r="H3300" t="s">
        <v>44</v>
      </c>
      <c r="I3300" t="s">
        <v>135</v>
      </c>
      <c r="J3300">
        <v>21</v>
      </c>
      <c r="K3300">
        <v>49961.01</v>
      </c>
      <c r="L3300">
        <v>1049181.21</v>
      </c>
      <c r="M3300">
        <v>0</v>
      </c>
      <c r="N3300">
        <v>0</v>
      </c>
      <c r="O3300">
        <v>1049181.21</v>
      </c>
      <c r="P3300" t="s">
        <v>32</v>
      </c>
      <c r="Q3300" t="s">
        <v>32</v>
      </c>
    </row>
    <row r="3301" spans="1:17" x14ac:dyDescent="0.25">
      <c r="A3301" t="s">
        <v>3418</v>
      </c>
      <c r="B3301" s="1">
        <v>46040</v>
      </c>
      <c r="C3301" t="s">
        <v>79</v>
      </c>
      <c r="D3301" t="s">
        <v>101</v>
      </c>
      <c r="E3301" t="s">
        <v>35</v>
      </c>
      <c r="F3301" t="s">
        <v>42</v>
      </c>
      <c r="G3301" t="s">
        <v>22</v>
      </c>
      <c r="H3301" t="s">
        <v>44</v>
      </c>
      <c r="I3301" t="s">
        <v>124</v>
      </c>
      <c r="J3301">
        <v>30</v>
      </c>
      <c r="K3301">
        <v>46908.29</v>
      </c>
      <c r="L3301">
        <v>1407248.7</v>
      </c>
      <c r="M3301">
        <v>0</v>
      </c>
      <c r="N3301">
        <v>0</v>
      </c>
      <c r="O3301">
        <v>1407248.7</v>
      </c>
      <c r="P3301" t="s">
        <v>32</v>
      </c>
      <c r="Q3301" t="s">
        <v>32</v>
      </c>
    </row>
    <row r="3302" spans="1:17" x14ac:dyDescent="0.25">
      <c r="A3302" t="s">
        <v>3419</v>
      </c>
      <c r="B3302" s="1">
        <v>46040</v>
      </c>
      <c r="C3302" t="s">
        <v>79</v>
      </c>
      <c r="D3302" t="s">
        <v>101</v>
      </c>
      <c r="E3302" t="s">
        <v>20</v>
      </c>
      <c r="F3302" t="s">
        <v>105</v>
      </c>
      <c r="G3302" t="s">
        <v>102</v>
      </c>
      <c r="H3302" t="s">
        <v>38</v>
      </c>
      <c r="I3302" t="s">
        <v>108</v>
      </c>
      <c r="J3302">
        <v>23</v>
      </c>
      <c r="K3302">
        <v>5040.34</v>
      </c>
      <c r="L3302">
        <v>115927.82</v>
      </c>
      <c r="M3302">
        <v>0</v>
      </c>
      <c r="N3302">
        <v>0</v>
      </c>
      <c r="O3302">
        <v>115927.82</v>
      </c>
      <c r="P3302" t="s">
        <v>25</v>
      </c>
      <c r="Q3302" t="s">
        <v>26</v>
      </c>
    </row>
    <row r="3303" spans="1:17" x14ac:dyDescent="0.25">
      <c r="A3303" t="s">
        <v>3420</v>
      </c>
      <c r="B3303" s="1">
        <v>45993</v>
      </c>
      <c r="C3303" t="s">
        <v>54</v>
      </c>
      <c r="D3303" t="s">
        <v>70</v>
      </c>
      <c r="E3303" t="s">
        <v>41</v>
      </c>
      <c r="F3303" t="s">
        <v>62</v>
      </c>
      <c r="G3303" t="s">
        <v>102</v>
      </c>
      <c r="H3303" t="s">
        <v>94</v>
      </c>
      <c r="I3303" t="s">
        <v>177</v>
      </c>
      <c r="J3303">
        <v>48</v>
      </c>
      <c r="K3303">
        <v>19421.509999999998</v>
      </c>
      <c r="L3303">
        <v>932232.48</v>
      </c>
      <c r="M3303">
        <v>102970.43</v>
      </c>
      <c r="N3303">
        <v>0</v>
      </c>
      <c r="O3303">
        <v>829262.05</v>
      </c>
      <c r="P3303" t="s">
        <v>25</v>
      </c>
      <c r="Q3303" t="s">
        <v>26</v>
      </c>
    </row>
    <row r="3304" spans="1:17" x14ac:dyDescent="0.25">
      <c r="A3304" t="s">
        <v>3421</v>
      </c>
      <c r="B3304" s="1">
        <v>45983</v>
      </c>
      <c r="C3304" t="s">
        <v>79</v>
      </c>
      <c r="D3304" t="s">
        <v>91</v>
      </c>
      <c r="E3304" t="s">
        <v>49</v>
      </c>
      <c r="F3304" t="s">
        <v>42</v>
      </c>
      <c r="G3304" t="s">
        <v>56</v>
      </c>
      <c r="H3304" t="s">
        <v>57</v>
      </c>
      <c r="I3304" t="s">
        <v>58</v>
      </c>
      <c r="J3304">
        <v>47</v>
      </c>
      <c r="K3304">
        <v>12688.27</v>
      </c>
      <c r="L3304">
        <v>596348.68999999994</v>
      </c>
      <c r="M3304">
        <v>0</v>
      </c>
      <c r="N3304">
        <v>0</v>
      </c>
      <c r="O3304">
        <v>596348.68999999994</v>
      </c>
      <c r="P3304" t="s">
        <v>25</v>
      </c>
      <c r="Q3304" t="s">
        <v>26</v>
      </c>
    </row>
    <row r="3305" spans="1:17" x14ac:dyDescent="0.25">
      <c r="A3305" t="s">
        <v>3422</v>
      </c>
      <c r="B3305" s="1">
        <v>46035</v>
      </c>
      <c r="C3305" t="s">
        <v>54</v>
      </c>
      <c r="D3305" t="s">
        <v>55</v>
      </c>
      <c r="E3305" t="s">
        <v>41</v>
      </c>
      <c r="F3305" t="s">
        <v>36</v>
      </c>
      <c r="G3305" t="s">
        <v>29</v>
      </c>
      <c r="H3305" t="s">
        <v>44</v>
      </c>
      <c r="I3305" t="s">
        <v>152</v>
      </c>
      <c r="J3305">
        <v>35</v>
      </c>
      <c r="K3305">
        <v>3611.47</v>
      </c>
      <c r="L3305">
        <v>126401.45</v>
      </c>
      <c r="M3305">
        <v>16730.5</v>
      </c>
      <c r="N3305">
        <v>0</v>
      </c>
      <c r="O3305">
        <v>109670.95</v>
      </c>
      <c r="P3305" t="s">
        <v>32</v>
      </c>
      <c r="Q3305" t="s">
        <v>32</v>
      </c>
    </row>
    <row r="3306" spans="1:17" x14ac:dyDescent="0.25">
      <c r="A3306" t="s">
        <v>3423</v>
      </c>
      <c r="B3306" s="1">
        <v>45999</v>
      </c>
      <c r="C3306" t="s">
        <v>18</v>
      </c>
      <c r="D3306" t="s">
        <v>19</v>
      </c>
      <c r="E3306" t="s">
        <v>35</v>
      </c>
      <c r="F3306" t="s">
        <v>105</v>
      </c>
      <c r="G3306" t="s">
        <v>66</v>
      </c>
      <c r="H3306" t="s">
        <v>57</v>
      </c>
      <c r="I3306" t="s">
        <v>72</v>
      </c>
      <c r="J3306">
        <v>1</v>
      </c>
      <c r="K3306">
        <v>24484.799999999999</v>
      </c>
      <c r="L3306">
        <v>24484.799999999999</v>
      </c>
      <c r="M3306">
        <v>0</v>
      </c>
      <c r="N3306">
        <v>707.9</v>
      </c>
      <c r="O3306">
        <v>23776.9</v>
      </c>
      <c r="P3306" t="s">
        <v>25</v>
      </c>
      <c r="Q3306" t="s">
        <v>26</v>
      </c>
    </row>
    <row r="3307" spans="1:17" x14ac:dyDescent="0.25">
      <c r="A3307" t="s">
        <v>3424</v>
      </c>
      <c r="B3307" s="1">
        <v>45995</v>
      </c>
      <c r="C3307" t="s">
        <v>18</v>
      </c>
      <c r="D3307" t="s">
        <v>28</v>
      </c>
      <c r="E3307" t="s">
        <v>35</v>
      </c>
      <c r="F3307" t="s">
        <v>105</v>
      </c>
      <c r="G3307" t="s">
        <v>98</v>
      </c>
      <c r="H3307" t="s">
        <v>57</v>
      </c>
      <c r="I3307" t="s">
        <v>148</v>
      </c>
      <c r="J3307">
        <v>21</v>
      </c>
      <c r="K3307">
        <v>36112.620000000003</v>
      </c>
      <c r="L3307">
        <v>758365.02</v>
      </c>
      <c r="M3307">
        <v>145665.99</v>
      </c>
      <c r="N3307">
        <v>0</v>
      </c>
      <c r="O3307">
        <v>612699.03</v>
      </c>
      <c r="P3307" t="s">
        <v>25</v>
      </c>
      <c r="Q3307" t="s">
        <v>32</v>
      </c>
    </row>
    <row r="3308" spans="1:17" x14ac:dyDescent="0.25">
      <c r="A3308" t="s">
        <v>3425</v>
      </c>
      <c r="B3308" s="1">
        <v>46008</v>
      </c>
      <c r="C3308" t="s">
        <v>47</v>
      </c>
      <c r="D3308" t="s">
        <v>114</v>
      </c>
      <c r="E3308" t="s">
        <v>49</v>
      </c>
      <c r="F3308" t="s">
        <v>50</v>
      </c>
      <c r="G3308" t="s">
        <v>138</v>
      </c>
      <c r="H3308" t="s">
        <v>44</v>
      </c>
      <c r="I3308" t="s">
        <v>124</v>
      </c>
      <c r="J3308">
        <v>49</v>
      </c>
      <c r="K3308">
        <v>29583.17</v>
      </c>
      <c r="L3308">
        <v>1449575.33</v>
      </c>
      <c r="M3308">
        <v>273765.84000000003</v>
      </c>
      <c r="N3308">
        <v>0</v>
      </c>
      <c r="O3308">
        <v>1175809.49</v>
      </c>
      <c r="P3308" t="s">
        <v>32</v>
      </c>
      <c r="Q3308" t="s">
        <v>32</v>
      </c>
    </row>
    <row r="3309" spans="1:17" x14ac:dyDescent="0.25">
      <c r="A3309" t="s">
        <v>3426</v>
      </c>
      <c r="B3309" s="1">
        <v>46036</v>
      </c>
      <c r="C3309" t="s">
        <v>60</v>
      </c>
      <c r="D3309" t="s">
        <v>123</v>
      </c>
      <c r="E3309" t="s">
        <v>20</v>
      </c>
      <c r="F3309" t="s">
        <v>71</v>
      </c>
      <c r="G3309" t="s">
        <v>85</v>
      </c>
      <c r="H3309" t="s">
        <v>44</v>
      </c>
      <c r="I3309" t="s">
        <v>124</v>
      </c>
      <c r="J3309">
        <v>33</v>
      </c>
      <c r="K3309">
        <v>32628.3</v>
      </c>
      <c r="L3309">
        <v>1076733.8999999999</v>
      </c>
      <c r="M3309">
        <v>0</v>
      </c>
      <c r="N3309">
        <v>0</v>
      </c>
      <c r="O3309">
        <v>1076733.8999999999</v>
      </c>
      <c r="P3309" t="s">
        <v>31</v>
      </c>
      <c r="Q3309" t="s">
        <v>32</v>
      </c>
    </row>
    <row r="3310" spans="1:17" x14ac:dyDescent="0.25">
      <c r="A3310" t="s">
        <v>3427</v>
      </c>
      <c r="B3310" s="1">
        <v>46043</v>
      </c>
      <c r="C3310" t="s">
        <v>79</v>
      </c>
      <c r="D3310" t="s">
        <v>80</v>
      </c>
      <c r="E3310" t="s">
        <v>41</v>
      </c>
      <c r="F3310" t="s">
        <v>71</v>
      </c>
      <c r="G3310" t="s">
        <v>29</v>
      </c>
      <c r="H3310" t="s">
        <v>67</v>
      </c>
      <c r="I3310" t="s">
        <v>170</v>
      </c>
      <c r="J3310">
        <v>28</v>
      </c>
      <c r="K3310">
        <v>37702.65</v>
      </c>
      <c r="L3310">
        <v>1055674.2</v>
      </c>
      <c r="M3310">
        <v>146411.67000000001</v>
      </c>
      <c r="N3310">
        <v>0</v>
      </c>
      <c r="O3310">
        <v>909262.53</v>
      </c>
      <c r="P3310" t="s">
        <v>25</v>
      </c>
      <c r="Q3310" t="s">
        <v>26</v>
      </c>
    </row>
    <row r="3311" spans="1:17" x14ac:dyDescent="0.25">
      <c r="A3311" t="s">
        <v>3428</v>
      </c>
      <c r="B3311" s="1">
        <v>45964</v>
      </c>
      <c r="C3311" t="s">
        <v>47</v>
      </c>
      <c r="D3311" t="s">
        <v>88</v>
      </c>
      <c r="E3311" t="s">
        <v>20</v>
      </c>
      <c r="F3311" t="s">
        <v>21</v>
      </c>
      <c r="G3311" t="s">
        <v>98</v>
      </c>
      <c r="H3311" t="s">
        <v>67</v>
      </c>
      <c r="I3311" t="s">
        <v>68</v>
      </c>
      <c r="J3311">
        <v>4</v>
      </c>
      <c r="K3311">
        <v>43910.27</v>
      </c>
      <c r="L3311">
        <v>175641.08</v>
      </c>
      <c r="M3311">
        <v>22890.29</v>
      </c>
      <c r="N3311">
        <v>0</v>
      </c>
      <c r="O3311">
        <v>152750.79</v>
      </c>
      <c r="P3311" t="s">
        <v>32</v>
      </c>
      <c r="Q3311" t="s">
        <v>32</v>
      </c>
    </row>
    <row r="3312" spans="1:17" x14ac:dyDescent="0.25">
      <c r="A3312" t="s">
        <v>3429</v>
      </c>
      <c r="B3312" s="1">
        <v>45984</v>
      </c>
      <c r="C3312" t="s">
        <v>60</v>
      </c>
      <c r="D3312" t="s">
        <v>61</v>
      </c>
      <c r="E3312" t="s">
        <v>41</v>
      </c>
      <c r="F3312" t="s">
        <v>50</v>
      </c>
      <c r="G3312" t="s">
        <v>138</v>
      </c>
      <c r="H3312" t="s">
        <v>44</v>
      </c>
      <c r="I3312" t="s">
        <v>281</v>
      </c>
      <c r="J3312">
        <v>4</v>
      </c>
      <c r="K3312">
        <v>13247.12</v>
      </c>
      <c r="L3312">
        <v>52988.480000000003</v>
      </c>
      <c r="M3312">
        <v>0</v>
      </c>
      <c r="N3312">
        <v>0</v>
      </c>
      <c r="O3312">
        <v>52988.480000000003</v>
      </c>
      <c r="P3312" t="s">
        <v>31</v>
      </c>
      <c r="Q3312" t="s">
        <v>32</v>
      </c>
    </row>
    <row r="3313" spans="1:17" x14ac:dyDescent="0.25">
      <c r="A3313" t="s">
        <v>3430</v>
      </c>
      <c r="B3313" s="1">
        <v>46041</v>
      </c>
      <c r="C3313" t="s">
        <v>60</v>
      </c>
      <c r="D3313" t="s">
        <v>151</v>
      </c>
      <c r="E3313" t="s">
        <v>35</v>
      </c>
      <c r="F3313" t="s">
        <v>36</v>
      </c>
      <c r="G3313" t="s">
        <v>51</v>
      </c>
      <c r="H3313" t="s">
        <v>38</v>
      </c>
      <c r="I3313" t="s">
        <v>39</v>
      </c>
      <c r="J3313">
        <v>36</v>
      </c>
      <c r="K3313">
        <v>26734.14</v>
      </c>
      <c r="L3313">
        <v>962429.04</v>
      </c>
      <c r="M3313">
        <v>0</v>
      </c>
      <c r="N3313">
        <v>0</v>
      </c>
      <c r="O3313">
        <v>962429.04</v>
      </c>
      <c r="P3313" t="s">
        <v>31</v>
      </c>
      <c r="Q3313" t="s">
        <v>32</v>
      </c>
    </row>
    <row r="3314" spans="1:17" x14ac:dyDescent="0.25">
      <c r="A3314" t="s">
        <v>3431</v>
      </c>
      <c r="B3314" s="1">
        <v>46017</v>
      </c>
      <c r="C3314" t="s">
        <v>47</v>
      </c>
      <c r="D3314" t="s">
        <v>48</v>
      </c>
      <c r="E3314" t="s">
        <v>35</v>
      </c>
      <c r="F3314" t="s">
        <v>71</v>
      </c>
      <c r="G3314" t="s">
        <v>89</v>
      </c>
      <c r="H3314" t="s">
        <v>57</v>
      </c>
      <c r="I3314" t="s">
        <v>58</v>
      </c>
      <c r="J3314">
        <v>27</v>
      </c>
      <c r="K3314">
        <v>20253.96</v>
      </c>
      <c r="L3314">
        <v>546856.92000000004</v>
      </c>
      <c r="M3314">
        <v>0</v>
      </c>
      <c r="N3314">
        <v>0</v>
      </c>
      <c r="O3314">
        <v>546856.92000000004</v>
      </c>
      <c r="P3314" t="s">
        <v>73</v>
      </c>
      <c r="Q3314" t="s">
        <v>32</v>
      </c>
    </row>
    <row r="3315" spans="1:17" x14ac:dyDescent="0.25">
      <c r="A3315" t="s">
        <v>3432</v>
      </c>
      <c r="B3315" s="1">
        <v>45994</v>
      </c>
      <c r="C3315" t="s">
        <v>79</v>
      </c>
      <c r="D3315" t="s">
        <v>107</v>
      </c>
      <c r="E3315" t="s">
        <v>41</v>
      </c>
      <c r="F3315" t="s">
        <v>21</v>
      </c>
      <c r="G3315" t="s">
        <v>51</v>
      </c>
      <c r="H3315" t="s">
        <v>38</v>
      </c>
      <c r="I3315" t="s">
        <v>108</v>
      </c>
      <c r="J3315">
        <v>27</v>
      </c>
      <c r="K3315">
        <v>10246.379999999999</v>
      </c>
      <c r="L3315">
        <v>276652.26</v>
      </c>
      <c r="M3315">
        <v>19712.849999999999</v>
      </c>
      <c r="N3315">
        <v>0</v>
      </c>
      <c r="O3315">
        <v>256939.41</v>
      </c>
      <c r="P3315" t="s">
        <v>25</v>
      </c>
      <c r="Q3315" t="s">
        <v>26</v>
      </c>
    </row>
    <row r="3316" spans="1:17" x14ac:dyDescent="0.25">
      <c r="A3316" t="s">
        <v>3433</v>
      </c>
      <c r="B3316" s="1">
        <v>45983</v>
      </c>
      <c r="C3316" t="s">
        <v>18</v>
      </c>
      <c r="D3316" t="s">
        <v>75</v>
      </c>
      <c r="E3316" t="s">
        <v>35</v>
      </c>
      <c r="F3316" t="s">
        <v>50</v>
      </c>
      <c r="G3316" t="s">
        <v>51</v>
      </c>
      <c r="H3316" t="s">
        <v>38</v>
      </c>
      <c r="I3316" t="s">
        <v>82</v>
      </c>
      <c r="J3316">
        <v>7</v>
      </c>
      <c r="K3316">
        <v>3658.96</v>
      </c>
      <c r="L3316">
        <v>25612.720000000001</v>
      </c>
      <c r="M3316">
        <v>0</v>
      </c>
      <c r="N3316">
        <v>0</v>
      </c>
      <c r="O3316">
        <v>25612.720000000001</v>
      </c>
      <c r="P3316" t="s">
        <v>25</v>
      </c>
      <c r="Q3316" t="s">
        <v>26</v>
      </c>
    </row>
    <row r="3317" spans="1:17" x14ac:dyDescent="0.25">
      <c r="A3317" t="s">
        <v>3434</v>
      </c>
      <c r="B3317" s="1">
        <v>46044</v>
      </c>
      <c r="C3317" t="s">
        <v>18</v>
      </c>
      <c r="D3317" t="s">
        <v>19</v>
      </c>
      <c r="E3317" t="s">
        <v>20</v>
      </c>
      <c r="F3317" t="s">
        <v>36</v>
      </c>
      <c r="G3317" t="s">
        <v>138</v>
      </c>
      <c r="H3317" t="s">
        <v>23</v>
      </c>
      <c r="I3317" t="s">
        <v>110</v>
      </c>
      <c r="J3317">
        <v>46</v>
      </c>
      <c r="K3317">
        <v>23094</v>
      </c>
      <c r="L3317">
        <v>1062324</v>
      </c>
      <c r="M3317">
        <v>184211.11</v>
      </c>
      <c r="N3317">
        <v>0</v>
      </c>
      <c r="O3317">
        <v>878112.89</v>
      </c>
      <c r="P3317" t="s">
        <v>31</v>
      </c>
      <c r="Q3317" t="s">
        <v>32</v>
      </c>
    </row>
    <row r="3318" spans="1:17" x14ac:dyDescent="0.25">
      <c r="A3318" t="s">
        <v>3435</v>
      </c>
      <c r="B3318" s="1">
        <v>46014</v>
      </c>
      <c r="C3318" t="s">
        <v>54</v>
      </c>
      <c r="D3318" t="s">
        <v>55</v>
      </c>
      <c r="E3318" t="s">
        <v>35</v>
      </c>
      <c r="F3318" t="s">
        <v>42</v>
      </c>
      <c r="G3318" t="s">
        <v>56</v>
      </c>
      <c r="H3318" t="s">
        <v>23</v>
      </c>
      <c r="I3318" t="s">
        <v>131</v>
      </c>
      <c r="J3318">
        <v>16</v>
      </c>
      <c r="K3318">
        <v>21071.71</v>
      </c>
      <c r="L3318">
        <v>337147.36</v>
      </c>
      <c r="M3318">
        <v>0</v>
      </c>
      <c r="N3318">
        <v>22841.67</v>
      </c>
      <c r="O3318">
        <v>314305.69</v>
      </c>
      <c r="P3318" t="s">
        <v>31</v>
      </c>
      <c r="Q3318" t="s">
        <v>32</v>
      </c>
    </row>
    <row r="3319" spans="1:17" x14ac:dyDescent="0.25">
      <c r="A3319" t="s">
        <v>3436</v>
      </c>
      <c r="B3319" s="1">
        <v>46039</v>
      </c>
      <c r="C3319" t="s">
        <v>60</v>
      </c>
      <c r="D3319" t="s">
        <v>123</v>
      </c>
      <c r="E3319" t="s">
        <v>20</v>
      </c>
      <c r="F3319" t="s">
        <v>84</v>
      </c>
      <c r="G3319" t="s">
        <v>22</v>
      </c>
      <c r="H3319" t="s">
        <v>94</v>
      </c>
      <c r="I3319" t="s">
        <v>177</v>
      </c>
      <c r="J3319">
        <v>15</v>
      </c>
      <c r="K3319">
        <v>31885.53</v>
      </c>
      <c r="L3319">
        <v>478282.95</v>
      </c>
      <c r="M3319">
        <v>0</v>
      </c>
      <c r="N3319">
        <v>0</v>
      </c>
      <c r="O3319">
        <v>478282.95</v>
      </c>
      <c r="P3319" t="s">
        <v>32</v>
      </c>
      <c r="Q3319" t="s">
        <v>32</v>
      </c>
    </row>
    <row r="3320" spans="1:17" x14ac:dyDescent="0.25">
      <c r="A3320" t="s">
        <v>3437</v>
      </c>
      <c r="B3320" s="1">
        <v>45989</v>
      </c>
      <c r="C3320" t="s">
        <v>18</v>
      </c>
      <c r="D3320" t="s">
        <v>19</v>
      </c>
      <c r="E3320" t="s">
        <v>41</v>
      </c>
      <c r="F3320" t="s">
        <v>50</v>
      </c>
      <c r="G3320" t="s">
        <v>81</v>
      </c>
      <c r="H3320" t="s">
        <v>38</v>
      </c>
      <c r="I3320" t="s">
        <v>175</v>
      </c>
      <c r="J3320">
        <v>19</v>
      </c>
      <c r="K3320">
        <v>13686.32</v>
      </c>
      <c r="L3320">
        <v>260040.08</v>
      </c>
      <c r="M3320">
        <v>6829.45</v>
      </c>
      <c r="N3320">
        <v>0</v>
      </c>
      <c r="O3320">
        <v>253210.63</v>
      </c>
      <c r="P3320" t="s">
        <v>73</v>
      </c>
      <c r="Q3320" t="s">
        <v>32</v>
      </c>
    </row>
    <row r="3321" spans="1:17" x14ac:dyDescent="0.25">
      <c r="A3321" t="s">
        <v>3438</v>
      </c>
      <c r="B3321" s="1">
        <v>45987</v>
      </c>
      <c r="C3321" t="s">
        <v>18</v>
      </c>
      <c r="D3321" t="s">
        <v>75</v>
      </c>
      <c r="E3321" t="s">
        <v>49</v>
      </c>
      <c r="F3321" t="s">
        <v>84</v>
      </c>
      <c r="G3321" t="s">
        <v>138</v>
      </c>
      <c r="H3321" t="s">
        <v>44</v>
      </c>
      <c r="I3321" t="s">
        <v>45</v>
      </c>
      <c r="J3321">
        <v>28</v>
      </c>
      <c r="K3321">
        <v>23638.639999999999</v>
      </c>
      <c r="L3321">
        <v>661881.92000000004</v>
      </c>
      <c r="M3321">
        <v>25146.98</v>
      </c>
      <c r="N3321">
        <v>139693</v>
      </c>
      <c r="O3321">
        <v>497041.94</v>
      </c>
      <c r="P3321" t="s">
        <v>73</v>
      </c>
      <c r="Q3321" t="s">
        <v>26</v>
      </c>
    </row>
    <row r="3322" spans="1:17" x14ac:dyDescent="0.25">
      <c r="A3322" t="s">
        <v>3439</v>
      </c>
      <c r="B3322" s="1">
        <v>45980</v>
      </c>
      <c r="C3322" t="s">
        <v>47</v>
      </c>
      <c r="D3322" t="s">
        <v>127</v>
      </c>
      <c r="E3322" t="s">
        <v>35</v>
      </c>
      <c r="F3322" t="s">
        <v>50</v>
      </c>
      <c r="G3322" t="s">
        <v>89</v>
      </c>
      <c r="H3322" t="s">
        <v>57</v>
      </c>
      <c r="I3322" t="s">
        <v>58</v>
      </c>
      <c r="J3322">
        <v>46</v>
      </c>
      <c r="K3322">
        <v>26981.13</v>
      </c>
      <c r="L3322">
        <v>1241131.98</v>
      </c>
      <c r="M3322">
        <v>80065.7</v>
      </c>
      <c r="N3322">
        <v>0</v>
      </c>
      <c r="O3322">
        <v>1161066.28</v>
      </c>
      <c r="P3322" t="s">
        <v>31</v>
      </c>
      <c r="Q3322" t="s">
        <v>32</v>
      </c>
    </row>
    <row r="3323" spans="1:17" x14ac:dyDescent="0.25">
      <c r="A3323" t="s">
        <v>3440</v>
      </c>
      <c r="B3323" s="1">
        <v>45982</v>
      </c>
      <c r="C3323" t="s">
        <v>79</v>
      </c>
      <c r="D3323" t="s">
        <v>101</v>
      </c>
      <c r="E3323" t="s">
        <v>49</v>
      </c>
      <c r="F3323" t="s">
        <v>50</v>
      </c>
      <c r="G3323" t="s">
        <v>63</v>
      </c>
      <c r="H3323" t="s">
        <v>23</v>
      </c>
      <c r="I3323" t="s">
        <v>99</v>
      </c>
      <c r="J3323">
        <v>5</v>
      </c>
      <c r="K3323">
        <v>735.98</v>
      </c>
      <c r="L3323">
        <v>3679.9</v>
      </c>
      <c r="M3323">
        <v>0</v>
      </c>
      <c r="N3323">
        <v>477.37</v>
      </c>
      <c r="O3323">
        <v>3202.53</v>
      </c>
      <c r="P3323" t="s">
        <v>73</v>
      </c>
      <c r="Q3323" t="s">
        <v>32</v>
      </c>
    </row>
    <row r="3324" spans="1:17" x14ac:dyDescent="0.25">
      <c r="A3324" t="s">
        <v>3441</v>
      </c>
      <c r="B3324" s="1">
        <v>46027</v>
      </c>
      <c r="C3324" t="s">
        <v>54</v>
      </c>
      <c r="D3324" t="s">
        <v>55</v>
      </c>
      <c r="E3324" t="s">
        <v>35</v>
      </c>
      <c r="F3324" t="s">
        <v>84</v>
      </c>
      <c r="G3324" t="s">
        <v>85</v>
      </c>
      <c r="H3324" t="s">
        <v>23</v>
      </c>
      <c r="I3324" t="s">
        <v>131</v>
      </c>
      <c r="J3324">
        <v>6</v>
      </c>
      <c r="K3324">
        <v>31949.599999999999</v>
      </c>
      <c r="L3324">
        <v>191697.6</v>
      </c>
      <c r="M3324">
        <v>17133.509999999998</v>
      </c>
      <c r="N3324">
        <v>0</v>
      </c>
      <c r="O3324">
        <v>174564.09</v>
      </c>
      <c r="P3324" t="s">
        <v>73</v>
      </c>
      <c r="Q3324" t="s">
        <v>32</v>
      </c>
    </row>
    <row r="3325" spans="1:17" x14ac:dyDescent="0.25">
      <c r="A3325" t="s">
        <v>3442</v>
      </c>
      <c r="B3325" s="1">
        <v>46011</v>
      </c>
      <c r="C3325" t="s">
        <v>60</v>
      </c>
      <c r="D3325" t="s">
        <v>65</v>
      </c>
      <c r="E3325" t="s">
        <v>49</v>
      </c>
      <c r="F3325" t="s">
        <v>42</v>
      </c>
      <c r="G3325" t="s">
        <v>89</v>
      </c>
      <c r="H3325" t="s">
        <v>44</v>
      </c>
      <c r="I3325" t="s">
        <v>152</v>
      </c>
      <c r="J3325">
        <v>28</v>
      </c>
      <c r="K3325">
        <v>36283.72</v>
      </c>
      <c r="L3325">
        <v>1015944.16</v>
      </c>
      <c r="M3325">
        <v>0</v>
      </c>
      <c r="N3325">
        <v>0</v>
      </c>
      <c r="O3325">
        <v>1015944.16</v>
      </c>
      <c r="P3325" t="s">
        <v>25</v>
      </c>
      <c r="Q3325" t="s">
        <v>26</v>
      </c>
    </row>
    <row r="3326" spans="1:17" x14ac:dyDescent="0.25">
      <c r="A3326" t="s">
        <v>3443</v>
      </c>
      <c r="B3326" s="1">
        <v>46006</v>
      </c>
      <c r="C3326" t="s">
        <v>60</v>
      </c>
      <c r="D3326" t="s">
        <v>151</v>
      </c>
      <c r="E3326" t="s">
        <v>41</v>
      </c>
      <c r="F3326" t="s">
        <v>137</v>
      </c>
      <c r="G3326" t="s">
        <v>63</v>
      </c>
      <c r="H3326" t="s">
        <v>67</v>
      </c>
      <c r="I3326" t="s">
        <v>170</v>
      </c>
      <c r="J3326">
        <v>8</v>
      </c>
      <c r="K3326">
        <v>10113.52</v>
      </c>
      <c r="L3326">
        <v>80908.160000000003</v>
      </c>
      <c r="M3326">
        <v>0</v>
      </c>
      <c r="N3326">
        <v>15370.81</v>
      </c>
      <c r="O3326">
        <v>65537.350000000006</v>
      </c>
      <c r="P3326" t="s">
        <v>31</v>
      </c>
      <c r="Q3326" t="s">
        <v>32</v>
      </c>
    </row>
    <row r="3327" spans="1:17" x14ac:dyDescent="0.25">
      <c r="A3327" t="s">
        <v>3444</v>
      </c>
      <c r="B3327" s="1">
        <v>46000</v>
      </c>
      <c r="C3327" t="s">
        <v>18</v>
      </c>
      <c r="D3327" t="s">
        <v>19</v>
      </c>
      <c r="E3327" t="s">
        <v>49</v>
      </c>
      <c r="F3327" t="s">
        <v>112</v>
      </c>
      <c r="G3327" t="s">
        <v>56</v>
      </c>
      <c r="H3327" t="s">
        <v>44</v>
      </c>
      <c r="I3327" t="s">
        <v>135</v>
      </c>
      <c r="J3327">
        <v>43</v>
      </c>
      <c r="K3327">
        <v>27158.62</v>
      </c>
      <c r="L3327">
        <v>1167820.6599999999</v>
      </c>
      <c r="M3327">
        <v>0</v>
      </c>
      <c r="N3327">
        <v>0</v>
      </c>
      <c r="O3327">
        <v>1167820.6599999999</v>
      </c>
      <c r="P3327" t="s">
        <v>32</v>
      </c>
      <c r="Q3327" t="s">
        <v>32</v>
      </c>
    </row>
    <row r="3328" spans="1:17" x14ac:dyDescent="0.25">
      <c r="A3328" t="s">
        <v>3445</v>
      </c>
      <c r="B3328" s="1">
        <v>45988</v>
      </c>
      <c r="C3328" t="s">
        <v>18</v>
      </c>
      <c r="D3328" t="s">
        <v>28</v>
      </c>
      <c r="E3328" t="s">
        <v>41</v>
      </c>
      <c r="F3328" t="s">
        <v>50</v>
      </c>
      <c r="G3328" t="s">
        <v>43</v>
      </c>
      <c r="H3328" t="s">
        <v>94</v>
      </c>
      <c r="I3328" t="s">
        <v>115</v>
      </c>
      <c r="J3328">
        <v>16</v>
      </c>
      <c r="K3328">
        <v>7433.43</v>
      </c>
      <c r="L3328">
        <v>118934.88</v>
      </c>
      <c r="M3328">
        <v>0</v>
      </c>
      <c r="N3328">
        <v>0</v>
      </c>
      <c r="O3328">
        <v>118934.88</v>
      </c>
      <c r="P3328" t="s">
        <v>25</v>
      </c>
      <c r="Q3328" t="s">
        <v>26</v>
      </c>
    </row>
    <row r="3329" spans="1:17" x14ac:dyDescent="0.25">
      <c r="A3329" t="s">
        <v>3446</v>
      </c>
      <c r="B3329" s="1">
        <v>46045</v>
      </c>
      <c r="C3329" t="s">
        <v>60</v>
      </c>
      <c r="D3329" t="s">
        <v>151</v>
      </c>
      <c r="E3329" t="s">
        <v>41</v>
      </c>
      <c r="F3329" t="s">
        <v>21</v>
      </c>
      <c r="G3329" t="s">
        <v>81</v>
      </c>
      <c r="H3329" t="s">
        <v>57</v>
      </c>
      <c r="I3329" t="s">
        <v>72</v>
      </c>
      <c r="J3329">
        <v>47</v>
      </c>
      <c r="K3329">
        <v>45175.16</v>
      </c>
      <c r="L3329">
        <v>2123232.52</v>
      </c>
      <c r="M3329">
        <v>411675.02</v>
      </c>
      <c r="N3329">
        <v>0</v>
      </c>
      <c r="O3329">
        <v>1711557.5</v>
      </c>
      <c r="P3329" t="s">
        <v>31</v>
      </c>
      <c r="Q3329" t="s">
        <v>32</v>
      </c>
    </row>
    <row r="3330" spans="1:17" x14ac:dyDescent="0.25">
      <c r="A3330" t="s">
        <v>3447</v>
      </c>
      <c r="B3330" s="1">
        <v>46040</v>
      </c>
      <c r="C3330" t="s">
        <v>47</v>
      </c>
      <c r="D3330" t="s">
        <v>48</v>
      </c>
      <c r="E3330" t="s">
        <v>41</v>
      </c>
      <c r="F3330" t="s">
        <v>50</v>
      </c>
      <c r="G3330" t="s">
        <v>37</v>
      </c>
      <c r="H3330" t="s">
        <v>57</v>
      </c>
      <c r="I3330" t="s">
        <v>72</v>
      </c>
      <c r="J3330">
        <v>33</v>
      </c>
      <c r="K3330">
        <v>17836.68</v>
      </c>
      <c r="L3330">
        <v>588610.43999999994</v>
      </c>
      <c r="M3330">
        <v>98993.72</v>
      </c>
      <c r="N3330">
        <v>0</v>
      </c>
      <c r="O3330">
        <v>489616.72</v>
      </c>
      <c r="P3330" t="s">
        <v>31</v>
      </c>
      <c r="Q3330" t="s">
        <v>32</v>
      </c>
    </row>
    <row r="3331" spans="1:17" x14ac:dyDescent="0.25">
      <c r="A3331" t="s">
        <v>3448</v>
      </c>
      <c r="B3331" s="1">
        <v>46015</v>
      </c>
      <c r="C3331" t="s">
        <v>60</v>
      </c>
      <c r="D3331" t="s">
        <v>65</v>
      </c>
      <c r="E3331" t="s">
        <v>20</v>
      </c>
      <c r="F3331" t="s">
        <v>21</v>
      </c>
      <c r="G3331" t="s">
        <v>98</v>
      </c>
      <c r="H3331" t="s">
        <v>44</v>
      </c>
      <c r="I3331" t="s">
        <v>45</v>
      </c>
      <c r="J3331">
        <v>15</v>
      </c>
      <c r="K3331">
        <v>34413.72</v>
      </c>
      <c r="L3331">
        <v>516205.8</v>
      </c>
      <c r="M3331">
        <v>96965.37</v>
      </c>
      <c r="N3331">
        <v>0</v>
      </c>
      <c r="O3331">
        <v>419240.43</v>
      </c>
      <c r="P3331" t="s">
        <v>73</v>
      </c>
      <c r="Q3331" t="s">
        <v>26</v>
      </c>
    </row>
    <row r="3332" spans="1:17" x14ac:dyDescent="0.25">
      <c r="A3332" t="s">
        <v>3449</v>
      </c>
      <c r="B3332" s="1">
        <v>45987</v>
      </c>
      <c r="C3332" t="s">
        <v>54</v>
      </c>
      <c r="D3332" t="s">
        <v>70</v>
      </c>
      <c r="E3332" t="s">
        <v>49</v>
      </c>
      <c r="F3332" t="s">
        <v>21</v>
      </c>
      <c r="G3332" t="s">
        <v>29</v>
      </c>
      <c r="H3332" t="s">
        <v>23</v>
      </c>
      <c r="I3332" t="s">
        <v>131</v>
      </c>
      <c r="J3332">
        <v>15</v>
      </c>
      <c r="K3332">
        <v>31356.959999999999</v>
      </c>
      <c r="L3332">
        <v>470354.4</v>
      </c>
      <c r="M3332">
        <v>0</v>
      </c>
      <c r="N3332">
        <v>133010.28</v>
      </c>
      <c r="O3332">
        <v>337344.12</v>
      </c>
      <c r="P3332" t="s">
        <v>32</v>
      </c>
      <c r="Q3332" t="s">
        <v>26</v>
      </c>
    </row>
    <row r="3333" spans="1:17" x14ac:dyDescent="0.25">
      <c r="A3333" t="s">
        <v>3450</v>
      </c>
      <c r="B3333" s="1">
        <v>46042</v>
      </c>
      <c r="C3333" t="s">
        <v>47</v>
      </c>
      <c r="D3333" t="s">
        <v>127</v>
      </c>
      <c r="E3333" t="s">
        <v>20</v>
      </c>
      <c r="F3333" t="s">
        <v>62</v>
      </c>
      <c r="G3333" t="s">
        <v>63</v>
      </c>
      <c r="H3333" t="s">
        <v>57</v>
      </c>
      <c r="I3333" t="s">
        <v>148</v>
      </c>
      <c r="J3333">
        <v>8</v>
      </c>
      <c r="K3333">
        <v>24392.41</v>
      </c>
      <c r="L3333">
        <v>195139.28</v>
      </c>
      <c r="M3333">
        <v>0</v>
      </c>
      <c r="N3333">
        <v>20840.080000000002</v>
      </c>
      <c r="O3333">
        <v>174299.2</v>
      </c>
      <c r="P3333" t="s">
        <v>32</v>
      </c>
      <c r="Q3333" t="s">
        <v>26</v>
      </c>
    </row>
    <row r="3334" spans="1:17" x14ac:dyDescent="0.25">
      <c r="A3334" t="s">
        <v>3451</v>
      </c>
      <c r="B3334" s="1">
        <v>45956</v>
      </c>
      <c r="C3334" t="s">
        <v>18</v>
      </c>
      <c r="D3334" t="s">
        <v>28</v>
      </c>
      <c r="E3334" t="s">
        <v>41</v>
      </c>
      <c r="F3334" t="s">
        <v>84</v>
      </c>
      <c r="G3334" t="s">
        <v>138</v>
      </c>
      <c r="H3334" t="s">
        <v>94</v>
      </c>
      <c r="I3334" t="s">
        <v>115</v>
      </c>
      <c r="J3334">
        <v>33</v>
      </c>
      <c r="K3334">
        <v>12357.77</v>
      </c>
      <c r="L3334">
        <v>407806.41</v>
      </c>
      <c r="M3334">
        <v>72486.649999999994</v>
      </c>
      <c r="N3334">
        <v>0</v>
      </c>
      <c r="O3334">
        <v>335319.76</v>
      </c>
      <c r="P3334" t="s">
        <v>32</v>
      </c>
      <c r="Q3334" t="s">
        <v>32</v>
      </c>
    </row>
    <row r="3335" spans="1:17" x14ac:dyDescent="0.25">
      <c r="A3335" t="s">
        <v>3452</v>
      </c>
      <c r="B3335" s="1">
        <v>46040</v>
      </c>
      <c r="C3335" t="s">
        <v>47</v>
      </c>
      <c r="D3335" t="s">
        <v>88</v>
      </c>
      <c r="E3335" t="s">
        <v>35</v>
      </c>
      <c r="F3335" t="s">
        <v>42</v>
      </c>
      <c r="G3335" t="s">
        <v>85</v>
      </c>
      <c r="H3335" t="s">
        <v>94</v>
      </c>
      <c r="I3335" t="s">
        <v>163</v>
      </c>
      <c r="J3335">
        <v>38</v>
      </c>
      <c r="K3335">
        <v>16377.18</v>
      </c>
      <c r="L3335">
        <v>622332.84</v>
      </c>
      <c r="M3335">
        <v>0</v>
      </c>
      <c r="N3335">
        <v>0</v>
      </c>
      <c r="O3335">
        <v>622332.84</v>
      </c>
      <c r="P3335" t="s">
        <v>73</v>
      </c>
      <c r="Q3335" t="s">
        <v>26</v>
      </c>
    </row>
    <row r="3336" spans="1:17" x14ac:dyDescent="0.25">
      <c r="A3336" t="s">
        <v>3453</v>
      </c>
      <c r="B3336" s="1">
        <v>45958</v>
      </c>
      <c r="C3336" t="s">
        <v>47</v>
      </c>
      <c r="D3336" t="s">
        <v>127</v>
      </c>
      <c r="E3336" t="s">
        <v>41</v>
      </c>
      <c r="F3336" t="s">
        <v>21</v>
      </c>
      <c r="G3336" t="s">
        <v>85</v>
      </c>
      <c r="H3336" t="s">
        <v>57</v>
      </c>
      <c r="I3336" t="s">
        <v>92</v>
      </c>
      <c r="J3336">
        <v>19</v>
      </c>
      <c r="K3336">
        <v>43903.71</v>
      </c>
      <c r="L3336">
        <v>834170.49</v>
      </c>
      <c r="M3336">
        <v>0</v>
      </c>
      <c r="N3336">
        <v>0</v>
      </c>
      <c r="O3336">
        <v>834170.49</v>
      </c>
      <c r="P3336" t="s">
        <v>25</v>
      </c>
      <c r="Q3336" t="s">
        <v>26</v>
      </c>
    </row>
    <row r="3337" spans="1:17" x14ac:dyDescent="0.25">
      <c r="A3337" t="s">
        <v>3454</v>
      </c>
      <c r="B3337" s="1">
        <v>45993</v>
      </c>
      <c r="C3337" t="s">
        <v>60</v>
      </c>
      <c r="D3337" t="s">
        <v>61</v>
      </c>
      <c r="E3337" t="s">
        <v>35</v>
      </c>
      <c r="F3337" t="s">
        <v>84</v>
      </c>
      <c r="G3337" t="s">
        <v>81</v>
      </c>
      <c r="H3337" t="s">
        <v>44</v>
      </c>
      <c r="I3337" t="s">
        <v>135</v>
      </c>
      <c r="J3337">
        <v>21</v>
      </c>
      <c r="K3337">
        <v>5803.89</v>
      </c>
      <c r="L3337">
        <v>121881.69</v>
      </c>
      <c r="M3337">
        <v>9764.9699999999993</v>
      </c>
      <c r="N3337">
        <v>0</v>
      </c>
      <c r="O3337">
        <v>112116.72</v>
      </c>
      <c r="P3337" t="s">
        <v>73</v>
      </c>
      <c r="Q3337" t="s">
        <v>32</v>
      </c>
    </row>
    <row r="3338" spans="1:17" x14ac:dyDescent="0.25">
      <c r="A3338" t="s">
        <v>3455</v>
      </c>
      <c r="B3338" s="1">
        <v>45975</v>
      </c>
      <c r="C3338" t="s">
        <v>79</v>
      </c>
      <c r="D3338" t="s">
        <v>80</v>
      </c>
      <c r="E3338" t="s">
        <v>41</v>
      </c>
      <c r="F3338" t="s">
        <v>50</v>
      </c>
      <c r="G3338" t="s">
        <v>98</v>
      </c>
      <c r="H3338" t="s">
        <v>57</v>
      </c>
      <c r="I3338" t="s">
        <v>92</v>
      </c>
      <c r="J3338">
        <v>18</v>
      </c>
      <c r="K3338">
        <v>26272.99</v>
      </c>
      <c r="L3338">
        <v>472913.82</v>
      </c>
      <c r="M3338">
        <v>0</v>
      </c>
      <c r="N3338">
        <v>0</v>
      </c>
      <c r="O3338">
        <v>472913.82</v>
      </c>
      <c r="P3338" t="s">
        <v>31</v>
      </c>
      <c r="Q3338" t="s">
        <v>32</v>
      </c>
    </row>
    <row r="3339" spans="1:17" x14ac:dyDescent="0.25">
      <c r="A3339" t="s">
        <v>3456</v>
      </c>
      <c r="B3339" s="1">
        <v>46035</v>
      </c>
      <c r="C3339" t="s">
        <v>18</v>
      </c>
      <c r="D3339" t="s">
        <v>28</v>
      </c>
      <c r="E3339" t="s">
        <v>35</v>
      </c>
      <c r="F3339" t="s">
        <v>112</v>
      </c>
      <c r="G3339" t="s">
        <v>56</v>
      </c>
      <c r="H3339" t="s">
        <v>23</v>
      </c>
      <c r="I3339" t="s">
        <v>52</v>
      </c>
      <c r="J3339">
        <v>8</v>
      </c>
      <c r="K3339">
        <v>20930.93</v>
      </c>
      <c r="L3339">
        <v>167447.44</v>
      </c>
      <c r="M3339">
        <v>17689.93</v>
      </c>
      <c r="N3339">
        <v>0</v>
      </c>
      <c r="O3339">
        <v>149757.51</v>
      </c>
      <c r="P3339" t="s">
        <v>25</v>
      </c>
      <c r="Q3339" t="s">
        <v>26</v>
      </c>
    </row>
    <row r="3340" spans="1:17" x14ac:dyDescent="0.25">
      <c r="A3340" t="s">
        <v>3457</v>
      </c>
      <c r="B3340" s="1">
        <v>45964</v>
      </c>
      <c r="C3340" t="s">
        <v>54</v>
      </c>
      <c r="D3340" t="s">
        <v>70</v>
      </c>
      <c r="E3340" t="s">
        <v>35</v>
      </c>
      <c r="F3340" t="s">
        <v>112</v>
      </c>
      <c r="G3340" t="s">
        <v>85</v>
      </c>
      <c r="H3340" t="s">
        <v>23</v>
      </c>
      <c r="I3340" t="s">
        <v>30</v>
      </c>
      <c r="J3340">
        <v>39</v>
      </c>
      <c r="K3340">
        <v>16159.9</v>
      </c>
      <c r="L3340">
        <v>630236.1</v>
      </c>
      <c r="M3340">
        <v>4980.4799999999996</v>
      </c>
      <c r="N3340">
        <v>0</v>
      </c>
      <c r="O3340">
        <v>625255.62</v>
      </c>
      <c r="P3340" t="s">
        <v>73</v>
      </c>
      <c r="Q3340" t="s">
        <v>32</v>
      </c>
    </row>
    <row r="3341" spans="1:17" x14ac:dyDescent="0.25">
      <c r="A3341" t="s">
        <v>3458</v>
      </c>
      <c r="B3341" s="1">
        <v>45977</v>
      </c>
      <c r="C3341" t="s">
        <v>47</v>
      </c>
      <c r="D3341" t="s">
        <v>127</v>
      </c>
      <c r="E3341" t="s">
        <v>35</v>
      </c>
      <c r="F3341" t="s">
        <v>105</v>
      </c>
      <c r="G3341" t="s">
        <v>63</v>
      </c>
      <c r="H3341" t="s">
        <v>44</v>
      </c>
      <c r="I3341" t="s">
        <v>141</v>
      </c>
      <c r="J3341">
        <v>41</v>
      </c>
      <c r="K3341">
        <v>21219</v>
      </c>
      <c r="L3341">
        <v>869979</v>
      </c>
      <c r="M3341">
        <v>142621.25</v>
      </c>
      <c r="N3341">
        <v>0</v>
      </c>
      <c r="O3341">
        <v>727357.75</v>
      </c>
      <c r="P3341" t="s">
        <v>32</v>
      </c>
      <c r="Q3341" t="s">
        <v>26</v>
      </c>
    </row>
    <row r="3342" spans="1:17" x14ac:dyDescent="0.25">
      <c r="A3342" t="s">
        <v>3459</v>
      </c>
      <c r="B3342" s="1">
        <v>45955</v>
      </c>
      <c r="C3342" t="s">
        <v>54</v>
      </c>
      <c r="D3342" t="s">
        <v>97</v>
      </c>
      <c r="E3342" t="s">
        <v>35</v>
      </c>
      <c r="F3342" t="s">
        <v>84</v>
      </c>
      <c r="G3342" t="s">
        <v>37</v>
      </c>
      <c r="H3342" t="s">
        <v>44</v>
      </c>
      <c r="I3342" t="s">
        <v>281</v>
      </c>
      <c r="J3342">
        <v>7</v>
      </c>
      <c r="K3342">
        <v>40904.67</v>
      </c>
      <c r="L3342">
        <v>286332.69</v>
      </c>
      <c r="M3342">
        <v>0</v>
      </c>
      <c r="N3342">
        <v>0</v>
      </c>
      <c r="O3342">
        <v>286332.69</v>
      </c>
      <c r="P3342" t="s">
        <v>31</v>
      </c>
      <c r="Q3342" t="s">
        <v>32</v>
      </c>
    </row>
    <row r="3343" spans="1:17" x14ac:dyDescent="0.25">
      <c r="A3343" t="s">
        <v>3460</v>
      </c>
      <c r="B3343" s="1">
        <v>45993</v>
      </c>
      <c r="C3343" t="s">
        <v>60</v>
      </c>
      <c r="D3343" t="s">
        <v>61</v>
      </c>
      <c r="E3343" t="s">
        <v>41</v>
      </c>
      <c r="F3343" t="s">
        <v>84</v>
      </c>
      <c r="G3343" t="s">
        <v>22</v>
      </c>
      <c r="H3343" t="s">
        <v>94</v>
      </c>
      <c r="I3343" t="s">
        <v>95</v>
      </c>
      <c r="J3343">
        <v>39</v>
      </c>
      <c r="K3343">
        <v>33667.72</v>
      </c>
      <c r="L3343">
        <v>1313041.08</v>
      </c>
      <c r="M3343">
        <v>0</v>
      </c>
      <c r="N3343">
        <v>0</v>
      </c>
      <c r="O3343">
        <v>1313041.08</v>
      </c>
      <c r="P3343" t="s">
        <v>73</v>
      </c>
      <c r="Q3343" t="s">
        <v>26</v>
      </c>
    </row>
    <row r="3344" spans="1:17" x14ac:dyDescent="0.25">
      <c r="A3344" t="s">
        <v>3461</v>
      </c>
      <c r="B3344" s="1">
        <v>45971</v>
      </c>
      <c r="C3344" t="s">
        <v>54</v>
      </c>
      <c r="D3344" t="s">
        <v>97</v>
      </c>
      <c r="E3344" t="s">
        <v>35</v>
      </c>
      <c r="F3344" t="s">
        <v>36</v>
      </c>
      <c r="G3344" t="s">
        <v>85</v>
      </c>
      <c r="H3344" t="s">
        <v>44</v>
      </c>
      <c r="I3344" t="s">
        <v>152</v>
      </c>
      <c r="J3344">
        <v>15</v>
      </c>
      <c r="K3344">
        <v>20857.060000000001</v>
      </c>
      <c r="L3344">
        <v>312855.90000000002</v>
      </c>
      <c r="M3344">
        <v>25760.799999999999</v>
      </c>
      <c r="N3344">
        <v>0</v>
      </c>
      <c r="O3344">
        <v>287095.09999999998</v>
      </c>
      <c r="P3344" t="s">
        <v>25</v>
      </c>
      <c r="Q3344" t="s">
        <v>26</v>
      </c>
    </row>
    <row r="3345" spans="1:17" x14ac:dyDescent="0.25">
      <c r="A3345" t="s">
        <v>3462</v>
      </c>
      <c r="B3345" s="1">
        <v>45973</v>
      </c>
      <c r="C3345" t="s">
        <v>18</v>
      </c>
      <c r="D3345" t="s">
        <v>34</v>
      </c>
      <c r="E3345" t="s">
        <v>41</v>
      </c>
      <c r="F3345" t="s">
        <v>36</v>
      </c>
      <c r="G3345" t="s">
        <v>85</v>
      </c>
      <c r="H3345" t="s">
        <v>67</v>
      </c>
      <c r="I3345" t="s">
        <v>77</v>
      </c>
      <c r="J3345">
        <v>49</v>
      </c>
      <c r="K3345">
        <v>6613.11</v>
      </c>
      <c r="L3345">
        <v>324042.39</v>
      </c>
      <c r="M3345">
        <v>25395.26</v>
      </c>
      <c r="N3345">
        <v>0</v>
      </c>
      <c r="O3345">
        <v>298647.13</v>
      </c>
      <c r="P3345" t="s">
        <v>73</v>
      </c>
      <c r="Q3345" t="s">
        <v>32</v>
      </c>
    </row>
    <row r="3346" spans="1:17" x14ac:dyDescent="0.25">
      <c r="A3346" t="s">
        <v>3463</v>
      </c>
      <c r="B3346" s="1">
        <v>45995</v>
      </c>
      <c r="C3346" t="s">
        <v>18</v>
      </c>
      <c r="D3346" t="s">
        <v>19</v>
      </c>
      <c r="E3346" t="s">
        <v>41</v>
      </c>
      <c r="F3346" t="s">
        <v>50</v>
      </c>
      <c r="G3346" t="s">
        <v>37</v>
      </c>
      <c r="H3346" t="s">
        <v>57</v>
      </c>
      <c r="I3346" t="s">
        <v>118</v>
      </c>
      <c r="J3346">
        <v>10</v>
      </c>
      <c r="K3346">
        <v>22005.14</v>
      </c>
      <c r="L3346">
        <v>220051.4</v>
      </c>
      <c r="M3346">
        <v>0</v>
      </c>
      <c r="N3346">
        <v>0</v>
      </c>
      <c r="O3346">
        <v>220051.4</v>
      </c>
      <c r="P3346" t="s">
        <v>25</v>
      </c>
      <c r="Q3346" t="s">
        <v>26</v>
      </c>
    </row>
    <row r="3347" spans="1:17" x14ac:dyDescent="0.25">
      <c r="A3347" t="s">
        <v>3464</v>
      </c>
      <c r="B3347" s="1">
        <v>46038</v>
      </c>
      <c r="C3347" t="s">
        <v>79</v>
      </c>
      <c r="D3347" t="s">
        <v>107</v>
      </c>
      <c r="E3347" t="s">
        <v>35</v>
      </c>
      <c r="F3347" t="s">
        <v>62</v>
      </c>
      <c r="G3347" t="s">
        <v>29</v>
      </c>
      <c r="H3347" t="s">
        <v>57</v>
      </c>
      <c r="I3347" t="s">
        <v>72</v>
      </c>
      <c r="J3347">
        <v>1</v>
      </c>
      <c r="K3347">
        <v>3081.9</v>
      </c>
      <c r="L3347">
        <v>3081.9</v>
      </c>
      <c r="M3347">
        <v>0</v>
      </c>
      <c r="N3347">
        <v>0</v>
      </c>
      <c r="O3347">
        <v>3081.9</v>
      </c>
      <c r="P3347" t="s">
        <v>25</v>
      </c>
      <c r="Q3347" t="s">
        <v>128</v>
      </c>
    </row>
    <row r="3348" spans="1:17" x14ac:dyDescent="0.25">
      <c r="A3348" t="s">
        <v>3465</v>
      </c>
      <c r="B3348" s="1">
        <v>45994</v>
      </c>
      <c r="C3348" t="s">
        <v>79</v>
      </c>
      <c r="D3348" t="s">
        <v>101</v>
      </c>
      <c r="E3348" t="s">
        <v>41</v>
      </c>
      <c r="F3348" t="s">
        <v>112</v>
      </c>
      <c r="G3348" t="s">
        <v>85</v>
      </c>
      <c r="H3348" t="s">
        <v>57</v>
      </c>
      <c r="I3348" t="s">
        <v>118</v>
      </c>
      <c r="J3348">
        <v>8</v>
      </c>
      <c r="K3348">
        <v>20931.580000000002</v>
      </c>
      <c r="L3348">
        <v>167452.64000000001</v>
      </c>
      <c r="M3348">
        <v>0</v>
      </c>
      <c r="N3348">
        <v>0</v>
      </c>
      <c r="O3348">
        <v>167452.64000000001</v>
      </c>
      <c r="P3348" t="s">
        <v>73</v>
      </c>
      <c r="Q3348" t="s">
        <v>32</v>
      </c>
    </row>
    <row r="3349" spans="1:17" x14ac:dyDescent="0.25">
      <c r="A3349" t="s">
        <v>3466</v>
      </c>
      <c r="B3349" s="1">
        <v>46010</v>
      </c>
      <c r="C3349" t="s">
        <v>54</v>
      </c>
      <c r="D3349" t="s">
        <v>97</v>
      </c>
      <c r="E3349" t="s">
        <v>35</v>
      </c>
      <c r="F3349" t="s">
        <v>50</v>
      </c>
      <c r="G3349" t="s">
        <v>81</v>
      </c>
      <c r="H3349" t="s">
        <v>67</v>
      </c>
      <c r="I3349" t="s">
        <v>103</v>
      </c>
      <c r="J3349">
        <v>33</v>
      </c>
      <c r="K3349">
        <v>27603.05</v>
      </c>
      <c r="L3349">
        <v>910900.65</v>
      </c>
      <c r="M3349">
        <v>69728.42</v>
      </c>
      <c r="N3349">
        <v>0</v>
      </c>
      <c r="O3349">
        <v>841172.23</v>
      </c>
      <c r="P3349" t="s">
        <v>73</v>
      </c>
      <c r="Q3349" t="s">
        <v>32</v>
      </c>
    </row>
    <row r="3350" spans="1:17" x14ac:dyDescent="0.25">
      <c r="A3350" t="s">
        <v>3467</v>
      </c>
      <c r="B3350" s="1">
        <v>45988</v>
      </c>
      <c r="C3350" t="s">
        <v>18</v>
      </c>
      <c r="D3350" t="s">
        <v>34</v>
      </c>
      <c r="E3350" t="s">
        <v>20</v>
      </c>
      <c r="F3350" t="s">
        <v>50</v>
      </c>
      <c r="G3350" t="s">
        <v>89</v>
      </c>
      <c r="H3350" t="s">
        <v>44</v>
      </c>
      <c r="I3350" t="s">
        <v>141</v>
      </c>
      <c r="J3350">
        <v>48</v>
      </c>
      <c r="K3350">
        <v>22038.18</v>
      </c>
      <c r="L3350">
        <v>1057832.6399999999</v>
      </c>
      <c r="M3350">
        <v>112839.74</v>
      </c>
      <c r="N3350">
        <v>0</v>
      </c>
      <c r="O3350">
        <v>944992.9</v>
      </c>
      <c r="P3350" t="s">
        <v>31</v>
      </c>
      <c r="Q3350" t="s">
        <v>32</v>
      </c>
    </row>
    <row r="3351" spans="1:17" x14ac:dyDescent="0.25">
      <c r="A3351" t="s">
        <v>3468</v>
      </c>
      <c r="B3351" s="1">
        <v>45974</v>
      </c>
      <c r="C3351" t="s">
        <v>18</v>
      </c>
      <c r="D3351" t="s">
        <v>28</v>
      </c>
      <c r="E3351" t="s">
        <v>35</v>
      </c>
      <c r="F3351" t="s">
        <v>112</v>
      </c>
      <c r="G3351" t="s">
        <v>29</v>
      </c>
      <c r="H3351" t="s">
        <v>38</v>
      </c>
      <c r="I3351" t="s">
        <v>39</v>
      </c>
      <c r="J3351">
        <v>16</v>
      </c>
      <c r="K3351">
        <v>48898.64</v>
      </c>
      <c r="L3351">
        <v>782378.24</v>
      </c>
      <c r="M3351">
        <v>74289.490000000005</v>
      </c>
      <c r="N3351">
        <v>0</v>
      </c>
      <c r="O3351">
        <v>708088.75</v>
      </c>
      <c r="P3351" t="s">
        <v>32</v>
      </c>
      <c r="Q3351" t="s">
        <v>32</v>
      </c>
    </row>
    <row r="3352" spans="1:17" x14ac:dyDescent="0.25">
      <c r="A3352" t="s">
        <v>3469</v>
      </c>
      <c r="B3352" s="1">
        <v>46004</v>
      </c>
      <c r="C3352" t="s">
        <v>60</v>
      </c>
      <c r="D3352" t="s">
        <v>61</v>
      </c>
      <c r="E3352" t="s">
        <v>20</v>
      </c>
      <c r="F3352" t="s">
        <v>62</v>
      </c>
      <c r="G3352" t="s">
        <v>98</v>
      </c>
      <c r="H3352" t="s">
        <v>94</v>
      </c>
      <c r="I3352" t="s">
        <v>163</v>
      </c>
      <c r="J3352">
        <v>38</v>
      </c>
      <c r="K3352">
        <v>3324.05</v>
      </c>
      <c r="L3352">
        <v>126313.9</v>
      </c>
      <c r="M3352">
        <v>13919.53</v>
      </c>
      <c r="N3352">
        <v>17163.509999999998</v>
      </c>
      <c r="O3352">
        <v>95230.86</v>
      </c>
      <c r="P3352" t="s">
        <v>25</v>
      </c>
      <c r="Q3352" t="s">
        <v>26</v>
      </c>
    </row>
    <row r="3353" spans="1:17" x14ac:dyDescent="0.25">
      <c r="A3353" t="s">
        <v>3470</v>
      </c>
      <c r="B3353" s="1">
        <v>45967</v>
      </c>
      <c r="C3353" t="s">
        <v>54</v>
      </c>
      <c r="D3353" t="s">
        <v>55</v>
      </c>
      <c r="E3353" t="s">
        <v>49</v>
      </c>
      <c r="F3353" t="s">
        <v>105</v>
      </c>
      <c r="G3353" t="s">
        <v>56</v>
      </c>
      <c r="H3353" t="s">
        <v>94</v>
      </c>
      <c r="I3353" t="s">
        <v>144</v>
      </c>
      <c r="J3353">
        <v>37</v>
      </c>
      <c r="K3353">
        <v>42932.39</v>
      </c>
      <c r="L3353">
        <v>1588498.43</v>
      </c>
      <c r="M3353">
        <v>284807.01</v>
      </c>
      <c r="N3353">
        <v>0</v>
      </c>
      <c r="O3353">
        <v>1303691.42</v>
      </c>
      <c r="P3353" t="s">
        <v>73</v>
      </c>
      <c r="Q3353" t="s">
        <v>26</v>
      </c>
    </row>
    <row r="3354" spans="1:17" x14ac:dyDescent="0.25">
      <c r="A3354" t="s">
        <v>3471</v>
      </c>
      <c r="B3354" s="1">
        <v>45958</v>
      </c>
      <c r="C3354" t="s">
        <v>79</v>
      </c>
      <c r="D3354" t="s">
        <v>91</v>
      </c>
      <c r="E3354" t="s">
        <v>41</v>
      </c>
      <c r="F3354" t="s">
        <v>112</v>
      </c>
      <c r="G3354" t="s">
        <v>63</v>
      </c>
      <c r="H3354" t="s">
        <v>44</v>
      </c>
      <c r="I3354" t="s">
        <v>45</v>
      </c>
      <c r="J3354">
        <v>34</v>
      </c>
      <c r="K3354">
        <v>27176.85</v>
      </c>
      <c r="L3354">
        <v>924012.9</v>
      </c>
      <c r="M3354">
        <v>51677.55</v>
      </c>
      <c r="N3354">
        <v>0</v>
      </c>
      <c r="O3354">
        <v>872335.35</v>
      </c>
      <c r="P3354" t="s">
        <v>25</v>
      </c>
      <c r="Q3354" t="s">
        <v>26</v>
      </c>
    </row>
    <row r="3355" spans="1:17" x14ac:dyDescent="0.25">
      <c r="A3355" t="s">
        <v>3472</v>
      </c>
      <c r="B3355" s="1">
        <v>45990</v>
      </c>
      <c r="C3355" t="s">
        <v>54</v>
      </c>
      <c r="D3355" t="s">
        <v>133</v>
      </c>
      <c r="E3355" t="s">
        <v>35</v>
      </c>
      <c r="F3355" t="s">
        <v>105</v>
      </c>
      <c r="G3355" t="s">
        <v>89</v>
      </c>
      <c r="H3355" t="s">
        <v>38</v>
      </c>
      <c r="I3355" t="s">
        <v>86</v>
      </c>
      <c r="J3355">
        <v>6</v>
      </c>
      <c r="K3355">
        <v>33231.96</v>
      </c>
      <c r="L3355">
        <v>199391.76</v>
      </c>
      <c r="M3355">
        <v>0</v>
      </c>
      <c r="N3355">
        <v>0</v>
      </c>
      <c r="O3355">
        <v>199391.76</v>
      </c>
      <c r="P3355" t="s">
        <v>73</v>
      </c>
      <c r="Q3355" t="s">
        <v>32</v>
      </c>
    </row>
    <row r="3356" spans="1:17" x14ac:dyDescent="0.25">
      <c r="A3356" t="s">
        <v>3473</v>
      </c>
      <c r="B3356" s="1">
        <v>45996</v>
      </c>
      <c r="C3356" t="s">
        <v>47</v>
      </c>
      <c r="D3356" t="s">
        <v>88</v>
      </c>
      <c r="E3356" t="s">
        <v>20</v>
      </c>
      <c r="F3356" t="s">
        <v>36</v>
      </c>
      <c r="G3356" t="s">
        <v>29</v>
      </c>
      <c r="H3356" t="s">
        <v>44</v>
      </c>
      <c r="I3356" t="s">
        <v>141</v>
      </c>
      <c r="J3356">
        <v>38</v>
      </c>
      <c r="K3356">
        <v>16459.29</v>
      </c>
      <c r="L3356">
        <v>625453.02</v>
      </c>
      <c r="M3356">
        <v>67011.820000000007</v>
      </c>
      <c r="N3356">
        <v>0</v>
      </c>
      <c r="O3356">
        <v>558441.19999999995</v>
      </c>
      <c r="P3356" t="s">
        <v>31</v>
      </c>
      <c r="Q3356" t="s">
        <v>32</v>
      </c>
    </row>
    <row r="3357" spans="1:17" x14ac:dyDescent="0.25">
      <c r="A3357" t="s">
        <v>3474</v>
      </c>
      <c r="B3357" s="1">
        <v>46041</v>
      </c>
      <c r="C3357" t="s">
        <v>18</v>
      </c>
      <c r="D3357" t="s">
        <v>34</v>
      </c>
      <c r="E3357" t="s">
        <v>20</v>
      </c>
      <c r="F3357" t="s">
        <v>71</v>
      </c>
      <c r="G3357" t="s">
        <v>140</v>
      </c>
      <c r="H3357" t="s">
        <v>57</v>
      </c>
      <c r="I3357" t="s">
        <v>92</v>
      </c>
      <c r="J3357">
        <v>23</v>
      </c>
      <c r="K3357">
        <v>40716.449999999997</v>
      </c>
      <c r="L3357">
        <v>936478.35</v>
      </c>
      <c r="M3357">
        <v>0</v>
      </c>
      <c r="N3357">
        <v>0</v>
      </c>
      <c r="O3357">
        <v>936478.35</v>
      </c>
      <c r="P3357" t="s">
        <v>32</v>
      </c>
      <c r="Q3357" t="s">
        <v>32</v>
      </c>
    </row>
    <row r="3358" spans="1:17" x14ac:dyDescent="0.25">
      <c r="A3358" t="s">
        <v>3475</v>
      </c>
      <c r="B3358" s="1">
        <v>45963</v>
      </c>
      <c r="C3358" t="s">
        <v>18</v>
      </c>
      <c r="D3358" t="s">
        <v>19</v>
      </c>
      <c r="E3358" t="s">
        <v>20</v>
      </c>
      <c r="F3358" t="s">
        <v>42</v>
      </c>
      <c r="G3358" t="s">
        <v>140</v>
      </c>
      <c r="H3358" t="s">
        <v>38</v>
      </c>
      <c r="I3358" t="s">
        <v>39</v>
      </c>
      <c r="J3358">
        <v>23</v>
      </c>
      <c r="K3358">
        <v>38542.17</v>
      </c>
      <c r="L3358">
        <v>886469.91</v>
      </c>
      <c r="M3358">
        <v>0</v>
      </c>
      <c r="N3358">
        <v>0</v>
      </c>
      <c r="O3358">
        <v>886469.91</v>
      </c>
      <c r="P3358" t="s">
        <v>73</v>
      </c>
      <c r="Q3358" t="s">
        <v>32</v>
      </c>
    </row>
    <row r="3359" spans="1:17" x14ac:dyDescent="0.25">
      <c r="A3359" t="s">
        <v>3476</v>
      </c>
      <c r="B3359" s="1">
        <v>46002</v>
      </c>
      <c r="C3359" t="s">
        <v>60</v>
      </c>
      <c r="D3359" t="s">
        <v>61</v>
      </c>
      <c r="E3359" t="s">
        <v>35</v>
      </c>
      <c r="F3359" t="s">
        <v>84</v>
      </c>
      <c r="G3359" t="s">
        <v>89</v>
      </c>
      <c r="H3359" t="s">
        <v>57</v>
      </c>
      <c r="I3359" t="s">
        <v>92</v>
      </c>
      <c r="J3359">
        <v>23</v>
      </c>
      <c r="K3359">
        <v>17500.63</v>
      </c>
      <c r="L3359">
        <v>402514.49</v>
      </c>
      <c r="M3359">
        <v>0</v>
      </c>
      <c r="N3359">
        <v>0</v>
      </c>
      <c r="O3359">
        <v>402514.49</v>
      </c>
      <c r="P3359" t="s">
        <v>32</v>
      </c>
      <c r="Q3359" t="s">
        <v>26</v>
      </c>
    </row>
    <row r="3360" spans="1:17" x14ac:dyDescent="0.25">
      <c r="A3360" t="s">
        <v>3477</v>
      </c>
      <c r="B3360" s="1">
        <v>46003</v>
      </c>
      <c r="C3360" t="s">
        <v>18</v>
      </c>
      <c r="D3360" t="s">
        <v>75</v>
      </c>
      <c r="E3360" t="s">
        <v>41</v>
      </c>
      <c r="F3360" t="s">
        <v>36</v>
      </c>
      <c r="G3360" t="s">
        <v>140</v>
      </c>
      <c r="H3360" t="s">
        <v>67</v>
      </c>
      <c r="I3360" t="s">
        <v>103</v>
      </c>
      <c r="J3360">
        <v>9</v>
      </c>
      <c r="K3360">
        <v>33303.61</v>
      </c>
      <c r="L3360">
        <v>299732.49</v>
      </c>
      <c r="M3360">
        <v>27453.65</v>
      </c>
      <c r="N3360">
        <v>0</v>
      </c>
      <c r="O3360">
        <v>272278.84000000003</v>
      </c>
      <c r="P3360" t="s">
        <v>31</v>
      </c>
      <c r="Q3360" t="s">
        <v>32</v>
      </c>
    </row>
    <row r="3361" spans="1:17" x14ac:dyDescent="0.25">
      <c r="A3361" t="s">
        <v>3478</v>
      </c>
      <c r="B3361" s="1">
        <v>46038</v>
      </c>
      <c r="C3361" t="s">
        <v>54</v>
      </c>
      <c r="D3361" t="s">
        <v>70</v>
      </c>
      <c r="E3361" t="s">
        <v>49</v>
      </c>
      <c r="F3361" t="s">
        <v>42</v>
      </c>
      <c r="G3361" t="s">
        <v>43</v>
      </c>
      <c r="H3361" t="s">
        <v>38</v>
      </c>
      <c r="I3361" t="s">
        <v>39</v>
      </c>
      <c r="J3361">
        <v>7</v>
      </c>
      <c r="K3361">
        <v>7381.02</v>
      </c>
      <c r="L3361">
        <v>51667.14</v>
      </c>
      <c r="M3361">
        <v>1190.28</v>
      </c>
      <c r="N3361">
        <v>0</v>
      </c>
      <c r="O3361">
        <v>50476.86</v>
      </c>
      <c r="P3361" t="s">
        <v>73</v>
      </c>
      <c r="Q3361" t="s">
        <v>26</v>
      </c>
    </row>
    <row r="3362" spans="1:17" x14ac:dyDescent="0.25">
      <c r="A3362" t="s">
        <v>3479</v>
      </c>
      <c r="B3362" s="1">
        <v>45998</v>
      </c>
      <c r="C3362" t="s">
        <v>79</v>
      </c>
      <c r="D3362" t="s">
        <v>107</v>
      </c>
      <c r="E3362" t="s">
        <v>41</v>
      </c>
      <c r="F3362" t="s">
        <v>50</v>
      </c>
      <c r="G3362" t="s">
        <v>43</v>
      </c>
      <c r="H3362" t="s">
        <v>67</v>
      </c>
      <c r="I3362" t="s">
        <v>103</v>
      </c>
      <c r="J3362">
        <v>28</v>
      </c>
      <c r="K3362">
        <v>39011.86</v>
      </c>
      <c r="L3362">
        <v>1092332.08</v>
      </c>
      <c r="M3362">
        <v>0</v>
      </c>
      <c r="N3362">
        <v>0</v>
      </c>
      <c r="O3362">
        <v>1092332.08</v>
      </c>
      <c r="P3362" t="s">
        <v>25</v>
      </c>
      <c r="Q3362" t="s">
        <v>26</v>
      </c>
    </row>
    <row r="3363" spans="1:17" x14ac:dyDescent="0.25">
      <c r="A3363" t="s">
        <v>3480</v>
      </c>
      <c r="B3363" s="1">
        <v>45973</v>
      </c>
      <c r="C3363" t="s">
        <v>79</v>
      </c>
      <c r="D3363" t="s">
        <v>107</v>
      </c>
      <c r="E3363" t="s">
        <v>35</v>
      </c>
      <c r="F3363" t="s">
        <v>42</v>
      </c>
      <c r="G3363" t="s">
        <v>63</v>
      </c>
      <c r="H3363" t="s">
        <v>94</v>
      </c>
      <c r="I3363" t="s">
        <v>144</v>
      </c>
      <c r="J3363">
        <v>21</v>
      </c>
      <c r="K3363">
        <v>4540.32</v>
      </c>
      <c r="L3363">
        <v>95346.72</v>
      </c>
      <c r="M3363">
        <v>0</v>
      </c>
      <c r="N3363">
        <v>0</v>
      </c>
      <c r="O3363">
        <v>95346.72</v>
      </c>
      <c r="P3363" t="s">
        <v>31</v>
      </c>
      <c r="Q3363" t="s">
        <v>32</v>
      </c>
    </row>
    <row r="3364" spans="1:17" x14ac:dyDescent="0.25">
      <c r="A3364" t="s">
        <v>3481</v>
      </c>
      <c r="B3364" s="1">
        <v>46008</v>
      </c>
      <c r="C3364" t="s">
        <v>79</v>
      </c>
      <c r="D3364" t="s">
        <v>80</v>
      </c>
      <c r="E3364" t="s">
        <v>20</v>
      </c>
      <c r="F3364" t="s">
        <v>50</v>
      </c>
      <c r="G3364" t="s">
        <v>51</v>
      </c>
      <c r="H3364" t="s">
        <v>23</v>
      </c>
      <c r="I3364" t="s">
        <v>99</v>
      </c>
      <c r="J3364">
        <v>8</v>
      </c>
      <c r="K3364">
        <v>13551.74</v>
      </c>
      <c r="L3364">
        <v>108413.92</v>
      </c>
      <c r="M3364">
        <v>16870.990000000002</v>
      </c>
      <c r="N3364">
        <v>10462.879999999999</v>
      </c>
      <c r="O3364">
        <v>81080.05</v>
      </c>
      <c r="P3364" t="s">
        <v>32</v>
      </c>
      <c r="Q3364" t="s">
        <v>32</v>
      </c>
    </row>
    <row r="3365" spans="1:17" x14ac:dyDescent="0.25">
      <c r="A3365" t="s">
        <v>3482</v>
      </c>
      <c r="B3365" s="1">
        <v>45996</v>
      </c>
      <c r="C3365" t="s">
        <v>79</v>
      </c>
      <c r="D3365" t="s">
        <v>101</v>
      </c>
      <c r="E3365" t="s">
        <v>35</v>
      </c>
      <c r="F3365" t="s">
        <v>137</v>
      </c>
      <c r="G3365" t="s">
        <v>37</v>
      </c>
      <c r="H3365" t="s">
        <v>94</v>
      </c>
      <c r="I3365" t="s">
        <v>177</v>
      </c>
      <c r="J3365">
        <v>42</v>
      </c>
      <c r="K3365">
        <v>22649.73</v>
      </c>
      <c r="L3365">
        <v>951288.66</v>
      </c>
      <c r="M3365">
        <v>0</v>
      </c>
      <c r="N3365">
        <v>0</v>
      </c>
      <c r="O3365">
        <v>951288.66</v>
      </c>
      <c r="P3365" t="s">
        <v>31</v>
      </c>
      <c r="Q3365" t="s">
        <v>32</v>
      </c>
    </row>
    <row r="3366" spans="1:17" x14ac:dyDescent="0.25">
      <c r="A3366" t="s">
        <v>3483</v>
      </c>
      <c r="B3366" s="1">
        <v>45971</v>
      </c>
      <c r="C3366" t="s">
        <v>79</v>
      </c>
      <c r="D3366" t="s">
        <v>80</v>
      </c>
      <c r="E3366" t="s">
        <v>35</v>
      </c>
      <c r="F3366" t="s">
        <v>50</v>
      </c>
      <c r="G3366" t="s">
        <v>102</v>
      </c>
      <c r="H3366" t="s">
        <v>38</v>
      </c>
      <c r="I3366" t="s">
        <v>39</v>
      </c>
      <c r="J3366">
        <v>13</v>
      </c>
      <c r="K3366">
        <v>3462.52</v>
      </c>
      <c r="L3366">
        <v>45012.76</v>
      </c>
      <c r="M3366">
        <v>0</v>
      </c>
      <c r="N3366">
        <v>0</v>
      </c>
      <c r="O3366">
        <v>45012.76</v>
      </c>
      <c r="P3366" t="s">
        <v>73</v>
      </c>
      <c r="Q3366" t="s">
        <v>32</v>
      </c>
    </row>
    <row r="3367" spans="1:17" x14ac:dyDescent="0.25">
      <c r="A3367" t="s">
        <v>3484</v>
      </c>
      <c r="B3367" s="1">
        <v>46006</v>
      </c>
      <c r="C3367" t="s">
        <v>54</v>
      </c>
      <c r="D3367" t="s">
        <v>97</v>
      </c>
      <c r="E3367" t="s">
        <v>20</v>
      </c>
      <c r="F3367" t="s">
        <v>84</v>
      </c>
      <c r="G3367" t="s">
        <v>138</v>
      </c>
      <c r="H3367" t="s">
        <v>57</v>
      </c>
      <c r="I3367" t="s">
        <v>148</v>
      </c>
      <c r="J3367">
        <v>19</v>
      </c>
      <c r="K3367">
        <v>5319.48</v>
      </c>
      <c r="L3367">
        <v>101070.12</v>
      </c>
      <c r="M3367">
        <v>0</v>
      </c>
      <c r="N3367">
        <v>0</v>
      </c>
      <c r="O3367">
        <v>101070.12</v>
      </c>
      <c r="P3367" t="s">
        <v>73</v>
      </c>
      <c r="Q3367" t="s">
        <v>32</v>
      </c>
    </row>
    <row r="3368" spans="1:17" x14ac:dyDescent="0.25">
      <c r="A3368" t="s">
        <v>3485</v>
      </c>
      <c r="B3368" s="1">
        <v>45973</v>
      </c>
      <c r="C3368" t="s">
        <v>18</v>
      </c>
      <c r="D3368" t="s">
        <v>34</v>
      </c>
      <c r="E3368" t="s">
        <v>20</v>
      </c>
      <c r="F3368" t="s">
        <v>36</v>
      </c>
      <c r="G3368" t="s">
        <v>22</v>
      </c>
      <c r="H3368" t="s">
        <v>94</v>
      </c>
      <c r="I3368" t="s">
        <v>193</v>
      </c>
      <c r="J3368">
        <v>43</v>
      </c>
      <c r="K3368">
        <v>49704.52</v>
      </c>
      <c r="L3368">
        <v>2137294.36</v>
      </c>
      <c r="M3368">
        <v>0</v>
      </c>
      <c r="N3368">
        <v>0</v>
      </c>
      <c r="O3368">
        <v>2137294.36</v>
      </c>
      <c r="P3368" t="s">
        <v>31</v>
      </c>
      <c r="Q3368" t="s">
        <v>32</v>
      </c>
    </row>
    <row r="3369" spans="1:17" x14ac:dyDescent="0.25">
      <c r="A3369" t="s">
        <v>3486</v>
      </c>
      <c r="B3369" s="1">
        <v>46012</v>
      </c>
      <c r="C3369" t="s">
        <v>79</v>
      </c>
      <c r="D3369" t="s">
        <v>107</v>
      </c>
      <c r="E3369" t="s">
        <v>41</v>
      </c>
      <c r="F3369" t="s">
        <v>84</v>
      </c>
      <c r="G3369" t="s">
        <v>37</v>
      </c>
      <c r="H3369" t="s">
        <v>23</v>
      </c>
      <c r="I3369" t="s">
        <v>52</v>
      </c>
      <c r="J3369">
        <v>37</v>
      </c>
      <c r="K3369">
        <v>24166.47</v>
      </c>
      <c r="L3369">
        <v>894159.39</v>
      </c>
      <c r="M3369">
        <v>101837.69</v>
      </c>
      <c r="N3369">
        <v>0</v>
      </c>
      <c r="O3369">
        <v>792321.7</v>
      </c>
      <c r="P3369" t="s">
        <v>31</v>
      </c>
      <c r="Q3369" t="s">
        <v>32</v>
      </c>
    </row>
    <row r="3370" spans="1:17" x14ac:dyDescent="0.25">
      <c r="A3370" t="s">
        <v>3487</v>
      </c>
      <c r="B3370" s="1">
        <v>45961</v>
      </c>
      <c r="C3370" t="s">
        <v>54</v>
      </c>
      <c r="D3370" t="s">
        <v>55</v>
      </c>
      <c r="E3370" t="s">
        <v>35</v>
      </c>
      <c r="F3370" t="s">
        <v>21</v>
      </c>
      <c r="G3370" t="s">
        <v>37</v>
      </c>
      <c r="H3370" t="s">
        <v>44</v>
      </c>
      <c r="I3370" t="s">
        <v>135</v>
      </c>
      <c r="J3370">
        <v>39</v>
      </c>
      <c r="K3370">
        <v>42071.199999999997</v>
      </c>
      <c r="L3370">
        <v>1640776.8</v>
      </c>
      <c r="M3370">
        <v>75218.720000000001</v>
      </c>
      <c r="N3370">
        <v>393621.81</v>
      </c>
      <c r="O3370">
        <v>1171936.27</v>
      </c>
      <c r="P3370" t="s">
        <v>31</v>
      </c>
      <c r="Q3370" t="s">
        <v>32</v>
      </c>
    </row>
    <row r="3371" spans="1:17" x14ac:dyDescent="0.25">
      <c r="A3371" t="s">
        <v>3488</v>
      </c>
      <c r="B3371" s="1">
        <v>46015</v>
      </c>
      <c r="C3371" t="s">
        <v>47</v>
      </c>
      <c r="D3371" t="s">
        <v>127</v>
      </c>
      <c r="E3371" t="s">
        <v>41</v>
      </c>
      <c r="F3371" t="s">
        <v>84</v>
      </c>
      <c r="G3371" t="s">
        <v>138</v>
      </c>
      <c r="H3371" t="s">
        <v>94</v>
      </c>
      <c r="I3371" t="s">
        <v>115</v>
      </c>
      <c r="J3371">
        <v>49</v>
      </c>
      <c r="K3371">
        <v>37114.550000000003</v>
      </c>
      <c r="L3371">
        <v>1818612.95</v>
      </c>
      <c r="M3371">
        <v>319975.94</v>
      </c>
      <c r="N3371">
        <v>0</v>
      </c>
      <c r="O3371">
        <v>1498637.01</v>
      </c>
      <c r="P3371" t="s">
        <v>25</v>
      </c>
      <c r="Q3371" t="s">
        <v>26</v>
      </c>
    </row>
    <row r="3372" spans="1:17" x14ac:dyDescent="0.25">
      <c r="A3372" t="s">
        <v>3489</v>
      </c>
      <c r="B3372" s="1">
        <v>45998</v>
      </c>
      <c r="C3372" t="s">
        <v>47</v>
      </c>
      <c r="D3372" t="s">
        <v>88</v>
      </c>
      <c r="E3372" t="s">
        <v>20</v>
      </c>
      <c r="F3372" t="s">
        <v>71</v>
      </c>
      <c r="G3372" t="s">
        <v>66</v>
      </c>
      <c r="H3372" t="s">
        <v>94</v>
      </c>
      <c r="I3372" t="s">
        <v>177</v>
      </c>
      <c r="J3372">
        <v>19</v>
      </c>
      <c r="K3372">
        <v>45883.42</v>
      </c>
      <c r="L3372">
        <v>871784.98</v>
      </c>
      <c r="M3372">
        <v>52309.03</v>
      </c>
      <c r="N3372">
        <v>0</v>
      </c>
      <c r="O3372">
        <v>819475.95</v>
      </c>
      <c r="P3372" t="s">
        <v>32</v>
      </c>
      <c r="Q3372" t="s">
        <v>32</v>
      </c>
    </row>
    <row r="3373" spans="1:17" x14ac:dyDescent="0.25">
      <c r="A3373" t="s">
        <v>3490</v>
      </c>
      <c r="B3373" s="1">
        <v>46021</v>
      </c>
      <c r="C3373" t="s">
        <v>79</v>
      </c>
      <c r="D3373" t="s">
        <v>91</v>
      </c>
      <c r="E3373" t="s">
        <v>35</v>
      </c>
      <c r="F3373" t="s">
        <v>105</v>
      </c>
      <c r="G3373" t="s">
        <v>138</v>
      </c>
      <c r="H3373" t="s">
        <v>23</v>
      </c>
      <c r="I3373" t="s">
        <v>99</v>
      </c>
      <c r="J3373">
        <v>11</v>
      </c>
      <c r="K3373">
        <v>11870.89</v>
      </c>
      <c r="L3373">
        <v>130579.79</v>
      </c>
      <c r="M3373">
        <v>11827.99</v>
      </c>
      <c r="N3373">
        <v>0</v>
      </c>
      <c r="O3373">
        <v>118751.8</v>
      </c>
      <c r="P3373" t="s">
        <v>25</v>
      </c>
      <c r="Q3373" t="s">
        <v>128</v>
      </c>
    </row>
    <row r="3374" spans="1:17" x14ac:dyDescent="0.25">
      <c r="A3374" t="s">
        <v>3491</v>
      </c>
      <c r="B3374" s="1">
        <v>45991</v>
      </c>
      <c r="C3374" t="s">
        <v>60</v>
      </c>
      <c r="D3374" t="s">
        <v>61</v>
      </c>
      <c r="E3374" t="s">
        <v>41</v>
      </c>
      <c r="F3374" t="s">
        <v>84</v>
      </c>
      <c r="G3374" t="s">
        <v>102</v>
      </c>
      <c r="H3374" t="s">
        <v>23</v>
      </c>
      <c r="I3374" t="s">
        <v>30</v>
      </c>
      <c r="J3374">
        <v>26</v>
      </c>
      <c r="K3374">
        <v>23790.35</v>
      </c>
      <c r="L3374">
        <v>618549.1</v>
      </c>
      <c r="M3374">
        <v>0</v>
      </c>
      <c r="N3374">
        <v>0</v>
      </c>
      <c r="O3374">
        <v>618549.1</v>
      </c>
      <c r="P3374" t="s">
        <v>32</v>
      </c>
      <c r="Q3374" t="s">
        <v>26</v>
      </c>
    </row>
    <row r="3375" spans="1:17" x14ac:dyDescent="0.25">
      <c r="A3375" t="s">
        <v>3492</v>
      </c>
      <c r="B3375" s="1">
        <v>45958</v>
      </c>
      <c r="C3375" t="s">
        <v>54</v>
      </c>
      <c r="D3375" t="s">
        <v>97</v>
      </c>
      <c r="E3375" t="s">
        <v>35</v>
      </c>
      <c r="F3375" t="s">
        <v>50</v>
      </c>
      <c r="G3375" t="s">
        <v>51</v>
      </c>
      <c r="H3375" t="s">
        <v>94</v>
      </c>
      <c r="I3375" t="s">
        <v>177</v>
      </c>
      <c r="J3375">
        <v>38</v>
      </c>
      <c r="K3375">
        <v>19985.400000000001</v>
      </c>
      <c r="L3375">
        <v>759445.2</v>
      </c>
      <c r="M3375">
        <v>150751.76999999999</v>
      </c>
      <c r="N3375">
        <v>123060.22</v>
      </c>
      <c r="O3375">
        <v>485633.21</v>
      </c>
      <c r="P3375" t="s">
        <v>31</v>
      </c>
      <c r="Q3375" t="s">
        <v>32</v>
      </c>
    </row>
    <row r="3376" spans="1:17" x14ac:dyDescent="0.25">
      <c r="A3376" t="s">
        <v>3493</v>
      </c>
      <c r="B3376" s="1">
        <v>45985</v>
      </c>
      <c r="C3376" t="s">
        <v>54</v>
      </c>
      <c r="D3376" t="s">
        <v>133</v>
      </c>
      <c r="E3376" t="s">
        <v>20</v>
      </c>
      <c r="F3376" t="s">
        <v>105</v>
      </c>
      <c r="G3376" t="s">
        <v>43</v>
      </c>
      <c r="H3376" t="s">
        <v>94</v>
      </c>
      <c r="I3376" t="s">
        <v>177</v>
      </c>
      <c r="J3376">
        <v>16</v>
      </c>
      <c r="K3376">
        <v>23046.74</v>
      </c>
      <c r="L3376">
        <v>368747.84</v>
      </c>
      <c r="M3376">
        <v>0</v>
      </c>
      <c r="N3376">
        <v>0</v>
      </c>
      <c r="O3376">
        <v>368747.84</v>
      </c>
      <c r="P3376" t="s">
        <v>25</v>
      </c>
      <c r="Q3376" t="s">
        <v>26</v>
      </c>
    </row>
    <row r="3377" spans="1:17" x14ac:dyDescent="0.25">
      <c r="A3377" t="s">
        <v>3494</v>
      </c>
      <c r="B3377" s="1">
        <v>46018</v>
      </c>
      <c r="C3377" t="s">
        <v>54</v>
      </c>
      <c r="D3377" t="s">
        <v>97</v>
      </c>
      <c r="E3377" t="s">
        <v>41</v>
      </c>
      <c r="F3377" t="s">
        <v>137</v>
      </c>
      <c r="G3377" t="s">
        <v>63</v>
      </c>
      <c r="H3377" t="s">
        <v>44</v>
      </c>
      <c r="I3377" t="s">
        <v>135</v>
      </c>
      <c r="J3377">
        <v>38</v>
      </c>
      <c r="K3377">
        <v>27944.69</v>
      </c>
      <c r="L3377">
        <v>1061898.22</v>
      </c>
      <c r="M3377">
        <v>109613.51</v>
      </c>
      <c r="N3377">
        <v>0</v>
      </c>
      <c r="O3377">
        <v>952284.71</v>
      </c>
      <c r="P3377" t="s">
        <v>73</v>
      </c>
      <c r="Q3377" t="s">
        <v>32</v>
      </c>
    </row>
    <row r="3378" spans="1:17" x14ac:dyDescent="0.25">
      <c r="A3378" t="s">
        <v>3495</v>
      </c>
      <c r="B3378" s="1">
        <v>45976</v>
      </c>
      <c r="C3378" t="s">
        <v>79</v>
      </c>
      <c r="D3378" t="s">
        <v>107</v>
      </c>
      <c r="E3378" t="s">
        <v>41</v>
      </c>
      <c r="F3378" t="s">
        <v>137</v>
      </c>
      <c r="G3378" t="s">
        <v>37</v>
      </c>
      <c r="H3378" t="s">
        <v>44</v>
      </c>
      <c r="I3378" t="s">
        <v>281</v>
      </c>
      <c r="J3378">
        <v>18</v>
      </c>
      <c r="K3378">
        <v>12621.43</v>
      </c>
      <c r="L3378">
        <v>227185.74</v>
      </c>
      <c r="M3378">
        <v>13660.84</v>
      </c>
      <c r="N3378">
        <v>64602.51</v>
      </c>
      <c r="O3378">
        <v>148922.39000000001</v>
      </c>
      <c r="P3378" t="s">
        <v>31</v>
      </c>
      <c r="Q3378" t="s">
        <v>32</v>
      </c>
    </row>
    <row r="3379" spans="1:17" x14ac:dyDescent="0.25">
      <c r="A3379" t="s">
        <v>3496</v>
      </c>
      <c r="B3379" s="1">
        <v>46036</v>
      </c>
      <c r="C3379" t="s">
        <v>60</v>
      </c>
      <c r="D3379" t="s">
        <v>65</v>
      </c>
      <c r="E3379" t="s">
        <v>35</v>
      </c>
      <c r="F3379" t="s">
        <v>84</v>
      </c>
      <c r="G3379" t="s">
        <v>138</v>
      </c>
      <c r="H3379" t="s">
        <v>23</v>
      </c>
      <c r="I3379" t="s">
        <v>110</v>
      </c>
      <c r="J3379">
        <v>18</v>
      </c>
      <c r="K3379">
        <v>5740.06</v>
      </c>
      <c r="L3379">
        <v>103321.08</v>
      </c>
      <c r="M3379">
        <v>15780.23</v>
      </c>
      <c r="N3379">
        <v>0</v>
      </c>
      <c r="O3379">
        <v>87540.85</v>
      </c>
      <c r="P3379" t="s">
        <v>25</v>
      </c>
      <c r="Q3379" t="s">
        <v>128</v>
      </c>
    </row>
    <row r="3380" spans="1:17" x14ac:dyDescent="0.25">
      <c r="A3380" t="s">
        <v>3497</v>
      </c>
      <c r="B3380" s="1">
        <v>46044</v>
      </c>
      <c r="C3380" t="s">
        <v>54</v>
      </c>
      <c r="D3380" t="s">
        <v>70</v>
      </c>
      <c r="E3380" t="s">
        <v>49</v>
      </c>
      <c r="F3380" t="s">
        <v>112</v>
      </c>
      <c r="G3380" t="s">
        <v>66</v>
      </c>
      <c r="H3380" t="s">
        <v>38</v>
      </c>
      <c r="I3380" t="s">
        <v>82</v>
      </c>
      <c r="J3380">
        <v>24</v>
      </c>
      <c r="K3380">
        <v>40205.97</v>
      </c>
      <c r="L3380">
        <v>964943.28</v>
      </c>
      <c r="M3380">
        <v>0</v>
      </c>
      <c r="N3380">
        <v>0</v>
      </c>
      <c r="O3380">
        <v>964943.28</v>
      </c>
      <c r="P3380" t="s">
        <v>25</v>
      </c>
      <c r="Q3380" t="s">
        <v>26</v>
      </c>
    </row>
    <row r="3381" spans="1:17" x14ac:dyDescent="0.25">
      <c r="A3381" t="s">
        <v>3498</v>
      </c>
      <c r="B3381" s="1">
        <v>45965</v>
      </c>
      <c r="C3381" t="s">
        <v>18</v>
      </c>
      <c r="D3381" t="s">
        <v>34</v>
      </c>
      <c r="E3381" t="s">
        <v>35</v>
      </c>
      <c r="F3381" t="s">
        <v>84</v>
      </c>
      <c r="G3381" t="s">
        <v>89</v>
      </c>
      <c r="H3381" t="s">
        <v>44</v>
      </c>
      <c r="I3381" t="s">
        <v>152</v>
      </c>
      <c r="J3381">
        <v>42</v>
      </c>
      <c r="K3381">
        <v>11593.1</v>
      </c>
      <c r="L3381">
        <v>486910.2</v>
      </c>
      <c r="M3381">
        <v>96479.15</v>
      </c>
      <c r="N3381">
        <v>0</v>
      </c>
      <c r="O3381">
        <v>390431.05</v>
      </c>
      <c r="P3381" t="s">
        <v>31</v>
      </c>
      <c r="Q3381" t="s">
        <v>32</v>
      </c>
    </row>
    <row r="3382" spans="1:17" x14ac:dyDescent="0.25">
      <c r="A3382" t="s">
        <v>3499</v>
      </c>
      <c r="B3382" s="1">
        <v>45969</v>
      </c>
      <c r="C3382" t="s">
        <v>18</v>
      </c>
      <c r="D3382" t="s">
        <v>19</v>
      </c>
      <c r="E3382" t="s">
        <v>20</v>
      </c>
      <c r="F3382" t="s">
        <v>62</v>
      </c>
      <c r="G3382" t="s">
        <v>22</v>
      </c>
      <c r="H3382" t="s">
        <v>57</v>
      </c>
      <c r="I3382" t="s">
        <v>160</v>
      </c>
      <c r="J3382">
        <v>42</v>
      </c>
      <c r="K3382">
        <v>11007.7</v>
      </c>
      <c r="L3382">
        <v>462323.4</v>
      </c>
      <c r="M3382">
        <v>83019.759999999995</v>
      </c>
      <c r="N3382">
        <v>121648.23</v>
      </c>
      <c r="O3382">
        <v>257655.41</v>
      </c>
      <c r="P3382" t="s">
        <v>32</v>
      </c>
      <c r="Q3382" t="s">
        <v>32</v>
      </c>
    </row>
    <row r="3383" spans="1:17" x14ac:dyDescent="0.25">
      <c r="A3383" t="s">
        <v>3500</v>
      </c>
      <c r="B3383" s="1">
        <v>46012</v>
      </c>
      <c r="C3383" t="s">
        <v>60</v>
      </c>
      <c r="D3383" t="s">
        <v>65</v>
      </c>
      <c r="E3383" t="s">
        <v>35</v>
      </c>
      <c r="F3383" t="s">
        <v>21</v>
      </c>
      <c r="G3383" t="s">
        <v>138</v>
      </c>
      <c r="H3383" t="s">
        <v>38</v>
      </c>
      <c r="I3383" t="s">
        <v>82</v>
      </c>
      <c r="J3383">
        <v>31</v>
      </c>
      <c r="K3383">
        <v>4599.75</v>
      </c>
      <c r="L3383">
        <v>142592.25</v>
      </c>
      <c r="M3383">
        <v>0</v>
      </c>
      <c r="N3383">
        <v>0</v>
      </c>
      <c r="O3383">
        <v>142592.25</v>
      </c>
      <c r="P3383" t="s">
        <v>73</v>
      </c>
      <c r="Q3383" t="s">
        <v>32</v>
      </c>
    </row>
    <row r="3384" spans="1:17" x14ac:dyDescent="0.25">
      <c r="A3384" t="s">
        <v>3501</v>
      </c>
      <c r="B3384" s="1">
        <v>45959</v>
      </c>
      <c r="C3384" t="s">
        <v>79</v>
      </c>
      <c r="D3384" t="s">
        <v>107</v>
      </c>
      <c r="E3384" t="s">
        <v>49</v>
      </c>
      <c r="F3384" t="s">
        <v>36</v>
      </c>
      <c r="G3384" t="s">
        <v>140</v>
      </c>
      <c r="H3384" t="s">
        <v>23</v>
      </c>
      <c r="I3384" t="s">
        <v>30</v>
      </c>
      <c r="J3384">
        <v>38</v>
      </c>
      <c r="K3384">
        <v>24931.66</v>
      </c>
      <c r="L3384">
        <v>947403.08</v>
      </c>
      <c r="M3384">
        <v>102329.93</v>
      </c>
      <c r="N3384">
        <v>0</v>
      </c>
      <c r="O3384">
        <v>845073.15</v>
      </c>
      <c r="P3384" t="s">
        <v>31</v>
      </c>
      <c r="Q3384" t="s">
        <v>32</v>
      </c>
    </row>
    <row r="3385" spans="1:17" x14ac:dyDescent="0.25">
      <c r="A3385" t="s">
        <v>3502</v>
      </c>
      <c r="B3385" s="1">
        <v>45971</v>
      </c>
      <c r="C3385" t="s">
        <v>18</v>
      </c>
      <c r="D3385" t="s">
        <v>28</v>
      </c>
      <c r="E3385" t="s">
        <v>20</v>
      </c>
      <c r="F3385" t="s">
        <v>71</v>
      </c>
      <c r="G3385" t="s">
        <v>66</v>
      </c>
      <c r="H3385" t="s">
        <v>38</v>
      </c>
      <c r="I3385" t="s">
        <v>86</v>
      </c>
      <c r="J3385">
        <v>20</v>
      </c>
      <c r="K3385">
        <v>13106.87</v>
      </c>
      <c r="L3385">
        <v>262137.4</v>
      </c>
      <c r="M3385">
        <v>12413.77</v>
      </c>
      <c r="N3385">
        <v>0</v>
      </c>
      <c r="O3385">
        <v>249723.63</v>
      </c>
      <c r="P3385" t="s">
        <v>32</v>
      </c>
      <c r="Q3385" t="s">
        <v>32</v>
      </c>
    </row>
    <row r="3386" spans="1:17" x14ac:dyDescent="0.25">
      <c r="A3386" t="s">
        <v>3503</v>
      </c>
      <c r="B3386" s="1">
        <v>45972</v>
      </c>
      <c r="C3386" t="s">
        <v>79</v>
      </c>
      <c r="D3386" t="s">
        <v>80</v>
      </c>
      <c r="E3386" t="s">
        <v>35</v>
      </c>
      <c r="F3386" t="s">
        <v>50</v>
      </c>
      <c r="G3386" t="s">
        <v>89</v>
      </c>
      <c r="H3386" t="s">
        <v>23</v>
      </c>
      <c r="I3386" t="s">
        <v>131</v>
      </c>
      <c r="J3386">
        <v>35</v>
      </c>
      <c r="K3386">
        <v>7886.22</v>
      </c>
      <c r="L3386">
        <v>276017.7</v>
      </c>
      <c r="M3386">
        <v>19583.23</v>
      </c>
      <c r="N3386">
        <v>0</v>
      </c>
      <c r="O3386">
        <v>256434.47</v>
      </c>
      <c r="P3386" t="s">
        <v>73</v>
      </c>
      <c r="Q3386" t="s">
        <v>32</v>
      </c>
    </row>
    <row r="3387" spans="1:17" x14ac:dyDescent="0.25">
      <c r="A3387" t="s">
        <v>3504</v>
      </c>
      <c r="B3387" s="1">
        <v>45987</v>
      </c>
      <c r="C3387" t="s">
        <v>60</v>
      </c>
      <c r="D3387" t="s">
        <v>123</v>
      </c>
      <c r="E3387" t="s">
        <v>35</v>
      </c>
      <c r="F3387" t="s">
        <v>112</v>
      </c>
      <c r="G3387" t="s">
        <v>22</v>
      </c>
      <c r="H3387" t="s">
        <v>44</v>
      </c>
      <c r="I3387" t="s">
        <v>45</v>
      </c>
      <c r="J3387">
        <v>6</v>
      </c>
      <c r="K3387">
        <v>13955.76</v>
      </c>
      <c r="L3387">
        <v>83734.559999999998</v>
      </c>
      <c r="M3387">
        <v>13631.27</v>
      </c>
      <c r="N3387">
        <v>13737.3</v>
      </c>
      <c r="O3387">
        <v>56365.99</v>
      </c>
      <c r="P3387" t="s">
        <v>25</v>
      </c>
      <c r="Q3387" t="s">
        <v>26</v>
      </c>
    </row>
    <row r="3388" spans="1:17" x14ac:dyDescent="0.25">
      <c r="A3388" t="s">
        <v>3505</v>
      </c>
      <c r="B3388" s="1">
        <v>46042</v>
      </c>
      <c r="C3388" t="s">
        <v>79</v>
      </c>
      <c r="D3388" t="s">
        <v>91</v>
      </c>
      <c r="E3388" t="s">
        <v>49</v>
      </c>
      <c r="F3388" t="s">
        <v>42</v>
      </c>
      <c r="G3388" t="s">
        <v>140</v>
      </c>
      <c r="H3388" t="s">
        <v>23</v>
      </c>
      <c r="I3388" t="s">
        <v>24</v>
      </c>
      <c r="J3388">
        <v>36</v>
      </c>
      <c r="K3388">
        <v>36727.129999999997</v>
      </c>
      <c r="L3388">
        <v>1322176.68</v>
      </c>
      <c r="M3388">
        <v>193136.34</v>
      </c>
      <c r="N3388">
        <v>0</v>
      </c>
      <c r="O3388">
        <v>1129040.3400000001</v>
      </c>
      <c r="P3388" t="s">
        <v>31</v>
      </c>
      <c r="Q3388" t="s">
        <v>32</v>
      </c>
    </row>
    <row r="3389" spans="1:17" x14ac:dyDescent="0.25">
      <c r="A3389" t="s">
        <v>3506</v>
      </c>
      <c r="B3389" s="1">
        <v>45975</v>
      </c>
      <c r="C3389" t="s">
        <v>18</v>
      </c>
      <c r="D3389" t="s">
        <v>28</v>
      </c>
      <c r="E3389" t="s">
        <v>35</v>
      </c>
      <c r="F3389" t="s">
        <v>42</v>
      </c>
      <c r="G3389" t="s">
        <v>85</v>
      </c>
      <c r="H3389" t="s">
        <v>57</v>
      </c>
      <c r="I3389" t="s">
        <v>92</v>
      </c>
      <c r="J3389">
        <v>7</v>
      </c>
      <c r="K3389">
        <v>3538.8</v>
      </c>
      <c r="L3389">
        <v>24771.599999999999</v>
      </c>
      <c r="M3389">
        <v>4133.1400000000003</v>
      </c>
      <c r="N3389">
        <v>0</v>
      </c>
      <c r="O3389">
        <v>20638.46</v>
      </c>
      <c r="P3389" t="s">
        <v>31</v>
      </c>
      <c r="Q3389" t="s">
        <v>32</v>
      </c>
    </row>
    <row r="3390" spans="1:17" x14ac:dyDescent="0.25">
      <c r="A3390" t="s">
        <v>3507</v>
      </c>
      <c r="B3390" s="1">
        <v>46008</v>
      </c>
      <c r="C3390" t="s">
        <v>54</v>
      </c>
      <c r="D3390" t="s">
        <v>70</v>
      </c>
      <c r="E3390" t="s">
        <v>20</v>
      </c>
      <c r="F3390" t="s">
        <v>137</v>
      </c>
      <c r="G3390" t="s">
        <v>29</v>
      </c>
      <c r="H3390" t="s">
        <v>57</v>
      </c>
      <c r="I3390" t="s">
        <v>92</v>
      </c>
      <c r="J3390">
        <v>14</v>
      </c>
      <c r="K3390">
        <v>21479.38</v>
      </c>
      <c r="L3390">
        <v>300711.32</v>
      </c>
      <c r="M3390">
        <v>51809.57</v>
      </c>
      <c r="N3390">
        <v>0</v>
      </c>
      <c r="O3390">
        <v>248901.75</v>
      </c>
      <c r="P3390" t="s">
        <v>73</v>
      </c>
      <c r="Q3390" t="s">
        <v>26</v>
      </c>
    </row>
    <row r="3391" spans="1:17" x14ac:dyDescent="0.25">
      <c r="A3391" t="s">
        <v>3508</v>
      </c>
      <c r="B3391" s="1">
        <v>45958</v>
      </c>
      <c r="C3391" t="s">
        <v>79</v>
      </c>
      <c r="D3391" t="s">
        <v>101</v>
      </c>
      <c r="E3391" t="s">
        <v>41</v>
      </c>
      <c r="F3391" t="s">
        <v>36</v>
      </c>
      <c r="G3391" t="s">
        <v>56</v>
      </c>
      <c r="H3391" t="s">
        <v>67</v>
      </c>
      <c r="I3391" t="s">
        <v>77</v>
      </c>
      <c r="J3391">
        <v>19</v>
      </c>
      <c r="K3391">
        <v>42845.33</v>
      </c>
      <c r="L3391">
        <v>814061.27</v>
      </c>
      <c r="M3391">
        <v>153399.76</v>
      </c>
      <c r="N3391">
        <v>0</v>
      </c>
      <c r="O3391">
        <v>660661.51</v>
      </c>
      <c r="P3391" t="s">
        <v>25</v>
      </c>
      <c r="Q3391" t="s">
        <v>26</v>
      </c>
    </row>
    <row r="3392" spans="1:17" x14ac:dyDescent="0.25">
      <c r="A3392" t="s">
        <v>3509</v>
      </c>
      <c r="B3392" s="1">
        <v>45964</v>
      </c>
      <c r="C3392" t="s">
        <v>60</v>
      </c>
      <c r="D3392" t="s">
        <v>65</v>
      </c>
      <c r="E3392" t="s">
        <v>49</v>
      </c>
      <c r="F3392" t="s">
        <v>42</v>
      </c>
      <c r="G3392" t="s">
        <v>56</v>
      </c>
      <c r="H3392" t="s">
        <v>38</v>
      </c>
      <c r="I3392" t="s">
        <v>108</v>
      </c>
      <c r="J3392">
        <v>2</v>
      </c>
      <c r="K3392">
        <v>9367.26</v>
      </c>
      <c r="L3392">
        <v>18734.52</v>
      </c>
      <c r="M3392">
        <v>0</v>
      </c>
      <c r="N3392">
        <v>0</v>
      </c>
      <c r="O3392">
        <v>18734.52</v>
      </c>
      <c r="P3392" t="s">
        <v>25</v>
      </c>
      <c r="Q3392" t="s">
        <v>26</v>
      </c>
    </row>
    <row r="3393" spans="1:17" x14ac:dyDescent="0.25">
      <c r="A3393" t="s">
        <v>3510</v>
      </c>
      <c r="B3393" s="1">
        <v>45996</v>
      </c>
      <c r="C3393" t="s">
        <v>54</v>
      </c>
      <c r="D3393" t="s">
        <v>133</v>
      </c>
      <c r="E3393" t="s">
        <v>35</v>
      </c>
      <c r="F3393" t="s">
        <v>62</v>
      </c>
      <c r="G3393" t="s">
        <v>89</v>
      </c>
      <c r="H3393" t="s">
        <v>38</v>
      </c>
      <c r="I3393" t="s">
        <v>175</v>
      </c>
      <c r="J3393">
        <v>8</v>
      </c>
      <c r="K3393">
        <v>17431.310000000001</v>
      </c>
      <c r="L3393">
        <v>139450.48000000001</v>
      </c>
      <c r="M3393">
        <v>22979.68</v>
      </c>
      <c r="N3393">
        <v>36108.14</v>
      </c>
      <c r="O3393">
        <v>80362.66</v>
      </c>
      <c r="P3393" t="s">
        <v>25</v>
      </c>
      <c r="Q3393" t="s">
        <v>26</v>
      </c>
    </row>
    <row r="3394" spans="1:17" x14ac:dyDescent="0.25">
      <c r="A3394" t="s">
        <v>3511</v>
      </c>
      <c r="B3394" s="1">
        <v>46013</v>
      </c>
      <c r="C3394" t="s">
        <v>47</v>
      </c>
      <c r="D3394" t="s">
        <v>114</v>
      </c>
      <c r="E3394" t="s">
        <v>49</v>
      </c>
      <c r="F3394" t="s">
        <v>42</v>
      </c>
      <c r="G3394" t="s">
        <v>22</v>
      </c>
      <c r="H3394" t="s">
        <v>57</v>
      </c>
      <c r="I3394" t="s">
        <v>58</v>
      </c>
      <c r="J3394">
        <v>27</v>
      </c>
      <c r="K3394">
        <v>10650.65</v>
      </c>
      <c r="L3394">
        <v>287567.55</v>
      </c>
      <c r="M3394">
        <v>0</v>
      </c>
      <c r="N3394">
        <v>0</v>
      </c>
      <c r="O3394">
        <v>287567.55</v>
      </c>
      <c r="P3394" t="s">
        <v>31</v>
      </c>
      <c r="Q3394" t="s">
        <v>32</v>
      </c>
    </row>
    <row r="3395" spans="1:17" x14ac:dyDescent="0.25">
      <c r="A3395" t="s">
        <v>3512</v>
      </c>
      <c r="B3395" s="1">
        <v>45955</v>
      </c>
      <c r="C3395" t="s">
        <v>47</v>
      </c>
      <c r="D3395" t="s">
        <v>48</v>
      </c>
      <c r="E3395" t="s">
        <v>35</v>
      </c>
      <c r="F3395" t="s">
        <v>112</v>
      </c>
      <c r="G3395" t="s">
        <v>89</v>
      </c>
      <c r="H3395" t="s">
        <v>67</v>
      </c>
      <c r="I3395" t="s">
        <v>170</v>
      </c>
      <c r="J3395">
        <v>4</v>
      </c>
      <c r="K3395">
        <v>41749.99</v>
      </c>
      <c r="L3395">
        <v>166999.96</v>
      </c>
      <c r="M3395">
        <v>26309.73</v>
      </c>
      <c r="N3395">
        <v>0</v>
      </c>
      <c r="O3395">
        <v>140690.23000000001</v>
      </c>
      <c r="P3395" t="s">
        <v>32</v>
      </c>
      <c r="Q3395" t="s">
        <v>32</v>
      </c>
    </row>
    <row r="3396" spans="1:17" x14ac:dyDescent="0.25">
      <c r="A3396" t="s">
        <v>3513</v>
      </c>
      <c r="B3396" s="1">
        <v>46043</v>
      </c>
      <c r="C3396" t="s">
        <v>47</v>
      </c>
      <c r="D3396" t="s">
        <v>88</v>
      </c>
      <c r="E3396" t="s">
        <v>41</v>
      </c>
      <c r="F3396" t="s">
        <v>71</v>
      </c>
      <c r="G3396" t="s">
        <v>66</v>
      </c>
      <c r="H3396" t="s">
        <v>57</v>
      </c>
      <c r="I3396" t="s">
        <v>72</v>
      </c>
      <c r="J3396">
        <v>46</v>
      </c>
      <c r="K3396">
        <v>27009.37</v>
      </c>
      <c r="L3396">
        <v>1242431.02</v>
      </c>
      <c r="M3396">
        <v>99061.54</v>
      </c>
      <c r="N3396">
        <v>0</v>
      </c>
      <c r="O3396">
        <v>1143369.48</v>
      </c>
      <c r="P3396" t="s">
        <v>31</v>
      </c>
      <c r="Q3396" t="s">
        <v>32</v>
      </c>
    </row>
    <row r="3397" spans="1:17" x14ac:dyDescent="0.25">
      <c r="A3397" t="s">
        <v>3514</v>
      </c>
      <c r="B3397" s="1">
        <v>46008</v>
      </c>
      <c r="C3397" t="s">
        <v>79</v>
      </c>
      <c r="D3397" t="s">
        <v>107</v>
      </c>
      <c r="E3397" t="s">
        <v>41</v>
      </c>
      <c r="F3397" t="s">
        <v>21</v>
      </c>
      <c r="G3397" t="s">
        <v>63</v>
      </c>
      <c r="H3397" t="s">
        <v>44</v>
      </c>
      <c r="I3397" t="s">
        <v>141</v>
      </c>
      <c r="J3397">
        <v>9</v>
      </c>
      <c r="K3397">
        <v>39430.39</v>
      </c>
      <c r="L3397">
        <v>354873.51</v>
      </c>
      <c r="M3397">
        <v>30959.43</v>
      </c>
      <c r="N3397">
        <v>0</v>
      </c>
      <c r="O3397">
        <v>323914.08</v>
      </c>
      <c r="P3397" t="s">
        <v>31</v>
      </c>
      <c r="Q3397" t="s">
        <v>32</v>
      </c>
    </row>
    <row r="3398" spans="1:17" x14ac:dyDescent="0.25">
      <c r="A3398" t="s">
        <v>3515</v>
      </c>
      <c r="B3398" s="1">
        <v>46027</v>
      </c>
      <c r="C3398" t="s">
        <v>79</v>
      </c>
      <c r="D3398" t="s">
        <v>107</v>
      </c>
      <c r="E3398" t="s">
        <v>41</v>
      </c>
      <c r="F3398" t="s">
        <v>42</v>
      </c>
      <c r="G3398" t="s">
        <v>43</v>
      </c>
      <c r="H3398" t="s">
        <v>23</v>
      </c>
      <c r="I3398" t="s">
        <v>24</v>
      </c>
      <c r="J3398">
        <v>12</v>
      </c>
      <c r="K3398">
        <v>7175.4</v>
      </c>
      <c r="L3398">
        <v>86104.8</v>
      </c>
      <c r="M3398">
        <v>0</v>
      </c>
      <c r="N3398">
        <v>0</v>
      </c>
      <c r="O3398">
        <v>86104.8</v>
      </c>
      <c r="P3398" t="s">
        <v>73</v>
      </c>
      <c r="Q3398" t="s">
        <v>26</v>
      </c>
    </row>
    <row r="3399" spans="1:17" x14ac:dyDescent="0.25">
      <c r="A3399" t="s">
        <v>3516</v>
      </c>
      <c r="B3399" s="1">
        <v>46010</v>
      </c>
      <c r="C3399" t="s">
        <v>79</v>
      </c>
      <c r="D3399" t="s">
        <v>80</v>
      </c>
      <c r="E3399" t="s">
        <v>49</v>
      </c>
      <c r="F3399" t="s">
        <v>105</v>
      </c>
      <c r="G3399" t="s">
        <v>138</v>
      </c>
      <c r="H3399" t="s">
        <v>67</v>
      </c>
      <c r="I3399" t="s">
        <v>154</v>
      </c>
      <c r="J3399">
        <v>41</v>
      </c>
      <c r="K3399">
        <v>44583.61</v>
      </c>
      <c r="L3399">
        <v>1827928.01</v>
      </c>
      <c r="M3399">
        <v>40707.29</v>
      </c>
      <c r="N3399">
        <v>0</v>
      </c>
      <c r="O3399">
        <v>1787220.72</v>
      </c>
      <c r="P3399" t="s">
        <v>25</v>
      </c>
      <c r="Q3399" t="s">
        <v>26</v>
      </c>
    </row>
    <row r="3400" spans="1:17" x14ac:dyDescent="0.25">
      <c r="A3400" t="s">
        <v>3517</v>
      </c>
      <c r="B3400" s="1">
        <v>45985</v>
      </c>
      <c r="C3400" t="s">
        <v>79</v>
      </c>
      <c r="D3400" t="s">
        <v>91</v>
      </c>
      <c r="E3400" t="s">
        <v>35</v>
      </c>
      <c r="F3400" t="s">
        <v>71</v>
      </c>
      <c r="G3400" t="s">
        <v>37</v>
      </c>
      <c r="H3400" t="s">
        <v>23</v>
      </c>
      <c r="I3400" t="s">
        <v>30</v>
      </c>
      <c r="J3400">
        <v>26</v>
      </c>
      <c r="K3400">
        <v>23352.71</v>
      </c>
      <c r="L3400">
        <v>607170.46</v>
      </c>
      <c r="M3400">
        <v>24476.97</v>
      </c>
      <c r="N3400">
        <v>0</v>
      </c>
      <c r="O3400">
        <v>582693.49</v>
      </c>
      <c r="P3400" t="s">
        <v>73</v>
      </c>
      <c r="Q3400" t="s">
        <v>32</v>
      </c>
    </row>
    <row r="3401" spans="1:17" x14ac:dyDescent="0.25">
      <c r="A3401" t="s">
        <v>3518</v>
      </c>
      <c r="B3401" s="1">
        <v>46005</v>
      </c>
      <c r="C3401" t="s">
        <v>47</v>
      </c>
      <c r="D3401" t="s">
        <v>88</v>
      </c>
      <c r="E3401" t="s">
        <v>49</v>
      </c>
      <c r="F3401" t="s">
        <v>62</v>
      </c>
      <c r="G3401" t="s">
        <v>85</v>
      </c>
      <c r="H3401" t="s">
        <v>23</v>
      </c>
      <c r="I3401" t="s">
        <v>52</v>
      </c>
      <c r="J3401">
        <v>28</v>
      </c>
      <c r="K3401">
        <v>3633.45</v>
      </c>
      <c r="L3401">
        <v>101736.6</v>
      </c>
      <c r="M3401">
        <v>3736.21</v>
      </c>
      <c r="N3401">
        <v>0</v>
      </c>
      <c r="O3401">
        <v>98000.39</v>
      </c>
      <c r="P3401" t="s">
        <v>25</v>
      </c>
      <c r="Q3401" t="s">
        <v>26</v>
      </c>
    </row>
    <row r="3402" spans="1:17" x14ac:dyDescent="0.25">
      <c r="A3402" t="s">
        <v>3519</v>
      </c>
      <c r="B3402" s="1">
        <v>45999</v>
      </c>
      <c r="C3402" t="s">
        <v>47</v>
      </c>
      <c r="D3402" t="s">
        <v>114</v>
      </c>
      <c r="E3402" t="s">
        <v>35</v>
      </c>
      <c r="F3402" t="s">
        <v>62</v>
      </c>
      <c r="G3402" t="s">
        <v>43</v>
      </c>
      <c r="H3402" t="s">
        <v>57</v>
      </c>
      <c r="I3402" t="s">
        <v>148</v>
      </c>
      <c r="J3402">
        <v>43</v>
      </c>
      <c r="K3402">
        <v>16120.37</v>
      </c>
      <c r="L3402">
        <v>693175.91</v>
      </c>
      <c r="M3402">
        <v>0</v>
      </c>
      <c r="N3402">
        <v>0</v>
      </c>
      <c r="O3402">
        <v>693175.91</v>
      </c>
      <c r="P3402" t="s">
        <v>25</v>
      </c>
      <c r="Q3402" t="s">
        <v>26</v>
      </c>
    </row>
    <row r="3403" spans="1:17" x14ac:dyDescent="0.25">
      <c r="A3403" t="s">
        <v>3520</v>
      </c>
      <c r="B3403" s="1">
        <v>45974</v>
      </c>
      <c r="C3403" t="s">
        <v>18</v>
      </c>
      <c r="D3403" t="s">
        <v>28</v>
      </c>
      <c r="E3403" t="s">
        <v>35</v>
      </c>
      <c r="F3403" t="s">
        <v>105</v>
      </c>
      <c r="G3403" t="s">
        <v>140</v>
      </c>
      <c r="H3403" t="s">
        <v>23</v>
      </c>
      <c r="I3403" t="s">
        <v>110</v>
      </c>
      <c r="J3403">
        <v>1</v>
      </c>
      <c r="K3403">
        <v>34880.17</v>
      </c>
      <c r="L3403">
        <v>34880.17</v>
      </c>
      <c r="M3403">
        <v>5334.01</v>
      </c>
      <c r="N3403">
        <v>0</v>
      </c>
      <c r="O3403">
        <v>29546.16</v>
      </c>
      <c r="P3403" t="s">
        <v>31</v>
      </c>
      <c r="Q3403" t="s">
        <v>32</v>
      </c>
    </row>
    <row r="3404" spans="1:17" x14ac:dyDescent="0.25">
      <c r="A3404" t="s">
        <v>3521</v>
      </c>
      <c r="B3404" s="1">
        <v>45979</v>
      </c>
      <c r="C3404" t="s">
        <v>47</v>
      </c>
      <c r="D3404" t="s">
        <v>127</v>
      </c>
      <c r="E3404" t="s">
        <v>20</v>
      </c>
      <c r="F3404" t="s">
        <v>84</v>
      </c>
      <c r="G3404" t="s">
        <v>63</v>
      </c>
      <c r="H3404" t="s">
        <v>57</v>
      </c>
      <c r="I3404" t="s">
        <v>92</v>
      </c>
      <c r="J3404">
        <v>40</v>
      </c>
      <c r="K3404">
        <v>46731.19</v>
      </c>
      <c r="L3404">
        <v>1869247.6</v>
      </c>
      <c r="M3404">
        <v>152181.99</v>
      </c>
      <c r="N3404">
        <v>0</v>
      </c>
      <c r="O3404">
        <v>1717065.61</v>
      </c>
      <c r="P3404" t="s">
        <v>32</v>
      </c>
      <c r="Q3404" t="s">
        <v>32</v>
      </c>
    </row>
    <row r="3405" spans="1:17" x14ac:dyDescent="0.25">
      <c r="A3405" t="s">
        <v>3522</v>
      </c>
      <c r="B3405" s="1">
        <v>45984</v>
      </c>
      <c r="C3405" t="s">
        <v>54</v>
      </c>
      <c r="D3405" t="s">
        <v>133</v>
      </c>
      <c r="E3405" t="s">
        <v>41</v>
      </c>
      <c r="F3405" t="s">
        <v>84</v>
      </c>
      <c r="G3405" t="s">
        <v>29</v>
      </c>
      <c r="H3405" t="s">
        <v>44</v>
      </c>
      <c r="I3405" t="s">
        <v>124</v>
      </c>
      <c r="J3405">
        <v>31</v>
      </c>
      <c r="K3405">
        <v>2557.36</v>
      </c>
      <c r="L3405">
        <v>79278.16</v>
      </c>
      <c r="M3405">
        <v>4318.67</v>
      </c>
      <c r="N3405">
        <v>0</v>
      </c>
      <c r="O3405">
        <v>74959.490000000005</v>
      </c>
      <c r="P3405" t="s">
        <v>32</v>
      </c>
      <c r="Q3405" t="s">
        <v>26</v>
      </c>
    </row>
    <row r="3406" spans="1:17" x14ac:dyDescent="0.25">
      <c r="A3406" t="s">
        <v>3523</v>
      </c>
      <c r="B3406" s="1">
        <v>45962</v>
      </c>
      <c r="C3406" t="s">
        <v>79</v>
      </c>
      <c r="D3406" t="s">
        <v>107</v>
      </c>
      <c r="E3406" t="s">
        <v>49</v>
      </c>
      <c r="F3406" t="s">
        <v>21</v>
      </c>
      <c r="G3406" t="s">
        <v>37</v>
      </c>
      <c r="H3406" t="s">
        <v>94</v>
      </c>
      <c r="I3406" t="s">
        <v>115</v>
      </c>
      <c r="J3406">
        <v>46</v>
      </c>
      <c r="K3406">
        <v>11159.46</v>
      </c>
      <c r="L3406">
        <v>513335.16</v>
      </c>
      <c r="M3406">
        <v>0</v>
      </c>
      <c r="N3406">
        <v>0</v>
      </c>
      <c r="O3406">
        <v>513335.16</v>
      </c>
      <c r="P3406" t="s">
        <v>32</v>
      </c>
      <c r="Q3406" t="s">
        <v>32</v>
      </c>
    </row>
    <row r="3407" spans="1:17" x14ac:dyDescent="0.25">
      <c r="A3407" t="s">
        <v>3524</v>
      </c>
      <c r="B3407" s="1">
        <v>46009</v>
      </c>
      <c r="C3407" t="s">
        <v>79</v>
      </c>
      <c r="D3407" t="s">
        <v>80</v>
      </c>
      <c r="E3407" t="s">
        <v>20</v>
      </c>
      <c r="F3407" t="s">
        <v>42</v>
      </c>
      <c r="G3407" t="s">
        <v>102</v>
      </c>
      <c r="H3407" t="s">
        <v>67</v>
      </c>
      <c r="I3407" t="s">
        <v>77</v>
      </c>
      <c r="J3407">
        <v>42</v>
      </c>
      <c r="K3407">
        <v>46051.199999999997</v>
      </c>
      <c r="L3407">
        <v>1934150.4</v>
      </c>
      <c r="M3407">
        <v>73458.490000000005</v>
      </c>
      <c r="N3407">
        <v>0</v>
      </c>
      <c r="O3407">
        <v>1860691.91</v>
      </c>
      <c r="P3407" t="s">
        <v>25</v>
      </c>
      <c r="Q3407" t="s">
        <v>26</v>
      </c>
    </row>
    <row r="3408" spans="1:17" x14ac:dyDescent="0.25">
      <c r="A3408" t="s">
        <v>3525</v>
      </c>
      <c r="B3408" s="1">
        <v>46030</v>
      </c>
      <c r="C3408" t="s">
        <v>47</v>
      </c>
      <c r="D3408" t="s">
        <v>127</v>
      </c>
      <c r="E3408" t="s">
        <v>41</v>
      </c>
      <c r="F3408" t="s">
        <v>36</v>
      </c>
      <c r="G3408" t="s">
        <v>63</v>
      </c>
      <c r="H3408" t="s">
        <v>23</v>
      </c>
      <c r="I3408" t="s">
        <v>131</v>
      </c>
      <c r="J3408">
        <v>18</v>
      </c>
      <c r="K3408">
        <v>11487.92</v>
      </c>
      <c r="L3408">
        <v>206782.56</v>
      </c>
      <c r="M3408">
        <v>22884.78</v>
      </c>
      <c r="N3408">
        <v>0</v>
      </c>
      <c r="O3408">
        <v>183897.78</v>
      </c>
      <c r="P3408" t="s">
        <v>73</v>
      </c>
      <c r="Q3408" t="s">
        <v>32</v>
      </c>
    </row>
    <row r="3409" spans="1:17" x14ac:dyDescent="0.25">
      <c r="A3409" t="s">
        <v>3526</v>
      </c>
      <c r="B3409" s="1">
        <v>46008</v>
      </c>
      <c r="C3409" t="s">
        <v>79</v>
      </c>
      <c r="D3409" t="s">
        <v>101</v>
      </c>
      <c r="E3409" t="s">
        <v>49</v>
      </c>
      <c r="F3409" t="s">
        <v>137</v>
      </c>
      <c r="G3409" t="s">
        <v>22</v>
      </c>
      <c r="H3409" t="s">
        <v>67</v>
      </c>
      <c r="I3409" t="s">
        <v>103</v>
      </c>
      <c r="J3409">
        <v>21</v>
      </c>
      <c r="K3409">
        <v>43948.39</v>
      </c>
      <c r="L3409">
        <v>922916.19</v>
      </c>
      <c r="M3409">
        <v>134600.76999999999</v>
      </c>
      <c r="N3409">
        <v>88978.19</v>
      </c>
      <c r="O3409">
        <v>699337.23</v>
      </c>
      <c r="P3409" t="s">
        <v>31</v>
      </c>
      <c r="Q3409" t="s">
        <v>32</v>
      </c>
    </row>
    <row r="3410" spans="1:17" x14ac:dyDescent="0.25">
      <c r="A3410" t="s">
        <v>3527</v>
      </c>
      <c r="B3410" s="1">
        <v>45972</v>
      </c>
      <c r="C3410" t="s">
        <v>47</v>
      </c>
      <c r="D3410" t="s">
        <v>114</v>
      </c>
      <c r="E3410" t="s">
        <v>49</v>
      </c>
      <c r="F3410" t="s">
        <v>105</v>
      </c>
      <c r="G3410" t="s">
        <v>102</v>
      </c>
      <c r="H3410" t="s">
        <v>38</v>
      </c>
      <c r="I3410" t="s">
        <v>82</v>
      </c>
      <c r="J3410">
        <v>39</v>
      </c>
      <c r="K3410">
        <v>48427.94</v>
      </c>
      <c r="L3410">
        <v>1888689.66</v>
      </c>
      <c r="M3410">
        <v>139760.91</v>
      </c>
      <c r="N3410">
        <v>0</v>
      </c>
      <c r="O3410">
        <v>1748928.75</v>
      </c>
      <c r="P3410" t="s">
        <v>73</v>
      </c>
      <c r="Q3410" t="s">
        <v>32</v>
      </c>
    </row>
    <row r="3411" spans="1:17" x14ac:dyDescent="0.25">
      <c r="A3411" t="s">
        <v>3528</v>
      </c>
      <c r="B3411" s="1">
        <v>45971</v>
      </c>
      <c r="C3411" t="s">
        <v>18</v>
      </c>
      <c r="D3411" t="s">
        <v>75</v>
      </c>
      <c r="E3411" t="s">
        <v>41</v>
      </c>
      <c r="F3411" t="s">
        <v>36</v>
      </c>
      <c r="G3411" t="s">
        <v>98</v>
      </c>
      <c r="H3411" t="s">
        <v>57</v>
      </c>
      <c r="I3411" t="s">
        <v>72</v>
      </c>
      <c r="J3411">
        <v>26</v>
      </c>
      <c r="K3411">
        <v>25626.38</v>
      </c>
      <c r="L3411">
        <v>666285.88</v>
      </c>
      <c r="M3411">
        <v>0</v>
      </c>
      <c r="N3411">
        <v>0</v>
      </c>
      <c r="O3411">
        <v>666285.88</v>
      </c>
      <c r="P3411" t="s">
        <v>25</v>
      </c>
      <c r="Q3411" t="s">
        <v>26</v>
      </c>
    </row>
    <row r="3412" spans="1:17" x14ac:dyDescent="0.25">
      <c r="A3412" t="s">
        <v>3529</v>
      </c>
      <c r="B3412" s="1">
        <v>45994</v>
      </c>
      <c r="C3412" t="s">
        <v>79</v>
      </c>
      <c r="D3412" t="s">
        <v>80</v>
      </c>
      <c r="E3412" t="s">
        <v>41</v>
      </c>
      <c r="F3412" t="s">
        <v>42</v>
      </c>
      <c r="G3412" t="s">
        <v>98</v>
      </c>
      <c r="H3412" t="s">
        <v>38</v>
      </c>
      <c r="I3412" t="s">
        <v>108</v>
      </c>
      <c r="J3412">
        <v>11</v>
      </c>
      <c r="K3412">
        <v>30733.4</v>
      </c>
      <c r="L3412">
        <v>338067.4</v>
      </c>
      <c r="M3412">
        <v>8985.33</v>
      </c>
      <c r="N3412">
        <v>0</v>
      </c>
      <c r="O3412">
        <v>329082.07</v>
      </c>
      <c r="P3412" t="s">
        <v>25</v>
      </c>
      <c r="Q3412" t="s">
        <v>26</v>
      </c>
    </row>
    <row r="3413" spans="1:17" x14ac:dyDescent="0.25">
      <c r="A3413" t="s">
        <v>3530</v>
      </c>
      <c r="B3413" s="1">
        <v>46036</v>
      </c>
      <c r="C3413" t="s">
        <v>54</v>
      </c>
      <c r="D3413" t="s">
        <v>133</v>
      </c>
      <c r="E3413" t="s">
        <v>35</v>
      </c>
      <c r="F3413" t="s">
        <v>42</v>
      </c>
      <c r="G3413" t="s">
        <v>29</v>
      </c>
      <c r="H3413" t="s">
        <v>94</v>
      </c>
      <c r="I3413" t="s">
        <v>115</v>
      </c>
      <c r="J3413">
        <v>7</v>
      </c>
      <c r="K3413">
        <v>672.91</v>
      </c>
      <c r="L3413">
        <v>4710.37</v>
      </c>
      <c r="M3413">
        <v>93.66</v>
      </c>
      <c r="N3413">
        <v>0</v>
      </c>
      <c r="O3413">
        <v>4616.71</v>
      </c>
      <c r="P3413" t="s">
        <v>73</v>
      </c>
      <c r="Q3413" t="s">
        <v>32</v>
      </c>
    </row>
    <row r="3414" spans="1:17" x14ac:dyDescent="0.25">
      <c r="A3414" t="s">
        <v>3531</v>
      </c>
      <c r="B3414" s="1">
        <v>46005</v>
      </c>
      <c r="C3414" t="s">
        <v>60</v>
      </c>
      <c r="D3414" t="s">
        <v>151</v>
      </c>
      <c r="E3414" t="s">
        <v>41</v>
      </c>
      <c r="F3414" t="s">
        <v>84</v>
      </c>
      <c r="G3414" t="s">
        <v>37</v>
      </c>
      <c r="H3414" t="s">
        <v>94</v>
      </c>
      <c r="I3414" t="s">
        <v>115</v>
      </c>
      <c r="J3414">
        <v>11</v>
      </c>
      <c r="K3414">
        <v>36319.82</v>
      </c>
      <c r="L3414">
        <v>399518.02</v>
      </c>
      <c r="M3414">
        <v>1465.9</v>
      </c>
      <c r="N3414">
        <v>11265.92</v>
      </c>
      <c r="O3414">
        <v>386786.2</v>
      </c>
      <c r="P3414" t="s">
        <v>25</v>
      </c>
      <c r="Q3414" t="s">
        <v>26</v>
      </c>
    </row>
    <row r="3415" spans="1:17" x14ac:dyDescent="0.25">
      <c r="A3415" t="s">
        <v>3532</v>
      </c>
      <c r="B3415" s="1">
        <v>45994</v>
      </c>
      <c r="C3415" t="s">
        <v>60</v>
      </c>
      <c r="D3415" t="s">
        <v>61</v>
      </c>
      <c r="E3415" t="s">
        <v>49</v>
      </c>
      <c r="F3415" t="s">
        <v>62</v>
      </c>
      <c r="G3415" t="s">
        <v>66</v>
      </c>
      <c r="H3415" t="s">
        <v>67</v>
      </c>
      <c r="I3415" t="s">
        <v>103</v>
      </c>
      <c r="J3415">
        <v>29</v>
      </c>
      <c r="K3415">
        <v>27270.99</v>
      </c>
      <c r="L3415">
        <v>790858.71</v>
      </c>
      <c r="M3415">
        <v>71553.240000000005</v>
      </c>
      <c r="N3415">
        <v>0</v>
      </c>
      <c r="O3415">
        <v>719305.47</v>
      </c>
      <c r="P3415" t="s">
        <v>32</v>
      </c>
      <c r="Q3415" t="s">
        <v>26</v>
      </c>
    </row>
    <row r="3416" spans="1:17" x14ac:dyDescent="0.25">
      <c r="A3416" t="s">
        <v>3533</v>
      </c>
      <c r="B3416" s="1">
        <v>45993</v>
      </c>
      <c r="C3416" t="s">
        <v>60</v>
      </c>
      <c r="D3416" t="s">
        <v>65</v>
      </c>
      <c r="E3416" t="s">
        <v>41</v>
      </c>
      <c r="F3416" t="s">
        <v>105</v>
      </c>
      <c r="G3416" t="s">
        <v>22</v>
      </c>
      <c r="H3416" t="s">
        <v>23</v>
      </c>
      <c r="I3416" t="s">
        <v>131</v>
      </c>
      <c r="J3416">
        <v>24</v>
      </c>
      <c r="K3416">
        <v>5392.05</v>
      </c>
      <c r="L3416">
        <v>129409.2</v>
      </c>
      <c r="M3416">
        <v>0</v>
      </c>
      <c r="N3416">
        <v>0</v>
      </c>
      <c r="O3416">
        <v>129409.2</v>
      </c>
      <c r="P3416" t="s">
        <v>25</v>
      </c>
      <c r="Q3416" t="s">
        <v>26</v>
      </c>
    </row>
    <row r="3417" spans="1:17" x14ac:dyDescent="0.25">
      <c r="A3417" t="s">
        <v>3534</v>
      </c>
      <c r="B3417" s="1">
        <v>46027</v>
      </c>
      <c r="C3417" t="s">
        <v>47</v>
      </c>
      <c r="D3417" t="s">
        <v>114</v>
      </c>
      <c r="E3417" t="s">
        <v>20</v>
      </c>
      <c r="F3417" t="s">
        <v>105</v>
      </c>
      <c r="G3417" t="s">
        <v>85</v>
      </c>
      <c r="H3417" t="s">
        <v>44</v>
      </c>
      <c r="I3417" t="s">
        <v>124</v>
      </c>
      <c r="J3417">
        <v>49</v>
      </c>
      <c r="K3417">
        <v>5111.84</v>
      </c>
      <c r="L3417">
        <v>250480.16</v>
      </c>
      <c r="M3417">
        <v>0</v>
      </c>
      <c r="N3417">
        <v>0</v>
      </c>
      <c r="O3417">
        <v>250480.16</v>
      </c>
      <c r="P3417" t="s">
        <v>31</v>
      </c>
      <c r="Q3417" t="s">
        <v>32</v>
      </c>
    </row>
    <row r="3418" spans="1:17" x14ac:dyDescent="0.25">
      <c r="A3418" t="s">
        <v>3535</v>
      </c>
      <c r="B3418" s="1">
        <v>46015</v>
      </c>
      <c r="C3418" t="s">
        <v>54</v>
      </c>
      <c r="D3418" t="s">
        <v>55</v>
      </c>
      <c r="E3418" t="s">
        <v>41</v>
      </c>
      <c r="F3418" t="s">
        <v>112</v>
      </c>
      <c r="G3418" t="s">
        <v>29</v>
      </c>
      <c r="H3418" t="s">
        <v>44</v>
      </c>
      <c r="I3418" t="s">
        <v>152</v>
      </c>
      <c r="J3418">
        <v>31</v>
      </c>
      <c r="K3418">
        <v>32338.35</v>
      </c>
      <c r="L3418">
        <v>1002488.85</v>
      </c>
      <c r="M3418">
        <v>130796.93</v>
      </c>
      <c r="N3418">
        <v>0</v>
      </c>
      <c r="O3418">
        <v>871691.92</v>
      </c>
      <c r="P3418" t="s">
        <v>31</v>
      </c>
      <c r="Q3418" t="s">
        <v>32</v>
      </c>
    </row>
    <row r="3419" spans="1:17" x14ac:dyDescent="0.25">
      <c r="A3419" t="s">
        <v>3536</v>
      </c>
      <c r="B3419" s="1">
        <v>46019</v>
      </c>
      <c r="C3419" t="s">
        <v>79</v>
      </c>
      <c r="D3419" t="s">
        <v>80</v>
      </c>
      <c r="E3419" t="s">
        <v>20</v>
      </c>
      <c r="F3419" t="s">
        <v>84</v>
      </c>
      <c r="G3419" t="s">
        <v>81</v>
      </c>
      <c r="H3419" t="s">
        <v>57</v>
      </c>
      <c r="I3419" t="s">
        <v>118</v>
      </c>
      <c r="J3419">
        <v>27</v>
      </c>
      <c r="K3419">
        <v>30325.96</v>
      </c>
      <c r="L3419">
        <v>818800.92</v>
      </c>
      <c r="M3419">
        <v>0</v>
      </c>
      <c r="N3419">
        <v>0</v>
      </c>
      <c r="O3419">
        <v>818800.92</v>
      </c>
      <c r="P3419" t="s">
        <v>73</v>
      </c>
      <c r="Q3419" t="s">
        <v>26</v>
      </c>
    </row>
    <row r="3420" spans="1:17" x14ac:dyDescent="0.25">
      <c r="A3420" t="s">
        <v>3537</v>
      </c>
      <c r="B3420" s="1">
        <v>46003</v>
      </c>
      <c r="C3420" t="s">
        <v>79</v>
      </c>
      <c r="D3420" t="s">
        <v>91</v>
      </c>
      <c r="E3420" t="s">
        <v>20</v>
      </c>
      <c r="F3420" t="s">
        <v>50</v>
      </c>
      <c r="G3420" t="s">
        <v>140</v>
      </c>
      <c r="H3420" t="s">
        <v>67</v>
      </c>
      <c r="I3420" t="s">
        <v>103</v>
      </c>
      <c r="J3420">
        <v>24</v>
      </c>
      <c r="K3420">
        <v>28030.27</v>
      </c>
      <c r="L3420">
        <v>672726.48</v>
      </c>
      <c r="M3420">
        <v>6826.34</v>
      </c>
      <c r="N3420">
        <v>0</v>
      </c>
      <c r="O3420">
        <v>665900.14</v>
      </c>
      <c r="P3420" t="s">
        <v>73</v>
      </c>
      <c r="Q3420" t="s">
        <v>32</v>
      </c>
    </row>
    <row r="3421" spans="1:17" x14ac:dyDescent="0.25">
      <c r="A3421" t="s">
        <v>3538</v>
      </c>
      <c r="B3421" s="1">
        <v>45976</v>
      </c>
      <c r="C3421" t="s">
        <v>18</v>
      </c>
      <c r="D3421" t="s">
        <v>28</v>
      </c>
      <c r="E3421" t="s">
        <v>49</v>
      </c>
      <c r="F3421" t="s">
        <v>112</v>
      </c>
      <c r="G3421" t="s">
        <v>63</v>
      </c>
      <c r="H3421" t="s">
        <v>38</v>
      </c>
      <c r="I3421" t="s">
        <v>86</v>
      </c>
      <c r="J3421">
        <v>28</v>
      </c>
      <c r="K3421">
        <v>42716.46</v>
      </c>
      <c r="L3421">
        <v>1196060.8799999999</v>
      </c>
      <c r="M3421">
        <v>181799.2</v>
      </c>
      <c r="N3421">
        <v>0</v>
      </c>
      <c r="O3421">
        <v>1014261.68</v>
      </c>
      <c r="P3421" t="s">
        <v>32</v>
      </c>
      <c r="Q3421" t="s">
        <v>32</v>
      </c>
    </row>
    <row r="3422" spans="1:17" x14ac:dyDescent="0.25">
      <c r="A3422" t="s">
        <v>3539</v>
      </c>
      <c r="B3422" s="1">
        <v>45973</v>
      </c>
      <c r="C3422" t="s">
        <v>60</v>
      </c>
      <c r="D3422" t="s">
        <v>61</v>
      </c>
      <c r="E3422" t="s">
        <v>49</v>
      </c>
      <c r="F3422" t="s">
        <v>62</v>
      </c>
      <c r="G3422" t="s">
        <v>63</v>
      </c>
      <c r="H3422" t="s">
        <v>38</v>
      </c>
      <c r="I3422" t="s">
        <v>82</v>
      </c>
      <c r="J3422">
        <v>34</v>
      </c>
      <c r="K3422">
        <v>7978.66</v>
      </c>
      <c r="L3422">
        <v>271274.44</v>
      </c>
      <c r="M3422">
        <v>0</v>
      </c>
      <c r="N3422">
        <v>0</v>
      </c>
      <c r="O3422">
        <v>271274.44</v>
      </c>
      <c r="P3422" t="s">
        <v>25</v>
      </c>
      <c r="Q3422" t="s">
        <v>26</v>
      </c>
    </row>
    <row r="3423" spans="1:17" x14ac:dyDescent="0.25">
      <c r="A3423" t="s">
        <v>3540</v>
      </c>
      <c r="B3423" s="1">
        <v>46001</v>
      </c>
      <c r="C3423" t="s">
        <v>18</v>
      </c>
      <c r="D3423" t="s">
        <v>19</v>
      </c>
      <c r="E3423" t="s">
        <v>35</v>
      </c>
      <c r="F3423" t="s">
        <v>62</v>
      </c>
      <c r="G3423" t="s">
        <v>37</v>
      </c>
      <c r="H3423" t="s">
        <v>94</v>
      </c>
      <c r="I3423" t="s">
        <v>177</v>
      </c>
      <c r="J3423">
        <v>46</v>
      </c>
      <c r="K3423">
        <v>2006.39</v>
      </c>
      <c r="L3423">
        <v>92293.94</v>
      </c>
      <c r="M3423">
        <v>11014.01</v>
      </c>
      <c r="N3423">
        <v>1371.45</v>
      </c>
      <c r="O3423">
        <v>79908.479999999996</v>
      </c>
      <c r="P3423" t="s">
        <v>32</v>
      </c>
      <c r="Q3423" t="s">
        <v>32</v>
      </c>
    </row>
    <row r="3424" spans="1:17" x14ac:dyDescent="0.25">
      <c r="A3424" t="s">
        <v>3541</v>
      </c>
      <c r="B3424" s="1">
        <v>46027</v>
      </c>
      <c r="C3424" t="s">
        <v>54</v>
      </c>
      <c r="D3424" t="s">
        <v>55</v>
      </c>
      <c r="E3424" t="s">
        <v>20</v>
      </c>
      <c r="F3424" t="s">
        <v>71</v>
      </c>
      <c r="G3424" t="s">
        <v>89</v>
      </c>
      <c r="H3424" t="s">
        <v>44</v>
      </c>
      <c r="I3424" t="s">
        <v>141</v>
      </c>
      <c r="J3424">
        <v>25</v>
      </c>
      <c r="K3424">
        <v>4301.4399999999996</v>
      </c>
      <c r="L3424">
        <v>107536</v>
      </c>
      <c r="M3424">
        <v>0</v>
      </c>
      <c r="N3424">
        <v>0</v>
      </c>
      <c r="O3424">
        <v>107536</v>
      </c>
      <c r="P3424" t="s">
        <v>31</v>
      </c>
      <c r="Q3424" t="s">
        <v>32</v>
      </c>
    </row>
    <row r="3425" spans="1:17" x14ac:dyDescent="0.25">
      <c r="A3425" t="s">
        <v>3542</v>
      </c>
      <c r="B3425" s="1">
        <v>46043</v>
      </c>
      <c r="C3425" t="s">
        <v>18</v>
      </c>
      <c r="D3425" t="s">
        <v>19</v>
      </c>
      <c r="E3425" t="s">
        <v>20</v>
      </c>
      <c r="F3425" t="s">
        <v>62</v>
      </c>
      <c r="G3425" t="s">
        <v>22</v>
      </c>
      <c r="H3425" t="s">
        <v>67</v>
      </c>
      <c r="I3425" t="s">
        <v>170</v>
      </c>
      <c r="J3425">
        <v>18</v>
      </c>
      <c r="K3425">
        <v>5843.18</v>
      </c>
      <c r="L3425">
        <v>105177.24</v>
      </c>
      <c r="M3425">
        <v>15492.02</v>
      </c>
      <c r="N3425">
        <v>0</v>
      </c>
      <c r="O3425">
        <v>89685.22</v>
      </c>
      <c r="P3425" t="s">
        <v>73</v>
      </c>
      <c r="Q3425" t="s">
        <v>32</v>
      </c>
    </row>
    <row r="3426" spans="1:17" x14ac:dyDescent="0.25">
      <c r="A3426" t="s">
        <v>3543</v>
      </c>
      <c r="B3426" s="1">
        <v>45975</v>
      </c>
      <c r="C3426" t="s">
        <v>54</v>
      </c>
      <c r="D3426" t="s">
        <v>55</v>
      </c>
      <c r="E3426" t="s">
        <v>35</v>
      </c>
      <c r="F3426" t="s">
        <v>50</v>
      </c>
      <c r="G3426" t="s">
        <v>37</v>
      </c>
      <c r="H3426" t="s">
        <v>94</v>
      </c>
      <c r="I3426" t="s">
        <v>177</v>
      </c>
      <c r="J3426">
        <v>35</v>
      </c>
      <c r="K3426">
        <v>12882.14</v>
      </c>
      <c r="L3426">
        <v>450874.9</v>
      </c>
      <c r="M3426">
        <v>13926.53</v>
      </c>
      <c r="N3426">
        <v>0</v>
      </c>
      <c r="O3426">
        <v>436948.37</v>
      </c>
      <c r="P3426" t="s">
        <v>73</v>
      </c>
      <c r="Q3426" t="s">
        <v>32</v>
      </c>
    </row>
    <row r="3427" spans="1:17" x14ac:dyDescent="0.25">
      <c r="A3427" t="s">
        <v>3544</v>
      </c>
      <c r="B3427" s="1">
        <v>45957</v>
      </c>
      <c r="C3427" t="s">
        <v>18</v>
      </c>
      <c r="D3427" t="s">
        <v>28</v>
      </c>
      <c r="E3427" t="s">
        <v>41</v>
      </c>
      <c r="F3427" t="s">
        <v>137</v>
      </c>
      <c r="G3427" t="s">
        <v>51</v>
      </c>
      <c r="H3427" t="s">
        <v>38</v>
      </c>
      <c r="I3427" t="s">
        <v>86</v>
      </c>
      <c r="J3427">
        <v>1</v>
      </c>
      <c r="K3427">
        <v>4959.57</v>
      </c>
      <c r="L3427">
        <v>4959.57</v>
      </c>
      <c r="M3427">
        <v>541.77</v>
      </c>
      <c r="N3427">
        <v>0</v>
      </c>
      <c r="O3427">
        <v>4417.8</v>
      </c>
      <c r="P3427" t="s">
        <v>25</v>
      </c>
      <c r="Q3427" t="s">
        <v>26</v>
      </c>
    </row>
    <row r="3428" spans="1:17" x14ac:dyDescent="0.25">
      <c r="A3428" t="s">
        <v>3545</v>
      </c>
      <c r="B3428" s="1">
        <v>46011</v>
      </c>
      <c r="C3428" t="s">
        <v>54</v>
      </c>
      <c r="D3428" t="s">
        <v>70</v>
      </c>
      <c r="E3428" t="s">
        <v>41</v>
      </c>
      <c r="F3428" t="s">
        <v>42</v>
      </c>
      <c r="G3428" t="s">
        <v>43</v>
      </c>
      <c r="H3428" t="s">
        <v>94</v>
      </c>
      <c r="I3428" t="s">
        <v>163</v>
      </c>
      <c r="J3428">
        <v>50</v>
      </c>
      <c r="K3428">
        <v>12374.27</v>
      </c>
      <c r="L3428">
        <v>618713.5</v>
      </c>
      <c r="M3428">
        <v>85641.02</v>
      </c>
      <c r="N3428">
        <v>0</v>
      </c>
      <c r="O3428">
        <v>533072.48</v>
      </c>
      <c r="P3428" t="s">
        <v>32</v>
      </c>
      <c r="Q3428" t="s">
        <v>26</v>
      </c>
    </row>
    <row r="3429" spans="1:17" x14ac:dyDescent="0.25">
      <c r="A3429" t="s">
        <v>3546</v>
      </c>
      <c r="B3429" s="1">
        <v>46020</v>
      </c>
      <c r="C3429" t="s">
        <v>60</v>
      </c>
      <c r="D3429" t="s">
        <v>151</v>
      </c>
      <c r="E3429" t="s">
        <v>35</v>
      </c>
      <c r="F3429" t="s">
        <v>71</v>
      </c>
      <c r="G3429" t="s">
        <v>81</v>
      </c>
      <c r="H3429" t="s">
        <v>38</v>
      </c>
      <c r="I3429" t="s">
        <v>120</v>
      </c>
      <c r="J3429">
        <v>5</v>
      </c>
      <c r="K3429">
        <v>43727.72</v>
      </c>
      <c r="L3429">
        <v>218638.6</v>
      </c>
      <c r="M3429">
        <v>0</v>
      </c>
      <c r="N3429">
        <v>0</v>
      </c>
      <c r="O3429">
        <v>218638.6</v>
      </c>
      <c r="P3429" t="s">
        <v>32</v>
      </c>
      <c r="Q3429" t="s">
        <v>32</v>
      </c>
    </row>
    <row r="3430" spans="1:17" x14ac:dyDescent="0.25">
      <c r="A3430" t="s">
        <v>3547</v>
      </c>
      <c r="B3430" s="1">
        <v>45998</v>
      </c>
      <c r="C3430" t="s">
        <v>18</v>
      </c>
      <c r="D3430" t="s">
        <v>19</v>
      </c>
      <c r="E3430" t="s">
        <v>49</v>
      </c>
      <c r="F3430" t="s">
        <v>105</v>
      </c>
      <c r="G3430" t="s">
        <v>89</v>
      </c>
      <c r="H3430" t="s">
        <v>23</v>
      </c>
      <c r="I3430" t="s">
        <v>110</v>
      </c>
      <c r="J3430">
        <v>25</v>
      </c>
      <c r="K3430">
        <v>28548.27</v>
      </c>
      <c r="L3430">
        <v>713706.75</v>
      </c>
      <c r="M3430">
        <v>0</v>
      </c>
      <c r="N3430">
        <v>0</v>
      </c>
      <c r="O3430">
        <v>713706.75</v>
      </c>
      <c r="P3430" t="s">
        <v>31</v>
      </c>
      <c r="Q3430" t="s">
        <v>32</v>
      </c>
    </row>
    <row r="3431" spans="1:17" x14ac:dyDescent="0.25">
      <c r="A3431" t="s">
        <v>3548</v>
      </c>
      <c r="B3431" s="1">
        <v>45992</v>
      </c>
      <c r="C3431" t="s">
        <v>79</v>
      </c>
      <c r="D3431" t="s">
        <v>101</v>
      </c>
      <c r="E3431" t="s">
        <v>20</v>
      </c>
      <c r="F3431" t="s">
        <v>137</v>
      </c>
      <c r="G3431" t="s">
        <v>89</v>
      </c>
      <c r="H3431" t="s">
        <v>38</v>
      </c>
      <c r="I3431" t="s">
        <v>175</v>
      </c>
      <c r="J3431">
        <v>40</v>
      </c>
      <c r="K3431">
        <v>37041.42</v>
      </c>
      <c r="L3431">
        <v>1481656.8</v>
      </c>
      <c r="M3431">
        <v>231127.36</v>
      </c>
      <c r="N3431">
        <v>0</v>
      </c>
      <c r="O3431">
        <v>1250529.44</v>
      </c>
      <c r="P3431" t="s">
        <v>73</v>
      </c>
      <c r="Q3431" t="s">
        <v>32</v>
      </c>
    </row>
    <row r="3432" spans="1:17" x14ac:dyDescent="0.25">
      <c r="A3432" t="s">
        <v>3549</v>
      </c>
      <c r="B3432" s="1">
        <v>46018</v>
      </c>
      <c r="C3432" t="s">
        <v>79</v>
      </c>
      <c r="D3432" t="s">
        <v>91</v>
      </c>
      <c r="E3432" t="s">
        <v>20</v>
      </c>
      <c r="F3432" t="s">
        <v>50</v>
      </c>
      <c r="G3432" t="s">
        <v>85</v>
      </c>
      <c r="H3432" t="s">
        <v>23</v>
      </c>
      <c r="I3432" t="s">
        <v>131</v>
      </c>
      <c r="J3432">
        <v>21</v>
      </c>
      <c r="K3432">
        <v>9959.34</v>
      </c>
      <c r="L3432">
        <v>209146.14</v>
      </c>
      <c r="M3432">
        <v>13071.74</v>
      </c>
      <c r="N3432">
        <v>0</v>
      </c>
      <c r="O3432">
        <v>196074.4</v>
      </c>
      <c r="P3432" t="s">
        <v>73</v>
      </c>
      <c r="Q3432" t="s">
        <v>32</v>
      </c>
    </row>
    <row r="3433" spans="1:17" x14ac:dyDescent="0.25">
      <c r="A3433" t="s">
        <v>3550</v>
      </c>
      <c r="B3433" s="1">
        <v>46038</v>
      </c>
      <c r="C3433" t="s">
        <v>79</v>
      </c>
      <c r="D3433" t="s">
        <v>101</v>
      </c>
      <c r="E3433" t="s">
        <v>20</v>
      </c>
      <c r="F3433" t="s">
        <v>50</v>
      </c>
      <c r="G3433" t="s">
        <v>140</v>
      </c>
      <c r="H3433" t="s">
        <v>23</v>
      </c>
      <c r="I3433" t="s">
        <v>110</v>
      </c>
      <c r="J3433">
        <v>38</v>
      </c>
      <c r="K3433">
        <v>48054.85</v>
      </c>
      <c r="L3433">
        <v>1826084.3</v>
      </c>
      <c r="M3433">
        <v>1805.2</v>
      </c>
      <c r="N3433">
        <v>0</v>
      </c>
      <c r="O3433">
        <v>1824279.1</v>
      </c>
      <c r="P3433" t="s">
        <v>31</v>
      </c>
      <c r="Q3433" t="s">
        <v>32</v>
      </c>
    </row>
    <row r="3434" spans="1:17" x14ac:dyDescent="0.25">
      <c r="A3434" t="s">
        <v>3551</v>
      </c>
      <c r="B3434" s="1">
        <v>46019</v>
      </c>
      <c r="C3434" t="s">
        <v>79</v>
      </c>
      <c r="D3434" t="s">
        <v>91</v>
      </c>
      <c r="E3434" t="s">
        <v>49</v>
      </c>
      <c r="F3434" t="s">
        <v>62</v>
      </c>
      <c r="G3434" t="s">
        <v>43</v>
      </c>
      <c r="H3434" t="s">
        <v>23</v>
      </c>
      <c r="I3434" t="s">
        <v>30</v>
      </c>
      <c r="J3434">
        <v>36</v>
      </c>
      <c r="K3434">
        <v>46378.44</v>
      </c>
      <c r="L3434">
        <v>1669623.84</v>
      </c>
      <c r="M3434">
        <v>147699.85</v>
      </c>
      <c r="N3434">
        <v>0</v>
      </c>
      <c r="O3434">
        <v>1521923.99</v>
      </c>
      <c r="P3434" t="s">
        <v>25</v>
      </c>
      <c r="Q3434" t="s">
        <v>128</v>
      </c>
    </row>
    <row r="3435" spans="1:17" x14ac:dyDescent="0.25">
      <c r="A3435" t="s">
        <v>3552</v>
      </c>
      <c r="B3435" s="1">
        <v>46006</v>
      </c>
      <c r="C3435" t="s">
        <v>47</v>
      </c>
      <c r="D3435" t="s">
        <v>127</v>
      </c>
      <c r="E3435" t="s">
        <v>20</v>
      </c>
      <c r="F3435" t="s">
        <v>21</v>
      </c>
      <c r="G3435" t="s">
        <v>85</v>
      </c>
      <c r="H3435" t="s">
        <v>38</v>
      </c>
      <c r="I3435" t="s">
        <v>39</v>
      </c>
      <c r="J3435">
        <v>30</v>
      </c>
      <c r="K3435">
        <v>24640.95</v>
      </c>
      <c r="L3435">
        <v>739228.5</v>
      </c>
      <c r="M3435">
        <v>35964.050000000003</v>
      </c>
      <c r="N3435">
        <v>0</v>
      </c>
      <c r="O3435">
        <v>703264.45</v>
      </c>
      <c r="P3435" t="s">
        <v>25</v>
      </c>
      <c r="Q3435" t="s">
        <v>26</v>
      </c>
    </row>
    <row r="3436" spans="1:17" x14ac:dyDescent="0.25">
      <c r="A3436" t="s">
        <v>3553</v>
      </c>
      <c r="B3436" s="1">
        <v>46033</v>
      </c>
      <c r="C3436" t="s">
        <v>60</v>
      </c>
      <c r="D3436" t="s">
        <v>151</v>
      </c>
      <c r="E3436" t="s">
        <v>49</v>
      </c>
      <c r="F3436" t="s">
        <v>50</v>
      </c>
      <c r="G3436" t="s">
        <v>43</v>
      </c>
      <c r="H3436" t="s">
        <v>57</v>
      </c>
      <c r="I3436" t="s">
        <v>72</v>
      </c>
      <c r="J3436">
        <v>38</v>
      </c>
      <c r="K3436">
        <v>12823.81</v>
      </c>
      <c r="L3436">
        <v>487304.78</v>
      </c>
      <c r="M3436">
        <v>0</v>
      </c>
      <c r="N3436">
        <v>0</v>
      </c>
      <c r="O3436">
        <v>487304.78</v>
      </c>
      <c r="P3436" t="s">
        <v>73</v>
      </c>
      <c r="Q3436" t="s">
        <v>32</v>
      </c>
    </row>
    <row r="3437" spans="1:17" x14ac:dyDescent="0.25">
      <c r="A3437" t="s">
        <v>3554</v>
      </c>
      <c r="B3437" s="1">
        <v>45983</v>
      </c>
      <c r="C3437" t="s">
        <v>60</v>
      </c>
      <c r="D3437" t="s">
        <v>123</v>
      </c>
      <c r="E3437" t="s">
        <v>35</v>
      </c>
      <c r="F3437" t="s">
        <v>71</v>
      </c>
      <c r="G3437" t="s">
        <v>85</v>
      </c>
      <c r="H3437" t="s">
        <v>57</v>
      </c>
      <c r="I3437" t="s">
        <v>92</v>
      </c>
      <c r="J3437">
        <v>44</v>
      </c>
      <c r="K3437">
        <v>26273.82</v>
      </c>
      <c r="L3437">
        <v>1156048.08</v>
      </c>
      <c r="M3437">
        <v>18788.52</v>
      </c>
      <c r="N3437">
        <v>0</v>
      </c>
      <c r="O3437">
        <v>1137259.56</v>
      </c>
      <c r="P3437" t="s">
        <v>32</v>
      </c>
      <c r="Q3437" t="s">
        <v>32</v>
      </c>
    </row>
    <row r="3438" spans="1:17" x14ac:dyDescent="0.25">
      <c r="A3438" t="s">
        <v>3555</v>
      </c>
      <c r="B3438" s="1">
        <v>46022</v>
      </c>
      <c r="C3438" t="s">
        <v>54</v>
      </c>
      <c r="D3438" t="s">
        <v>97</v>
      </c>
      <c r="E3438" t="s">
        <v>35</v>
      </c>
      <c r="F3438" t="s">
        <v>42</v>
      </c>
      <c r="G3438" t="s">
        <v>66</v>
      </c>
      <c r="H3438" t="s">
        <v>67</v>
      </c>
      <c r="I3438" t="s">
        <v>77</v>
      </c>
      <c r="J3438">
        <v>14</v>
      </c>
      <c r="K3438">
        <v>36534.9</v>
      </c>
      <c r="L3438">
        <v>511488.6</v>
      </c>
      <c r="M3438">
        <v>0</v>
      </c>
      <c r="N3438">
        <v>0</v>
      </c>
      <c r="O3438">
        <v>511488.6</v>
      </c>
      <c r="P3438" t="s">
        <v>73</v>
      </c>
      <c r="Q3438" t="s">
        <v>32</v>
      </c>
    </row>
    <row r="3439" spans="1:17" x14ac:dyDescent="0.25">
      <c r="A3439" t="s">
        <v>3556</v>
      </c>
      <c r="B3439" s="1">
        <v>45987</v>
      </c>
      <c r="C3439" t="s">
        <v>60</v>
      </c>
      <c r="D3439" t="s">
        <v>65</v>
      </c>
      <c r="E3439" t="s">
        <v>49</v>
      </c>
      <c r="F3439" t="s">
        <v>71</v>
      </c>
      <c r="G3439" t="s">
        <v>37</v>
      </c>
      <c r="H3439" t="s">
        <v>38</v>
      </c>
      <c r="I3439" t="s">
        <v>86</v>
      </c>
      <c r="J3439">
        <v>48</v>
      </c>
      <c r="K3439">
        <v>18585.580000000002</v>
      </c>
      <c r="L3439">
        <v>892107.84</v>
      </c>
      <c r="M3439">
        <v>19609.07</v>
      </c>
      <c r="N3439">
        <v>0</v>
      </c>
      <c r="O3439">
        <v>872498.77</v>
      </c>
      <c r="P3439" t="s">
        <v>25</v>
      </c>
      <c r="Q3439" t="s">
        <v>26</v>
      </c>
    </row>
    <row r="3440" spans="1:17" x14ac:dyDescent="0.25">
      <c r="A3440" t="s">
        <v>3557</v>
      </c>
      <c r="B3440" s="1">
        <v>46001</v>
      </c>
      <c r="C3440" t="s">
        <v>60</v>
      </c>
      <c r="D3440" t="s">
        <v>123</v>
      </c>
      <c r="E3440" t="s">
        <v>35</v>
      </c>
      <c r="F3440" t="s">
        <v>62</v>
      </c>
      <c r="G3440" t="s">
        <v>102</v>
      </c>
      <c r="H3440" t="s">
        <v>57</v>
      </c>
      <c r="I3440" t="s">
        <v>58</v>
      </c>
      <c r="J3440">
        <v>34</v>
      </c>
      <c r="K3440">
        <v>14639.97</v>
      </c>
      <c r="L3440">
        <v>497758.98</v>
      </c>
      <c r="M3440">
        <v>0</v>
      </c>
      <c r="N3440">
        <v>0</v>
      </c>
      <c r="O3440">
        <v>497758.98</v>
      </c>
      <c r="P3440" t="s">
        <v>32</v>
      </c>
      <c r="Q3440" t="s">
        <v>26</v>
      </c>
    </row>
    <row r="3441" spans="1:17" x14ac:dyDescent="0.25">
      <c r="A3441" t="s">
        <v>3558</v>
      </c>
      <c r="B3441" s="1">
        <v>46013</v>
      </c>
      <c r="C3441" t="s">
        <v>79</v>
      </c>
      <c r="D3441" t="s">
        <v>80</v>
      </c>
      <c r="E3441" t="s">
        <v>20</v>
      </c>
      <c r="F3441" t="s">
        <v>112</v>
      </c>
      <c r="G3441" t="s">
        <v>85</v>
      </c>
      <c r="H3441" t="s">
        <v>57</v>
      </c>
      <c r="I3441" t="s">
        <v>160</v>
      </c>
      <c r="J3441">
        <v>28</v>
      </c>
      <c r="K3441">
        <v>2726.64</v>
      </c>
      <c r="L3441">
        <v>76345.919999999998</v>
      </c>
      <c r="M3441">
        <v>0</v>
      </c>
      <c r="N3441">
        <v>0</v>
      </c>
      <c r="O3441">
        <v>76345.919999999998</v>
      </c>
      <c r="P3441" t="s">
        <v>73</v>
      </c>
      <c r="Q3441" t="s">
        <v>26</v>
      </c>
    </row>
    <row r="3442" spans="1:17" x14ac:dyDescent="0.25">
      <c r="A3442" t="s">
        <v>3559</v>
      </c>
      <c r="B3442" s="1">
        <v>45986</v>
      </c>
      <c r="C3442" t="s">
        <v>54</v>
      </c>
      <c r="D3442" t="s">
        <v>97</v>
      </c>
      <c r="E3442" t="s">
        <v>35</v>
      </c>
      <c r="F3442" t="s">
        <v>21</v>
      </c>
      <c r="G3442" t="s">
        <v>81</v>
      </c>
      <c r="H3442" t="s">
        <v>38</v>
      </c>
      <c r="I3442" t="s">
        <v>86</v>
      </c>
      <c r="J3442">
        <v>33</v>
      </c>
      <c r="K3442">
        <v>29725.52</v>
      </c>
      <c r="L3442">
        <v>980942.16</v>
      </c>
      <c r="M3442">
        <v>0</v>
      </c>
      <c r="N3442">
        <v>0</v>
      </c>
      <c r="O3442">
        <v>980942.16</v>
      </c>
      <c r="P3442" t="s">
        <v>32</v>
      </c>
      <c r="Q3442" t="s">
        <v>26</v>
      </c>
    </row>
    <row r="3443" spans="1:17" x14ac:dyDescent="0.25">
      <c r="A3443" t="s">
        <v>3560</v>
      </c>
      <c r="B3443" s="1">
        <v>46006</v>
      </c>
      <c r="C3443" t="s">
        <v>60</v>
      </c>
      <c r="D3443" t="s">
        <v>151</v>
      </c>
      <c r="E3443" t="s">
        <v>20</v>
      </c>
      <c r="F3443" t="s">
        <v>50</v>
      </c>
      <c r="G3443" t="s">
        <v>138</v>
      </c>
      <c r="H3443" t="s">
        <v>23</v>
      </c>
      <c r="I3443" t="s">
        <v>99</v>
      </c>
      <c r="J3443">
        <v>10</v>
      </c>
      <c r="K3443">
        <v>29452.79</v>
      </c>
      <c r="L3443">
        <v>294527.90000000002</v>
      </c>
      <c r="M3443">
        <v>17183.23</v>
      </c>
      <c r="N3443">
        <v>0</v>
      </c>
      <c r="O3443">
        <v>277344.67</v>
      </c>
      <c r="P3443" t="s">
        <v>73</v>
      </c>
      <c r="Q3443" t="s">
        <v>32</v>
      </c>
    </row>
    <row r="3444" spans="1:17" x14ac:dyDescent="0.25">
      <c r="A3444" t="s">
        <v>3561</v>
      </c>
      <c r="B3444" s="1">
        <v>46022</v>
      </c>
      <c r="C3444" t="s">
        <v>47</v>
      </c>
      <c r="D3444" t="s">
        <v>127</v>
      </c>
      <c r="E3444" t="s">
        <v>20</v>
      </c>
      <c r="F3444" t="s">
        <v>21</v>
      </c>
      <c r="G3444" t="s">
        <v>56</v>
      </c>
      <c r="H3444" t="s">
        <v>94</v>
      </c>
      <c r="I3444" t="s">
        <v>163</v>
      </c>
      <c r="J3444">
        <v>28</v>
      </c>
      <c r="K3444">
        <v>7592.94</v>
      </c>
      <c r="L3444">
        <v>212602.32</v>
      </c>
      <c r="M3444">
        <v>3864.98</v>
      </c>
      <c r="N3444">
        <v>0</v>
      </c>
      <c r="O3444">
        <v>208737.34</v>
      </c>
      <c r="P3444" t="s">
        <v>25</v>
      </c>
      <c r="Q3444" t="s">
        <v>26</v>
      </c>
    </row>
    <row r="3445" spans="1:17" x14ac:dyDescent="0.25">
      <c r="A3445" t="s">
        <v>3562</v>
      </c>
      <c r="B3445" s="1">
        <v>46037</v>
      </c>
      <c r="C3445" t="s">
        <v>60</v>
      </c>
      <c r="D3445" t="s">
        <v>151</v>
      </c>
      <c r="E3445" t="s">
        <v>41</v>
      </c>
      <c r="F3445" t="s">
        <v>71</v>
      </c>
      <c r="G3445" t="s">
        <v>29</v>
      </c>
      <c r="H3445" t="s">
        <v>38</v>
      </c>
      <c r="I3445" t="s">
        <v>86</v>
      </c>
      <c r="J3445">
        <v>41</v>
      </c>
      <c r="K3445">
        <v>37311.06</v>
      </c>
      <c r="L3445">
        <v>1529753.46</v>
      </c>
      <c r="M3445">
        <v>0</v>
      </c>
      <c r="N3445">
        <v>0</v>
      </c>
      <c r="O3445">
        <v>1529753.46</v>
      </c>
      <c r="P3445" t="s">
        <v>25</v>
      </c>
      <c r="Q3445" t="s">
        <v>26</v>
      </c>
    </row>
    <row r="3446" spans="1:17" x14ac:dyDescent="0.25">
      <c r="A3446" t="s">
        <v>3563</v>
      </c>
      <c r="B3446" s="1">
        <v>45969</v>
      </c>
      <c r="C3446" t="s">
        <v>79</v>
      </c>
      <c r="D3446" t="s">
        <v>80</v>
      </c>
      <c r="E3446" t="s">
        <v>41</v>
      </c>
      <c r="F3446" t="s">
        <v>42</v>
      </c>
      <c r="G3446" t="s">
        <v>29</v>
      </c>
      <c r="H3446" t="s">
        <v>38</v>
      </c>
      <c r="I3446" t="s">
        <v>108</v>
      </c>
      <c r="J3446">
        <v>15</v>
      </c>
      <c r="K3446">
        <v>44512.05</v>
      </c>
      <c r="L3446">
        <v>667680.75</v>
      </c>
      <c r="M3446">
        <v>0</v>
      </c>
      <c r="N3446">
        <v>0</v>
      </c>
      <c r="O3446">
        <v>667680.75</v>
      </c>
      <c r="P3446" t="s">
        <v>73</v>
      </c>
      <c r="Q3446" t="s">
        <v>32</v>
      </c>
    </row>
    <row r="3447" spans="1:17" x14ac:dyDescent="0.25">
      <c r="A3447" t="s">
        <v>3564</v>
      </c>
      <c r="B3447" s="1">
        <v>45981</v>
      </c>
      <c r="C3447" t="s">
        <v>18</v>
      </c>
      <c r="D3447" t="s">
        <v>34</v>
      </c>
      <c r="E3447" t="s">
        <v>35</v>
      </c>
      <c r="F3447" t="s">
        <v>137</v>
      </c>
      <c r="G3447" t="s">
        <v>81</v>
      </c>
      <c r="H3447" t="s">
        <v>57</v>
      </c>
      <c r="I3447" t="s">
        <v>148</v>
      </c>
      <c r="J3447">
        <v>9</v>
      </c>
      <c r="K3447">
        <v>12588.38</v>
      </c>
      <c r="L3447">
        <v>113295.42</v>
      </c>
      <c r="M3447">
        <v>495.11</v>
      </c>
      <c r="N3447">
        <v>5723.98</v>
      </c>
      <c r="O3447">
        <v>107076.33</v>
      </c>
      <c r="P3447" t="s">
        <v>31</v>
      </c>
      <c r="Q3447" t="s">
        <v>32</v>
      </c>
    </row>
    <row r="3448" spans="1:17" x14ac:dyDescent="0.25">
      <c r="A3448" t="s">
        <v>3565</v>
      </c>
      <c r="B3448" s="1">
        <v>46002</v>
      </c>
      <c r="C3448" t="s">
        <v>18</v>
      </c>
      <c r="D3448" t="s">
        <v>28</v>
      </c>
      <c r="E3448" t="s">
        <v>35</v>
      </c>
      <c r="F3448" t="s">
        <v>71</v>
      </c>
      <c r="G3448" t="s">
        <v>63</v>
      </c>
      <c r="H3448" t="s">
        <v>67</v>
      </c>
      <c r="I3448" t="s">
        <v>68</v>
      </c>
      <c r="J3448">
        <v>20</v>
      </c>
      <c r="K3448">
        <v>6177.64</v>
      </c>
      <c r="L3448">
        <v>123552.8</v>
      </c>
      <c r="M3448">
        <v>14633.44</v>
      </c>
      <c r="N3448">
        <v>0</v>
      </c>
      <c r="O3448">
        <v>108919.36</v>
      </c>
      <c r="P3448" t="s">
        <v>32</v>
      </c>
      <c r="Q3448" t="s">
        <v>26</v>
      </c>
    </row>
    <row r="3449" spans="1:17" x14ac:dyDescent="0.25">
      <c r="A3449" t="s">
        <v>3566</v>
      </c>
      <c r="B3449" s="1">
        <v>46028</v>
      </c>
      <c r="C3449" t="s">
        <v>18</v>
      </c>
      <c r="D3449" t="s">
        <v>19</v>
      </c>
      <c r="E3449" t="s">
        <v>49</v>
      </c>
      <c r="F3449" t="s">
        <v>137</v>
      </c>
      <c r="G3449" t="s">
        <v>56</v>
      </c>
      <c r="H3449" t="s">
        <v>23</v>
      </c>
      <c r="I3449" t="s">
        <v>131</v>
      </c>
      <c r="J3449">
        <v>18</v>
      </c>
      <c r="K3449">
        <v>8393.59</v>
      </c>
      <c r="L3449">
        <v>151084.62</v>
      </c>
      <c r="M3449">
        <v>0</v>
      </c>
      <c r="N3449">
        <v>0</v>
      </c>
      <c r="O3449">
        <v>151084.62</v>
      </c>
      <c r="P3449" t="s">
        <v>73</v>
      </c>
      <c r="Q3449" t="s">
        <v>32</v>
      </c>
    </row>
    <row r="3450" spans="1:17" x14ac:dyDescent="0.25">
      <c r="A3450" t="s">
        <v>3567</v>
      </c>
      <c r="B3450" s="1">
        <v>46032</v>
      </c>
      <c r="C3450" t="s">
        <v>79</v>
      </c>
      <c r="D3450" t="s">
        <v>107</v>
      </c>
      <c r="E3450" t="s">
        <v>49</v>
      </c>
      <c r="F3450" t="s">
        <v>36</v>
      </c>
      <c r="G3450" t="s">
        <v>56</v>
      </c>
      <c r="H3450" t="s">
        <v>67</v>
      </c>
      <c r="I3450" t="s">
        <v>170</v>
      </c>
      <c r="J3450">
        <v>10</v>
      </c>
      <c r="K3450">
        <v>4846.51</v>
      </c>
      <c r="L3450">
        <v>48465.1</v>
      </c>
      <c r="M3450">
        <v>6028.32</v>
      </c>
      <c r="N3450">
        <v>0</v>
      </c>
      <c r="O3450">
        <v>42436.78</v>
      </c>
      <c r="P3450" t="s">
        <v>25</v>
      </c>
      <c r="Q3450" t="s">
        <v>26</v>
      </c>
    </row>
    <row r="3451" spans="1:17" x14ac:dyDescent="0.25">
      <c r="A3451" t="s">
        <v>3568</v>
      </c>
      <c r="B3451" s="1">
        <v>46021</v>
      </c>
      <c r="C3451" t="s">
        <v>47</v>
      </c>
      <c r="D3451" t="s">
        <v>48</v>
      </c>
      <c r="E3451" t="s">
        <v>41</v>
      </c>
      <c r="F3451" t="s">
        <v>105</v>
      </c>
      <c r="G3451" t="s">
        <v>140</v>
      </c>
      <c r="H3451" t="s">
        <v>94</v>
      </c>
      <c r="I3451" t="s">
        <v>193</v>
      </c>
      <c r="J3451">
        <v>49</v>
      </c>
      <c r="K3451">
        <v>13993.38</v>
      </c>
      <c r="L3451">
        <v>685675.62</v>
      </c>
      <c r="M3451">
        <v>101110.85</v>
      </c>
      <c r="N3451">
        <v>0</v>
      </c>
      <c r="O3451">
        <v>584564.77</v>
      </c>
      <c r="P3451" t="s">
        <v>31</v>
      </c>
      <c r="Q3451" t="s">
        <v>32</v>
      </c>
    </row>
    <row r="3452" spans="1:17" x14ac:dyDescent="0.25">
      <c r="A3452" t="s">
        <v>3569</v>
      </c>
      <c r="B3452" s="1">
        <v>45996</v>
      </c>
      <c r="C3452" t="s">
        <v>79</v>
      </c>
      <c r="D3452" t="s">
        <v>101</v>
      </c>
      <c r="E3452" t="s">
        <v>20</v>
      </c>
      <c r="F3452" t="s">
        <v>105</v>
      </c>
      <c r="G3452" t="s">
        <v>29</v>
      </c>
      <c r="H3452" t="s">
        <v>57</v>
      </c>
      <c r="I3452" t="s">
        <v>92</v>
      </c>
      <c r="J3452">
        <v>8</v>
      </c>
      <c r="K3452">
        <v>31042.46</v>
      </c>
      <c r="L3452">
        <v>248339.68</v>
      </c>
      <c r="M3452">
        <v>0</v>
      </c>
      <c r="N3452">
        <v>0</v>
      </c>
      <c r="O3452">
        <v>248339.68</v>
      </c>
      <c r="P3452" t="s">
        <v>25</v>
      </c>
      <c r="Q3452" t="s">
        <v>128</v>
      </c>
    </row>
    <row r="3453" spans="1:17" x14ac:dyDescent="0.25">
      <c r="A3453" t="s">
        <v>3570</v>
      </c>
      <c r="B3453" s="1">
        <v>45977</v>
      </c>
      <c r="C3453" t="s">
        <v>47</v>
      </c>
      <c r="D3453" t="s">
        <v>48</v>
      </c>
      <c r="E3453" t="s">
        <v>41</v>
      </c>
      <c r="F3453" t="s">
        <v>112</v>
      </c>
      <c r="G3453" t="s">
        <v>29</v>
      </c>
      <c r="H3453" t="s">
        <v>38</v>
      </c>
      <c r="I3453" t="s">
        <v>175</v>
      </c>
      <c r="J3453">
        <v>14</v>
      </c>
      <c r="K3453">
        <v>47508.58</v>
      </c>
      <c r="L3453">
        <v>665120.12</v>
      </c>
      <c r="M3453">
        <v>74497.119999999995</v>
      </c>
      <c r="N3453">
        <v>0</v>
      </c>
      <c r="O3453">
        <v>590623</v>
      </c>
      <c r="P3453" t="s">
        <v>31</v>
      </c>
      <c r="Q3453" t="s">
        <v>32</v>
      </c>
    </row>
    <row r="3454" spans="1:17" x14ac:dyDescent="0.25">
      <c r="A3454" t="s">
        <v>3571</v>
      </c>
      <c r="B3454" s="1">
        <v>45963</v>
      </c>
      <c r="C3454" t="s">
        <v>18</v>
      </c>
      <c r="D3454" t="s">
        <v>28</v>
      </c>
      <c r="E3454" t="s">
        <v>20</v>
      </c>
      <c r="F3454" t="s">
        <v>36</v>
      </c>
      <c r="G3454" t="s">
        <v>66</v>
      </c>
      <c r="H3454" t="s">
        <v>44</v>
      </c>
      <c r="I3454" t="s">
        <v>281</v>
      </c>
      <c r="J3454">
        <v>29</v>
      </c>
      <c r="K3454">
        <v>576.63</v>
      </c>
      <c r="L3454">
        <v>16722.27</v>
      </c>
      <c r="M3454">
        <v>0</v>
      </c>
      <c r="N3454">
        <v>0</v>
      </c>
      <c r="O3454">
        <v>16722.27</v>
      </c>
      <c r="P3454" t="s">
        <v>32</v>
      </c>
      <c r="Q3454" t="s">
        <v>32</v>
      </c>
    </row>
    <row r="3455" spans="1:17" x14ac:dyDescent="0.25">
      <c r="A3455" t="s">
        <v>3572</v>
      </c>
      <c r="B3455" s="1">
        <v>45964</v>
      </c>
      <c r="C3455" t="s">
        <v>54</v>
      </c>
      <c r="D3455" t="s">
        <v>55</v>
      </c>
      <c r="E3455" t="s">
        <v>49</v>
      </c>
      <c r="F3455" t="s">
        <v>62</v>
      </c>
      <c r="G3455" t="s">
        <v>66</v>
      </c>
      <c r="H3455" t="s">
        <v>38</v>
      </c>
      <c r="I3455" t="s">
        <v>120</v>
      </c>
      <c r="J3455">
        <v>8</v>
      </c>
      <c r="K3455">
        <v>48273.46</v>
      </c>
      <c r="L3455">
        <v>386187.68</v>
      </c>
      <c r="M3455">
        <v>12244.04</v>
      </c>
      <c r="N3455">
        <v>0</v>
      </c>
      <c r="O3455">
        <v>373943.64</v>
      </c>
      <c r="P3455" t="s">
        <v>32</v>
      </c>
      <c r="Q3455" t="s">
        <v>32</v>
      </c>
    </row>
    <row r="3456" spans="1:17" x14ac:dyDescent="0.25">
      <c r="A3456" t="s">
        <v>3573</v>
      </c>
      <c r="B3456" s="1">
        <v>45961</v>
      </c>
      <c r="C3456" t="s">
        <v>47</v>
      </c>
      <c r="D3456" t="s">
        <v>127</v>
      </c>
      <c r="E3456" t="s">
        <v>35</v>
      </c>
      <c r="F3456" t="s">
        <v>137</v>
      </c>
      <c r="G3456" t="s">
        <v>63</v>
      </c>
      <c r="H3456" t="s">
        <v>94</v>
      </c>
      <c r="I3456" t="s">
        <v>144</v>
      </c>
      <c r="J3456">
        <v>36</v>
      </c>
      <c r="K3456">
        <v>15864.01</v>
      </c>
      <c r="L3456">
        <v>571104.36</v>
      </c>
      <c r="M3456">
        <v>0</v>
      </c>
      <c r="N3456">
        <v>0</v>
      </c>
      <c r="O3456">
        <v>571104.36</v>
      </c>
      <c r="P3456" t="s">
        <v>73</v>
      </c>
      <c r="Q3456" t="s">
        <v>26</v>
      </c>
    </row>
    <row r="3457" spans="1:17" x14ac:dyDescent="0.25">
      <c r="A3457" t="s">
        <v>3574</v>
      </c>
      <c r="B3457" s="1">
        <v>45995</v>
      </c>
      <c r="C3457" t="s">
        <v>18</v>
      </c>
      <c r="D3457" t="s">
        <v>75</v>
      </c>
      <c r="E3457" t="s">
        <v>41</v>
      </c>
      <c r="F3457" t="s">
        <v>112</v>
      </c>
      <c r="G3457" t="s">
        <v>140</v>
      </c>
      <c r="H3457" t="s">
        <v>38</v>
      </c>
      <c r="I3457" t="s">
        <v>82</v>
      </c>
      <c r="J3457">
        <v>24</v>
      </c>
      <c r="K3457">
        <v>43542.27</v>
      </c>
      <c r="L3457">
        <v>1045014.48</v>
      </c>
      <c r="M3457">
        <v>0</v>
      </c>
      <c r="N3457">
        <v>163626.93</v>
      </c>
      <c r="O3457">
        <v>881387.55</v>
      </c>
      <c r="P3457" t="s">
        <v>73</v>
      </c>
      <c r="Q3457" t="s">
        <v>32</v>
      </c>
    </row>
    <row r="3458" spans="1:17" x14ac:dyDescent="0.25">
      <c r="A3458" t="s">
        <v>3575</v>
      </c>
      <c r="B3458" s="1">
        <v>46039</v>
      </c>
      <c r="C3458" t="s">
        <v>18</v>
      </c>
      <c r="D3458" t="s">
        <v>19</v>
      </c>
      <c r="E3458" t="s">
        <v>20</v>
      </c>
      <c r="F3458" t="s">
        <v>21</v>
      </c>
      <c r="G3458" t="s">
        <v>37</v>
      </c>
      <c r="H3458" t="s">
        <v>67</v>
      </c>
      <c r="I3458" t="s">
        <v>68</v>
      </c>
      <c r="J3458">
        <v>15</v>
      </c>
      <c r="K3458">
        <v>15474.74</v>
      </c>
      <c r="L3458">
        <v>232121.1</v>
      </c>
      <c r="M3458">
        <v>0</v>
      </c>
      <c r="N3458">
        <v>14900.64</v>
      </c>
      <c r="O3458">
        <v>217220.46</v>
      </c>
      <c r="P3458" t="s">
        <v>73</v>
      </c>
      <c r="Q3458" t="s">
        <v>32</v>
      </c>
    </row>
    <row r="3459" spans="1:17" x14ac:dyDescent="0.25">
      <c r="A3459" t="s">
        <v>3576</v>
      </c>
      <c r="B3459" s="1">
        <v>46019</v>
      </c>
      <c r="C3459" t="s">
        <v>60</v>
      </c>
      <c r="D3459" t="s">
        <v>123</v>
      </c>
      <c r="E3459" t="s">
        <v>20</v>
      </c>
      <c r="F3459" t="s">
        <v>137</v>
      </c>
      <c r="G3459" t="s">
        <v>56</v>
      </c>
      <c r="H3459" t="s">
        <v>38</v>
      </c>
      <c r="I3459" t="s">
        <v>120</v>
      </c>
      <c r="J3459">
        <v>8</v>
      </c>
      <c r="K3459">
        <v>2361.11</v>
      </c>
      <c r="L3459">
        <v>18888.88</v>
      </c>
      <c r="M3459">
        <v>3340.33</v>
      </c>
      <c r="N3459">
        <v>0</v>
      </c>
      <c r="O3459">
        <v>15548.55</v>
      </c>
      <c r="P3459" t="s">
        <v>25</v>
      </c>
      <c r="Q3459" t="s">
        <v>26</v>
      </c>
    </row>
    <row r="3460" spans="1:17" x14ac:dyDescent="0.25">
      <c r="A3460" t="s">
        <v>3577</v>
      </c>
      <c r="B3460" s="1">
        <v>46012</v>
      </c>
      <c r="C3460" t="s">
        <v>60</v>
      </c>
      <c r="D3460" t="s">
        <v>65</v>
      </c>
      <c r="E3460" t="s">
        <v>35</v>
      </c>
      <c r="F3460" t="s">
        <v>105</v>
      </c>
      <c r="G3460" t="s">
        <v>56</v>
      </c>
      <c r="H3460" t="s">
        <v>57</v>
      </c>
      <c r="I3460" t="s">
        <v>118</v>
      </c>
      <c r="J3460">
        <v>46</v>
      </c>
      <c r="K3460">
        <v>24805.25</v>
      </c>
      <c r="L3460">
        <v>1141041.5</v>
      </c>
      <c r="M3460">
        <v>118452.59</v>
      </c>
      <c r="N3460">
        <v>0</v>
      </c>
      <c r="O3460">
        <v>1022588.91</v>
      </c>
      <c r="P3460" t="s">
        <v>25</v>
      </c>
      <c r="Q3460" t="s">
        <v>26</v>
      </c>
    </row>
    <row r="3461" spans="1:17" x14ac:dyDescent="0.25">
      <c r="A3461" t="s">
        <v>3578</v>
      </c>
      <c r="B3461" s="1">
        <v>46037</v>
      </c>
      <c r="C3461" t="s">
        <v>54</v>
      </c>
      <c r="D3461" t="s">
        <v>133</v>
      </c>
      <c r="E3461" t="s">
        <v>49</v>
      </c>
      <c r="F3461" t="s">
        <v>137</v>
      </c>
      <c r="G3461" t="s">
        <v>85</v>
      </c>
      <c r="H3461" t="s">
        <v>23</v>
      </c>
      <c r="I3461" t="s">
        <v>24</v>
      </c>
      <c r="J3461">
        <v>8</v>
      </c>
      <c r="K3461">
        <v>32938.76</v>
      </c>
      <c r="L3461">
        <v>263510.08</v>
      </c>
      <c r="M3461">
        <v>40890.35</v>
      </c>
      <c r="N3461">
        <v>0</v>
      </c>
      <c r="O3461">
        <v>222619.73</v>
      </c>
      <c r="P3461" t="s">
        <v>31</v>
      </c>
      <c r="Q3461" t="s">
        <v>32</v>
      </c>
    </row>
    <row r="3462" spans="1:17" x14ac:dyDescent="0.25">
      <c r="A3462" t="s">
        <v>3579</v>
      </c>
      <c r="B3462" s="1">
        <v>46009</v>
      </c>
      <c r="C3462" t="s">
        <v>18</v>
      </c>
      <c r="D3462" t="s">
        <v>28</v>
      </c>
      <c r="E3462" t="s">
        <v>41</v>
      </c>
      <c r="F3462" t="s">
        <v>112</v>
      </c>
      <c r="G3462" t="s">
        <v>37</v>
      </c>
      <c r="H3462" t="s">
        <v>94</v>
      </c>
      <c r="I3462" t="s">
        <v>144</v>
      </c>
      <c r="J3462">
        <v>41</v>
      </c>
      <c r="K3462">
        <v>16899.38</v>
      </c>
      <c r="L3462">
        <v>692874.58</v>
      </c>
      <c r="M3462">
        <v>0</v>
      </c>
      <c r="N3462">
        <v>0</v>
      </c>
      <c r="O3462">
        <v>692874.58</v>
      </c>
      <c r="P3462" t="s">
        <v>73</v>
      </c>
      <c r="Q3462" t="s">
        <v>26</v>
      </c>
    </row>
    <row r="3463" spans="1:17" x14ac:dyDescent="0.25">
      <c r="A3463" t="s">
        <v>3580</v>
      </c>
      <c r="B3463" s="1">
        <v>46026</v>
      </c>
      <c r="C3463" t="s">
        <v>18</v>
      </c>
      <c r="D3463" t="s">
        <v>75</v>
      </c>
      <c r="E3463" t="s">
        <v>49</v>
      </c>
      <c r="F3463" t="s">
        <v>62</v>
      </c>
      <c r="G3463" t="s">
        <v>98</v>
      </c>
      <c r="H3463" t="s">
        <v>94</v>
      </c>
      <c r="I3463" t="s">
        <v>177</v>
      </c>
      <c r="J3463">
        <v>28</v>
      </c>
      <c r="K3463">
        <v>13263.17</v>
      </c>
      <c r="L3463">
        <v>371368.76</v>
      </c>
      <c r="M3463">
        <v>0</v>
      </c>
      <c r="N3463">
        <v>0</v>
      </c>
      <c r="O3463">
        <v>371368.76</v>
      </c>
      <c r="P3463" t="s">
        <v>73</v>
      </c>
      <c r="Q3463" t="s">
        <v>32</v>
      </c>
    </row>
    <row r="3464" spans="1:17" x14ac:dyDescent="0.25">
      <c r="A3464" t="s">
        <v>3581</v>
      </c>
      <c r="B3464" s="1">
        <v>45958</v>
      </c>
      <c r="C3464" t="s">
        <v>60</v>
      </c>
      <c r="D3464" t="s">
        <v>65</v>
      </c>
      <c r="E3464" t="s">
        <v>49</v>
      </c>
      <c r="F3464" t="s">
        <v>71</v>
      </c>
      <c r="G3464" t="s">
        <v>98</v>
      </c>
      <c r="H3464" t="s">
        <v>94</v>
      </c>
      <c r="I3464" t="s">
        <v>177</v>
      </c>
      <c r="J3464">
        <v>9</v>
      </c>
      <c r="K3464">
        <v>15905.07</v>
      </c>
      <c r="L3464">
        <v>143145.63</v>
      </c>
      <c r="M3464">
        <v>0</v>
      </c>
      <c r="N3464">
        <v>0</v>
      </c>
      <c r="O3464">
        <v>143145.63</v>
      </c>
      <c r="P3464" t="s">
        <v>31</v>
      </c>
      <c r="Q3464" t="s">
        <v>32</v>
      </c>
    </row>
    <row r="3465" spans="1:17" x14ac:dyDescent="0.25">
      <c r="A3465" t="s">
        <v>3582</v>
      </c>
      <c r="B3465" s="1">
        <v>45972</v>
      </c>
      <c r="C3465" t="s">
        <v>54</v>
      </c>
      <c r="D3465" t="s">
        <v>55</v>
      </c>
      <c r="E3465" t="s">
        <v>35</v>
      </c>
      <c r="F3465" t="s">
        <v>84</v>
      </c>
      <c r="G3465" t="s">
        <v>43</v>
      </c>
      <c r="H3465" t="s">
        <v>23</v>
      </c>
      <c r="I3465" t="s">
        <v>52</v>
      </c>
      <c r="J3465">
        <v>22</v>
      </c>
      <c r="K3465">
        <v>17395.48</v>
      </c>
      <c r="L3465">
        <v>382700.56</v>
      </c>
      <c r="M3465">
        <v>59200.53</v>
      </c>
      <c r="N3465">
        <v>40744.449999999997</v>
      </c>
      <c r="O3465">
        <v>282755.58</v>
      </c>
      <c r="P3465" t="s">
        <v>73</v>
      </c>
      <c r="Q3465" t="s">
        <v>32</v>
      </c>
    </row>
    <row r="3466" spans="1:17" x14ac:dyDescent="0.25">
      <c r="A3466" t="s">
        <v>3583</v>
      </c>
      <c r="B3466" s="1">
        <v>45986</v>
      </c>
      <c r="C3466" t="s">
        <v>54</v>
      </c>
      <c r="D3466" t="s">
        <v>97</v>
      </c>
      <c r="E3466" t="s">
        <v>35</v>
      </c>
      <c r="F3466" t="s">
        <v>50</v>
      </c>
      <c r="G3466" t="s">
        <v>81</v>
      </c>
      <c r="H3466" t="s">
        <v>38</v>
      </c>
      <c r="I3466" t="s">
        <v>120</v>
      </c>
      <c r="J3466">
        <v>14</v>
      </c>
      <c r="K3466">
        <v>4760.09</v>
      </c>
      <c r="L3466">
        <v>66641.259999999995</v>
      </c>
      <c r="M3466">
        <v>0</v>
      </c>
      <c r="N3466">
        <v>0</v>
      </c>
      <c r="O3466">
        <v>66641.259999999995</v>
      </c>
      <c r="P3466" t="s">
        <v>32</v>
      </c>
      <c r="Q3466" t="s">
        <v>32</v>
      </c>
    </row>
    <row r="3467" spans="1:17" x14ac:dyDescent="0.25">
      <c r="A3467" t="s">
        <v>3584</v>
      </c>
      <c r="B3467" s="1">
        <v>45965</v>
      </c>
      <c r="C3467" t="s">
        <v>54</v>
      </c>
      <c r="D3467" t="s">
        <v>97</v>
      </c>
      <c r="E3467" t="s">
        <v>20</v>
      </c>
      <c r="F3467" t="s">
        <v>50</v>
      </c>
      <c r="G3467" t="s">
        <v>89</v>
      </c>
      <c r="H3467" t="s">
        <v>23</v>
      </c>
      <c r="I3467" t="s">
        <v>52</v>
      </c>
      <c r="J3467">
        <v>9</v>
      </c>
      <c r="K3467">
        <v>1303.8900000000001</v>
      </c>
      <c r="L3467">
        <v>11735.01</v>
      </c>
      <c r="M3467">
        <v>2287.6999999999998</v>
      </c>
      <c r="N3467">
        <v>484.15</v>
      </c>
      <c r="O3467">
        <v>8963.16</v>
      </c>
      <c r="P3467" t="s">
        <v>31</v>
      </c>
      <c r="Q3467" t="s">
        <v>32</v>
      </c>
    </row>
    <row r="3468" spans="1:17" x14ac:dyDescent="0.25">
      <c r="A3468" t="s">
        <v>3585</v>
      </c>
      <c r="B3468" s="1">
        <v>45982</v>
      </c>
      <c r="C3468" t="s">
        <v>79</v>
      </c>
      <c r="D3468" t="s">
        <v>101</v>
      </c>
      <c r="E3468" t="s">
        <v>20</v>
      </c>
      <c r="F3468" t="s">
        <v>71</v>
      </c>
      <c r="G3468" t="s">
        <v>37</v>
      </c>
      <c r="H3468" t="s">
        <v>94</v>
      </c>
      <c r="I3468" t="s">
        <v>193</v>
      </c>
      <c r="J3468">
        <v>36</v>
      </c>
      <c r="K3468">
        <v>9379.76</v>
      </c>
      <c r="L3468">
        <v>337671.36</v>
      </c>
      <c r="M3468">
        <v>0</v>
      </c>
      <c r="N3468">
        <v>0</v>
      </c>
      <c r="O3468">
        <v>337671.36</v>
      </c>
      <c r="P3468" t="s">
        <v>32</v>
      </c>
      <c r="Q3468" t="s">
        <v>32</v>
      </c>
    </row>
    <row r="3469" spans="1:17" x14ac:dyDescent="0.25">
      <c r="A3469" t="s">
        <v>3586</v>
      </c>
      <c r="B3469" s="1">
        <v>46043</v>
      </c>
      <c r="C3469" t="s">
        <v>18</v>
      </c>
      <c r="D3469" t="s">
        <v>75</v>
      </c>
      <c r="E3469" t="s">
        <v>41</v>
      </c>
      <c r="F3469" t="s">
        <v>62</v>
      </c>
      <c r="G3469" t="s">
        <v>102</v>
      </c>
      <c r="H3469" t="s">
        <v>23</v>
      </c>
      <c r="I3469" t="s">
        <v>24</v>
      </c>
      <c r="J3469">
        <v>21</v>
      </c>
      <c r="K3469">
        <v>45204.75</v>
      </c>
      <c r="L3469">
        <v>949299.75</v>
      </c>
      <c r="M3469">
        <v>180724.12</v>
      </c>
      <c r="N3469">
        <v>0</v>
      </c>
      <c r="O3469">
        <v>768575.63</v>
      </c>
      <c r="P3469" t="s">
        <v>31</v>
      </c>
      <c r="Q3469" t="s">
        <v>32</v>
      </c>
    </row>
    <row r="3470" spans="1:17" x14ac:dyDescent="0.25">
      <c r="A3470" t="s">
        <v>3587</v>
      </c>
      <c r="B3470" s="1">
        <v>46038</v>
      </c>
      <c r="C3470" t="s">
        <v>47</v>
      </c>
      <c r="D3470" t="s">
        <v>48</v>
      </c>
      <c r="E3470" t="s">
        <v>49</v>
      </c>
      <c r="F3470" t="s">
        <v>21</v>
      </c>
      <c r="G3470" t="s">
        <v>102</v>
      </c>
      <c r="H3470" t="s">
        <v>67</v>
      </c>
      <c r="I3470" t="s">
        <v>154</v>
      </c>
      <c r="J3470">
        <v>32</v>
      </c>
      <c r="K3470">
        <v>11431.77</v>
      </c>
      <c r="L3470">
        <v>365816.64</v>
      </c>
      <c r="M3470">
        <v>58399.68</v>
      </c>
      <c r="N3470">
        <v>85315.58</v>
      </c>
      <c r="O3470">
        <v>222101.38</v>
      </c>
      <c r="P3470" t="s">
        <v>31</v>
      </c>
      <c r="Q3470" t="s">
        <v>32</v>
      </c>
    </row>
    <row r="3471" spans="1:17" x14ac:dyDescent="0.25">
      <c r="A3471" t="s">
        <v>3588</v>
      </c>
      <c r="B3471" s="1">
        <v>45961</v>
      </c>
      <c r="C3471" t="s">
        <v>47</v>
      </c>
      <c r="D3471" t="s">
        <v>127</v>
      </c>
      <c r="E3471" t="s">
        <v>41</v>
      </c>
      <c r="F3471" t="s">
        <v>84</v>
      </c>
      <c r="G3471" t="s">
        <v>98</v>
      </c>
      <c r="H3471" t="s">
        <v>38</v>
      </c>
      <c r="I3471" t="s">
        <v>120</v>
      </c>
      <c r="J3471">
        <v>38</v>
      </c>
      <c r="K3471">
        <v>30716.52</v>
      </c>
      <c r="L3471">
        <v>1167227.76</v>
      </c>
      <c r="M3471">
        <v>0</v>
      </c>
      <c r="N3471">
        <v>0</v>
      </c>
      <c r="O3471">
        <v>1167227.76</v>
      </c>
      <c r="P3471" t="s">
        <v>32</v>
      </c>
      <c r="Q3471" t="s">
        <v>32</v>
      </c>
    </row>
    <row r="3472" spans="1:17" x14ac:dyDescent="0.25">
      <c r="A3472" t="s">
        <v>3589</v>
      </c>
      <c r="B3472" s="1">
        <v>45998</v>
      </c>
      <c r="C3472" t="s">
        <v>18</v>
      </c>
      <c r="D3472" t="s">
        <v>19</v>
      </c>
      <c r="E3472" t="s">
        <v>20</v>
      </c>
      <c r="F3472" t="s">
        <v>36</v>
      </c>
      <c r="G3472" t="s">
        <v>56</v>
      </c>
      <c r="H3472" t="s">
        <v>67</v>
      </c>
      <c r="I3472" t="s">
        <v>77</v>
      </c>
      <c r="J3472">
        <v>16</v>
      </c>
      <c r="K3472">
        <v>3788.44</v>
      </c>
      <c r="L3472">
        <v>60615.040000000001</v>
      </c>
      <c r="M3472">
        <v>8010.7</v>
      </c>
      <c r="N3472">
        <v>3074.36</v>
      </c>
      <c r="O3472">
        <v>49529.98</v>
      </c>
      <c r="P3472" t="s">
        <v>32</v>
      </c>
      <c r="Q3472" t="s">
        <v>32</v>
      </c>
    </row>
    <row r="3473" spans="1:17" x14ac:dyDescent="0.25">
      <c r="A3473" t="s">
        <v>3590</v>
      </c>
      <c r="B3473" s="1">
        <v>46021</v>
      </c>
      <c r="C3473" t="s">
        <v>47</v>
      </c>
      <c r="D3473" t="s">
        <v>114</v>
      </c>
      <c r="E3473" t="s">
        <v>20</v>
      </c>
      <c r="F3473" t="s">
        <v>71</v>
      </c>
      <c r="G3473" t="s">
        <v>102</v>
      </c>
      <c r="H3473" t="s">
        <v>38</v>
      </c>
      <c r="I3473" t="s">
        <v>108</v>
      </c>
      <c r="J3473">
        <v>45</v>
      </c>
      <c r="K3473">
        <v>10268.99</v>
      </c>
      <c r="L3473">
        <v>462104.55</v>
      </c>
      <c r="M3473">
        <v>0</v>
      </c>
      <c r="N3473">
        <v>136484.04999999999</v>
      </c>
      <c r="O3473">
        <v>325620.5</v>
      </c>
      <c r="P3473" t="s">
        <v>31</v>
      </c>
      <c r="Q3473" t="s">
        <v>32</v>
      </c>
    </row>
    <row r="3474" spans="1:17" x14ac:dyDescent="0.25">
      <c r="A3474" t="s">
        <v>3591</v>
      </c>
      <c r="B3474" s="1">
        <v>46006</v>
      </c>
      <c r="C3474" t="s">
        <v>47</v>
      </c>
      <c r="D3474" t="s">
        <v>127</v>
      </c>
      <c r="E3474" t="s">
        <v>49</v>
      </c>
      <c r="F3474" t="s">
        <v>84</v>
      </c>
      <c r="G3474" t="s">
        <v>37</v>
      </c>
      <c r="H3474" t="s">
        <v>38</v>
      </c>
      <c r="I3474" t="s">
        <v>82</v>
      </c>
      <c r="J3474">
        <v>14</v>
      </c>
      <c r="K3474">
        <v>5298.1</v>
      </c>
      <c r="L3474">
        <v>74173.399999999994</v>
      </c>
      <c r="M3474">
        <v>0</v>
      </c>
      <c r="N3474">
        <v>0</v>
      </c>
      <c r="O3474">
        <v>74173.399999999994</v>
      </c>
      <c r="P3474" t="s">
        <v>32</v>
      </c>
      <c r="Q3474" t="s">
        <v>32</v>
      </c>
    </row>
    <row r="3475" spans="1:17" x14ac:dyDescent="0.25">
      <c r="A3475" t="s">
        <v>3592</v>
      </c>
      <c r="B3475" s="1">
        <v>46025</v>
      </c>
      <c r="C3475" t="s">
        <v>60</v>
      </c>
      <c r="D3475" t="s">
        <v>151</v>
      </c>
      <c r="E3475" t="s">
        <v>49</v>
      </c>
      <c r="F3475" t="s">
        <v>137</v>
      </c>
      <c r="G3475" t="s">
        <v>140</v>
      </c>
      <c r="H3475" t="s">
        <v>44</v>
      </c>
      <c r="I3475" t="s">
        <v>124</v>
      </c>
      <c r="J3475">
        <v>24</v>
      </c>
      <c r="K3475">
        <v>1480.6</v>
      </c>
      <c r="L3475">
        <v>35534.400000000001</v>
      </c>
      <c r="M3475">
        <v>5137.07</v>
      </c>
      <c r="N3475">
        <v>0</v>
      </c>
      <c r="O3475">
        <v>30397.33</v>
      </c>
      <c r="P3475" t="s">
        <v>25</v>
      </c>
      <c r="Q3475" t="s">
        <v>26</v>
      </c>
    </row>
    <row r="3476" spans="1:17" x14ac:dyDescent="0.25">
      <c r="A3476" t="s">
        <v>3593</v>
      </c>
      <c r="B3476" s="1">
        <v>45963</v>
      </c>
      <c r="C3476" t="s">
        <v>79</v>
      </c>
      <c r="D3476" t="s">
        <v>80</v>
      </c>
      <c r="E3476" t="s">
        <v>20</v>
      </c>
      <c r="F3476" t="s">
        <v>84</v>
      </c>
      <c r="G3476" t="s">
        <v>81</v>
      </c>
      <c r="H3476" t="s">
        <v>67</v>
      </c>
      <c r="I3476" t="s">
        <v>77</v>
      </c>
      <c r="J3476">
        <v>25</v>
      </c>
      <c r="K3476">
        <v>4259.0200000000004</v>
      </c>
      <c r="L3476">
        <v>106475.5</v>
      </c>
      <c r="M3476">
        <v>18273.900000000001</v>
      </c>
      <c r="N3476">
        <v>0</v>
      </c>
      <c r="O3476">
        <v>88201.600000000006</v>
      </c>
      <c r="P3476" t="s">
        <v>73</v>
      </c>
      <c r="Q3476" t="s">
        <v>26</v>
      </c>
    </row>
    <row r="3477" spans="1:17" x14ac:dyDescent="0.25">
      <c r="A3477" t="s">
        <v>3594</v>
      </c>
      <c r="B3477" s="1">
        <v>45999</v>
      </c>
      <c r="C3477" t="s">
        <v>54</v>
      </c>
      <c r="D3477" t="s">
        <v>70</v>
      </c>
      <c r="E3477" t="s">
        <v>20</v>
      </c>
      <c r="F3477" t="s">
        <v>105</v>
      </c>
      <c r="G3477" t="s">
        <v>81</v>
      </c>
      <c r="H3477" t="s">
        <v>94</v>
      </c>
      <c r="I3477" t="s">
        <v>177</v>
      </c>
      <c r="J3477">
        <v>26</v>
      </c>
      <c r="K3477">
        <v>21809.81</v>
      </c>
      <c r="L3477">
        <v>567055.06000000006</v>
      </c>
      <c r="M3477">
        <v>84546.15</v>
      </c>
      <c r="N3477">
        <v>0</v>
      </c>
      <c r="O3477">
        <v>482508.91</v>
      </c>
      <c r="P3477" t="s">
        <v>32</v>
      </c>
      <c r="Q3477" t="s">
        <v>32</v>
      </c>
    </row>
    <row r="3478" spans="1:17" x14ac:dyDescent="0.25">
      <c r="A3478" t="s">
        <v>3595</v>
      </c>
      <c r="B3478" s="1">
        <v>45972</v>
      </c>
      <c r="C3478" t="s">
        <v>54</v>
      </c>
      <c r="D3478" t="s">
        <v>133</v>
      </c>
      <c r="E3478" t="s">
        <v>49</v>
      </c>
      <c r="F3478" t="s">
        <v>50</v>
      </c>
      <c r="G3478" t="s">
        <v>22</v>
      </c>
      <c r="H3478" t="s">
        <v>23</v>
      </c>
      <c r="I3478" t="s">
        <v>24</v>
      </c>
      <c r="J3478">
        <v>26</v>
      </c>
      <c r="K3478">
        <v>39807.42</v>
      </c>
      <c r="L3478">
        <v>1034992.92</v>
      </c>
      <c r="M3478">
        <v>0</v>
      </c>
      <c r="N3478">
        <v>0</v>
      </c>
      <c r="O3478">
        <v>1034992.92</v>
      </c>
      <c r="P3478" t="s">
        <v>31</v>
      </c>
      <c r="Q3478" t="s">
        <v>32</v>
      </c>
    </row>
    <row r="3479" spans="1:17" x14ac:dyDescent="0.25">
      <c r="A3479" t="s">
        <v>3596</v>
      </c>
      <c r="B3479" s="1">
        <v>46001</v>
      </c>
      <c r="C3479" t="s">
        <v>47</v>
      </c>
      <c r="D3479" t="s">
        <v>127</v>
      </c>
      <c r="E3479" t="s">
        <v>49</v>
      </c>
      <c r="F3479" t="s">
        <v>105</v>
      </c>
      <c r="G3479" t="s">
        <v>140</v>
      </c>
      <c r="H3479" t="s">
        <v>67</v>
      </c>
      <c r="I3479" t="s">
        <v>103</v>
      </c>
      <c r="J3479">
        <v>10</v>
      </c>
      <c r="K3479">
        <v>14747.4</v>
      </c>
      <c r="L3479">
        <v>147474</v>
      </c>
      <c r="M3479">
        <v>8830.4500000000007</v>
      </c>
      <c r="N3479">
        <v>0</v>
      </c>
      <c r="O3479">
        <v>138643.54999999999</v>
      </c>
      <c r="P3479" t="s">
        <v>25</v>
      </c>
      <c r="Q3479" t="s">
        <v>26</v>
      </c>
    </row>
    <row r="3480" spans="1:17" x14ac:dyDescent="0.25">
      <c r="A3480" t="s">
        <v>3597</v>
      </c>
      <c r="B3480" s="1">
        <v>46041</v>
      </c>
      <c r="C3480" t="s">
        <v>54</v>
      </c>
      <c r="D3480" t="s">
        <v>97</v>
      </c>
      <c r="E3480" t="s">
        <v>20</v>
      </c>
      <c r="F3480" t="s">
        <v>84</v>
      </c>
      <c r="G3480" t="s">
        <v>22</v>
      </c>
      <c r="H3480" t="s">
        <v>67</v>
      </c>
      <c r="I3480" t="s">
        <v>201</v>
      </c>
      <c r="J3480">
        <v>50</v>
      </c>
      <c r="K3480">
        <v>32177.7</v>
      </c>
      <c r="L3480">
        <v>1608885</v>
      </c>
      <c r="M3480">
        <v>133682.57999999999</v>
      </c>
      <c r="N3480">
        <v>0</v>
      </c>
      <c r="O3480">
        <v>1475202.42</v>
      </c>
      <c r="P3480" t="s">
        <v>32</v>
      </c>
      <c r="Q3480" t="s">
        <v>32</v>
      </c>
    </row>
    <row r="3481" spans="1:17" x14ac:dyDescent="0.25">
      <c r="A3481" t="s">
        <v>3598</v>
      </c>
      <c r="B3481" s="1">
        <v>45974</v>
      </c>
      <c r="C3481" t="s">
        <v>18</v>
      </c>
      <c r="D3481" t="s">
        <v>28</v>
      </c>
      <c r="E3481" t="s">
        <v>49</v>
      </c>
      <c r="F3481" t="s">
        <v>71</v>
      </c>
      <c r="G3481" t="s">
        <v>43</v>
      </c>
      <c r="H3481" t="s">
        <v>38</v>
      </c>
      <c r="I3481" t="s">
        <v>120</v>
      </c>
      <c r="J3481">
        <v>4</v>
      </c>
      <c r="K3481">
        <v>1469.35</v>
      </c>
      <c r="L3481">
        <v>5877.4</v>
      </c>
      <c r="M3481">
        <v>0</v>
      </c>
      <c r="N3481">
        <v>0</v>
      </c>
      <c r="O3481">
        <v>5877.4</v>
      </c>
      <c r="P3481" t="s">
        <v>25</v>
      </c>
      <c r="Q3481" t="s">
        <v>32</v>
      </c>
    </row>
    <row r="3482" spans="1:17" x14ac:dyDescent="0.25">
      <c r="A3482" t="s">
        <v>3599</v>
      </c>
      <c r="B3482" s="1">
        <v>45982</v>
      </c>
      <c r="C3482" t="s">
        <v>47</v>
      </c>
      <c r="D3482" t="s">
        <v>88</v>
      </c>
      <c r="E3482" t="s">
        <v>41</v>
      </c>
      <c r="F3482" t="s">
        <v>71</v>
      </c>
      <c r="G3482" t="s">
        <v>22</v>
      </c>
      <c r="H3482" t="s">
        <v>44</v>
      </c>
      <c r="I3482" t="s">
        <v>152</v>
      </c>
      <c r="J3482">
        <v>15</v>
      </c>
      <c r="K3482">
        <v>21354.21</v>
      </c>
      <c r="L3482">
        <v>320313.15000000002</v>
      </c>
      <c r="M3482">
        <v>27655.38</v>
      </c>
      <c r="N3482">
        <v>0</v>
      </c>
      <c r="O3482">
        <v>292657.77</v>
      </c>
      <c r="P3482" t="s">
        <v>31</v>
      </c>
      <c r="Q3482" t="s">
        <v>32</v>
      </c>
    </row>
    <row r="3483" spans="1:17" x14ac:dyDescent="0.25">
      <c r="A3483" t="s">
        <v>3600</v>
      </c>
      <c r="B3483" s="1">
        <v>45972</v>
      </c>
      <c r="C3483" t="s">
        <v>47</v>
      </c>
      <c r="D3483" t="s">
        <v>114</v>
      </c>
      <c r="E3483" t="s">
        <v>20</v>
      </c>
      <c r="F3483" t="s">
        <v>84</v>
      </c>
      <c r="G3483" t="s">
        <v>81</v>
      </c>
      <c r="H3483" t="s">
        <v>38</v>
      </c>
      <c r="I3483" t="s">
        <v>120</v>
      </c>
      <c r="J3483">
        <v>49</v>
      </c>
      <c r="K3483">
        <v>47689.84</v>
      </c>
      <c r="L3483">
        <v>2336802.16</v>
      </c>
      <c r="M3483">
        <v>278740.36</v>
      </c>
      <c r="N3483">
        <v>0</v>
      </c>
      <c r="O3483">
        <v>2058061.8</v>
      </c>
      <c r="P3483" t="s">
        <v>31</v>
      </c>
      <c r="Q3483" t="s">
        <v>32</v>
      </c>
    </row>
    <row r="3484" spans="1:17" x14ac:dyDescent="0.25">
      <c r="A3484" t="s">
        <v>3601</v>
      </c>
      <c r="B3484" s="1">
        <v>46010</v>
      </c>
      <c r="C3484" t="s">
        <v>60</v>
      </c>
      <c r="D3484" t="s">
        <v>65</v>
      </c>
      <c r="E3484" t="s">
        <v>49</v>
      </c>
      <c r="F3484" t="s">
        <v>42</v>
      </c>
      <c r="G3484" t="s">
        <v>43</v>
      </c>
      <c r="H3484" t="s">
        <v>23</v>
      </c>
      <c r="I3484" t="s">
        <v>30</v>
      </c>
      <c r="J3484">
        <v>45</v>
      </c>
      <c r="K3484">
        <v>27022.9</v>
      </c>
      <c r="L3484">
        <v>1216030.5</v>
      </c>
      <c r="M3484">
        <v>0</v>
      </c>
      <c r="N3484">
        <v>0</v>
      </c>
      <c r="O3484">
        <v>1216030.5</v>
      </c>
      <c r="P3484" t="s">
        <v>32</v>
      </c>
      <c r="Q3484" t="s">
        <v>32</v>
      </c>
    </row>
    <row r="3485" spans="1:17" x14ac:dyDescent="0.25">
      <c r="A3485" t="s">
        <v>3602</v>
      </c>
      <c r="B3485" s="1">
        <v>46032</v>
      </c>
      <c r="C3485" t="s">
        <v>54</v>
      </c>
      <c r="D3485" t="s">
        <v>133</v>
      </c>
      <c r="E3485" t="s">
        <v>35</v>
      </c>
      <c r="F3485" t="s">
        <v>50</v>
      </c>
      <c r="G3485" t="s">
        <v>51</v>
      </c>
      <c r="H3485" t="s">
        <v>67</v>
      </c>
      <c r="I3485" t="s">
        <v>103</v>
      </c>
      <c r="J3485">
        <v>50</v>
      </c>
      <c r="K3485">
        <v>4762.0200000000004</v>
      </c>
      <c r="L3485">
        <v>238101</v>
      </c>
      <c r="M3485">
        <v>21012.54</v>
      </c>
      <c r="N3485">
        <v>0</v>
      </c>
      <c r="O3485">
        <v>217088.46</v>
      </c>
      <c r="P3485" t="s">
        <v>31</v>
      </c>
      <c r="Q3485" t="s">
        <v>32</v>
      </c>
    </row>
    <row r="3486" spans="1:17" x14ac:dyDescent="0.25">
      <c r="A3486" t="s">
        <v>3603</v>
      </c>
      <c r="B3486" s="1">
        <v>46006</v>
      </c>
      <c r="C3486" t="s">
        <v>79</v>
      </c>
      <c r="D3486" t="s">
        <v>91</v>
      </c>
      <c r="E3486" t="s">
        <v>35</v>
      </c>
      <c r="F3486" t="s">
        <v>105</v>
      </c>
      <c r="G3486" t="s">
        <v>51</v>
      </c>
      <c r="H3486" t="s">
        <v>57</v>
      </c>
      <c r="I3486" t="s">
        <v>58</v>
      </c>
      <c r="J3486">
        <v>16</v>
      </c>
      <c r="K3486">
        <v>32678.12</v>
      </c>
      <c r="L3486">
        <v>522849.92</v>
      </c>
      <c r="M3486">
        <v>0</v>
      </c>
      <c r="N3486">
        <v>0</v>
      </c>
      <c r="O3486">
        <v>522849.92</v>
      </c>
      <c r="P3486" t="s">
        <v>32</v>
      </c>
      <c r="Q3486" t="s">
        <v>26</v>
      </c>
    </row>
    <row r="3487" spans="1:17" x14ac:dyDescent="0.25">
      <c r="A3487" t="s">
        <v>3604</v>
      </c>
      <c r="B3487" s="1">
        <v>45962</v>
      </c>
      <c r="C3487" t="s">
        <v>18</v>
      </c>
      <c r="D3487" t="s">
        <v>34</v>
      </c>
      <c r="E3487" t="s">
        <v>41</v>
      </c>
      <c r="F3487" t="s">
        <v>105</v>
      </c>
      <c r="G3487" t="s">
        <v>56</v>
      </c>
      <c r="H3487" t="s">
        <v>94</v>
      </c>
      <c r="I3487" t="s">
        <v>177</v>
      </c>
      <c r="J3487">
        <v>44</v>
      </c>
      <c r="K3487">
        <v>26541.96</v>
      </c>
      <c r="L3487">
        <v>1167846.24</v>
      </c>
      <c r="M3487">
        <v>0</v>
      </c>
      <c r="N3487">
        <v>0</v>
      </c>
      <c r="O3487">
        <v>1167846.24</v>
      </c>
      <c r="P3487" t="s">
        <v>73</v>
      </c>
      <c r="Q3487" t="s">
        <v>26</v>
      </c>
    </row>
    <row r="3488" spans="1:17" x14ac:dyDescent="0.25">
      <c r="A3488" t="s">
        <v>3605</v>
      </c>
      <c r="B3488" s="1">
        <v>46035</v>
      </c>
      <c r="C3488" t="s">
        <v>18</v>
      </c>
      <c r="D3488" t="s">
        <v>34</v>
      </c>
      <c r="E3488" t="s">
        <v>20</v>
      </c>
      <c r="F3488" t="s">
        <v>50</v>
      </c>
      <c r="G3488" t="s">
        <v>63</v>
      </c>
      <c r="H3488" t="s">
        <v>57</v>
      </c>
      <c r="I3488" t="s">
        <v>92</v>
      </c>
      <c r="J3488">
        <v>44</v>
      </c>
      <c r="K3488">
        <v>30333.37</v>
      </c>
      <c r="L3488">
        <v>1334668.28</v>
      </c>
      <c r="M3488">
        <v>57530.77</v>
      </c>
      <c r="N3488">
        <v>270646.87</v>
      </c>
      <c r="O3488">
        <v>1006490.64</v>
      </c>
      <c r="P3488" t="s">
        <v>73</v>
      </c>
      <c r="Q3488" t="s">
        <v>26</v>
      </c>
    </row>
    <row r="3489" spans="1:17" x14ac:dyDescent="0.25">
      <c r="A3489" t="s">
        <v>3606</v>
      </c>
      <c r="B3489" s="1">
        <v>46013</v>
      </c>
      <c r="C3489" t="s">
        <v>79</v>
      </c>
      <c r="D3489" t="s">
        <v>80</v>
      </c>
      <c r="E3489" t="s">
        <v>20</v>
      </c>
      <c r="F3489" t="s">
        <v>62</v>
      </c>
      <c r="G3489" t="s">
        <v>66</v>
      </c>
      <c r="H3489" t="s">
        <v>44</v>
      </c>
      <c r="I3489" t="s">
        <v>141</v>
      </c>
      <c r="J3489">
        <v>30</v>
      </c>
      <c r="K3489">
        <v>26317.58</v>
      </c>
      <c r="L3489">
        <v>789527.4</v>
      </c>
      <c r="M3489">
        <v>148761.29</v>
      </c>
      <c r="N3489">
        <v>0</v>
      </c>
      <c r="O3489">
        <v>640766.11</v>
      </c>
      <c r="P3489" t="s">
        <v>73</v>
      </c>
      <c r="Q3489" t="s">
        <v>32</v>
      </c>
    </row>
    <row r="3490" spans="1:17" x14ac:dyDescent="0.25">
      <c r="A3490" t="s">
        <v>3607</v>
      </c>
      <c r="B3490" s="1">
        <v>45965</v>
      </c>
      <c r="C3490" t="s">
        <v>18</v>
      </c>
      <c r="D3490" t="s">
        <v>34</v>
      </c>
      <c r="E3490" t="s">
        <v>49</v>
      </c>
      <c r="F3490" t="s">
        <v>36</v>
      </c>
      <c r="G3490" t="s">
        <v>22</v>
      </c>
      <c r="H3490" t="s">
        <v>57</v>
      </c>
      <c r="I3490" t="s">
        <v>118</v>
      </c>
      <c r="J3490">
        <v>3</v>
      </c>
      <c r="K3490">
        <v>46032.15</v>
      </c>
      <c r="L3490">
        <v>138096.45000000001</v>
      </c>
      <c r="M3490">
        <v>0</v>
      </c>
      <c r="N3490">
        <v>0</v>
      </c>
      <c r="O3490">
        <v>138096.45000000001</v>
      </c>
      <c r="P3490" t="s">
        <v>32</v>
      </c>
      <c r="Q3490" t="s">
        <v>32</v>
      </c>
    </row>
    <row r="3491" spans="1:17" x14ac:dyDescent="0.25">
      <c r="A3491" t="s">
        <v>3608</v>
      </c>
      <c r="B3491" s="1">
        <v>45977</v>
      </c>
      <c r="C3491" t="s">
        <v>54</v>
      </c>
      <c r="D3491" t="s">
        <v>55</v>
      </c>
      <c r="E3491" t="s">
        <v>41</v>
      </c>
      <c r="F3491" t="s">
        <v>42</v>
      </c>
      <c r="G3491" t="s">
        <v>37</v>
      </c>
      <c r="H3491" t="s">
        <v>38</v>
      </c>
      <c r="I3491" t="s">
        <v>175</v>
      </c>
      <c r="J3491">
        <v>37</v>
      </c>
      <c r="K3491">
        <v>3084.44</v>
      </c>
      <c r="L3491">
        <v>114124.28</v>
      </c>
      <c r="M3491">
        <v>17019.39</v>
      </c>
      <c r="N3491">
        <v>0</v>
      </c>
      <c r="O3491">
        <v>97104.89</v>
      </c>
      <c r="P3491" t="s">
        <v>25</v>
      </c>
      <c r="Q3491" t="s">
        <v>26</v>
      </c>
    </row>
    <row r="3492" spans="1:17" x14ac:dyDescent="0.25">
      <c r="A3492" t="s">
        <v>3609</v>
      </c>
      <c r="B3492" s="1">
        <v>45954</v>
      </c>
      <c r="C3492" t="s">
        <v>54</v>
      </c>
      <c r="D3492" t="s">
        <v>55</v>
      </c>
      <c r="E3492" t="s">
        <v>20</v>
      </c>
      <c r="F3492" t="s">
        <v>62</v>
      </c>
      <c r="G3492" t="s">
        <v>102</v>
      </c>
      <c r="H3492" t="s">
        <v>44</v>
      </c>
      <c r="I3492" t="s">
        <v>141</v>
      </c>
      <c r="J3492">
        <v>12</v>
      </c>
      <c r="K3492">
        <v>5988.89</v>
      </c>
      <c r="L3492">
        <v>71866.679999999993</v>
      </c>
      <c r="M3492">
        <v>0</v>
      </c>
      <c r="N3492">
        <v>0</v>
      </c>
      <c r="O3492">
        <v>71866.679999999993</v>
      </c>
      <c r="P3492" t="s">
        <v>32</v>
      </c>
      <c r="Q3492" t="s">
        <v>32</v>
      </c>
    </row>
    <row r="3493" spans="1:17" x14ac:dyDescent="0.25">
      <c r="A3493" t="s">
        <v>3610</v>
      </c>
      <c r="B3493" s="1">
        <v>46045</v>
      </c>
      <c r="C3493" t="s">
        <v>60</v>
      </c>
      <c r="D3493" t="s">
        <v>61</v>
      </c>
      <c r="E3493" t="s">
        <v>20</v>
      </c>
      <c r="F3493" t="s">
        <v>36</v>
      </c>
      <c r="G3493" t="s">
        <v>37</v>
      </c>
      <c r="H3493" t="s">
        <v>23</v>
      </c>
      <c r="I3493" t="s">
        <v>131</v>
      </c>
      <c r="J3493">
        <v>6</v>
      </c>
      <c r="K3493">
        <v>45042.83</v>
      </c>
      <c r="L3493">
        <v>270256.98</v>
      </c>
      <c r="M3493">
        <v>0</v>
      </c>
      <c r="N3493">
        <v>74315.009999999995</v>
      </c>
      <c r="O3493">
        <v>195941.97</v>
      </c>
      <c r="P3493" t="s">
        <v>73</v>
      </c>
      <c r="Q3493" t="s">
        <v>32</v>
      </c>
    </row>
    <row r="3494" spans="1:17" x14ac:dyDescent="0.25">
      <c r="A3494" t="s">
        <v>3611</v>
      </c>
      <c r="B3494" s="1">
        <v>46016</v>
      </c>
      <c r="C3494" t="s">
        <v>60</v>
      </c>
      <c r="D3494" t="s">
        <v>151</v>
      </c>
      <c r="E3494" t="s">
        <v>20</v>
      </c>
      <c r="F3494" t="s">
        <v>112</v>
      </c>
      <c r="G3494" t="s">
        <v>89</v>
      </c>
      <c r="H3494" t="s">
        <v>57</v>
      </c>
      <c r="I3494" t="s">
        <v>72</v>
      </c>
      <c r="J3494">
        <v>8</v>
      </c>
      <c r="K3494">
        <v>26961.43</v>
      </c>
      <c r="L3494">
        <v>215691.44</v>
      </c>
      <c r="M3494">
        <v>12606.3</v>
      </c>
      <c r="N3494">
        <v>0</v>
      </c>
      <c r="O3494">
        <v>203085.14</v>
      </c>
      <c r="P3494" t="s">
        <v>73</v>
      </c>
      <c r="Q3494" t="s">
        <v>32</v>
      </c>
    </row>
    <row r="3495" spans="1:17" x14ac:dyDescent="0.25">
      <c r="A3495" t="s">
        <v>3612</v>
      </c>
      <c r="B3495" s="1">
        <v>45997</v>
      </c>
      <c r="C3495" t="s">
        <v>60</v>
      </c>
      <c r="D3495" t="s">
        <v>65</v>
      </c>
      <c r="E3495" t="s">
        <v>35</v>
      </c>
      <c r="F3495" t="s">
        <v>21</v>
      </c>
      <c r="G3495" t="s">
        <v>51</v>
      </c>
      <c r="H3495" t="s">
        <v>67</v>
      </c>
      <c r="I3495" t="s">
        <v>103</v>
      </c>
      <c r="J3495">
        <v>23</v>
      </c>
      <c r="K3495">
        <v>32068.5</v>
      </c>
      <c r="L3495">
        <v>737575.5</v>
      </c>
      <c r="M3495">
        <v>9655.61</v>
      </c>
      <c r="N3495">
        <v>0</v>
      </c>
      <c r="O3495">
        <v>727919.89</v>
      </c>
      <c r="P3495" t="s">
        <v>73</v>
      </c>
      <c r="Q3495" t="s">
        <v>26</v>
      </c>
    </row>
    <row r="3496" spans="1:17" x14ac:dyDescent="0.25">
      <c r="A3496" t="s">
        <v>3613</v>
      </c>
      <c r="B3496" s="1">
        <v>45991</v>
      </c>
      <c r="C3496" t="s">
        <v>47</v>
      </c>
      <c r="D3496" t="s">
        <v>127</v>
      </c>
      <c r="E3496" t="s">
        <v>41</v>
      </c>
      <c r="F3496" t="s">
        <v>36</v>
      </c>
      <c r="G3496" t="s">
        <v>140</v>
      </c>
      <c r="H3496" t="s">
        <v>67</v>
      </c>
      <c r="I3496" t="s">
        <v>77</v>
      </c>
      <c r="J3496">
        <v>15</v>
      </c>
      <c r="K3496">
        <v>17150.87</v>
      </c>
      <c r="L3496">
        <v>257263.05</v>
      </c>
      <c r="M3496">
        <v>0</v>
      </c>
      <c r="N3496">
        <v>0</v>
      </c>
      <c r="O3496">
        <v>257263.05</v>
      </c>
      <c r="P3496" t="s">
        <v>73</v>
      </c>
      <c r="Q3496" t="s">
        <v>32</v>
      </c>
    </row>
    <row r="3497" spans="1:17" x14ac:dyDescent="0.25">
      <c r="A3497" t="s">
        <v>3614</v>
      </c>
      <c r="B3497" s="1">
        <v>46029</v>
      </c>
      <c r="C3497" t="s">
        <v>79</v>
      </c>
      <c r="D3497" t="s">
        <v>101</v>
      </c>
      <c r="E3497" t="s">
        <v>35</v>
      </c>
      <c r="F3497" t="s">
        <v>71</v>
      </c>
      <c r="G3497" t="s">
        <v>89</v>
      </c>
      <c r="H3497" t="s">
        <v>57</v>
      </c>
      <c r="I3497" t="s">
        <v>118</v>
      </c>
      <c r="J3497">
        <v>37</v>
      </c>
      <c r="K3497">
        <v>17182.2</v>
      </c>
      <c r="L3497">
        <v>635741.4</v>
      </c>
      <c r="M3497">
        <v>0</v>
      </c>
      <c r="N3497">
        <v>0</v>
      </c>
      <c r="O3497">
        <v>635741.4</v>
      </c>
      <c r="P3497" t="s">
        <v>32</v>
      </c>
      <c r="Q3497" t="s">
        <v>32</v>
      </c>
    </row>
    <row r="3498" spans="1:17" x14ac:dyDescent="0.25">
      <c r="A3498" t="s">
        <v>3615</v>
      </c>
      <c r="B3498" s="1">
        <v>46038</v>
      </c>
      <c r="C3498" t="s">
        <v>79</v>
      </c>
      <c r="D3498" t="s">
        <v>80</v>
      </c>
      <c r="E3498" t="s">
        <v>49</v>
      </c>
      <c r="F3498" t="s">
        <v>50</v>
      </c>
      <c r="G3498" t="s">
        <v>37</v>
      </c>
      <c r="H3498" t="s">
        <v>67</v>
      </c>
      <c r="I3498" t="s">
        <v>201</v>
      </c>
      <c r="J3498">
        <v>38</v>
      </c>
      <c r="K3498">
        <v>30702.93</v>
      </c>
      <c r="L3498">
        <v>1166711.3400000001</v>
      </c>
      <c r="M3498">
        <v>0</v>
      </c>
      <c r="N3498">
        <v>0</v>
      </c>
      <c r="O3498">
        <v>1166711.3400000001</v>
      </c>
      <c r="P3498" t="s">
        <v>31</v>
      </c>
      <c r="Q3498" t="s">
        <v>32</v>
      </c>
    </row>
    <row r="3499" spans="1:17" x14ac:dyDescent="0.25">
      <c r="A3499" t="s">
        <v>3616</v>
      </c>
      <c r="B3499" s="1">
        <v>46001</v>
      </c>
      <c r="C3499" t="s">
        <v>18</v>
      </c>
      <c r="D3499" t="s">
        <v>19</v>
      </c>
      <c r="E3499" t="s">
        <v>35</v>
      </c>
      <c r="F3499" t="s">
        <v>42</v>
      </c>
      <c r="G3499" t="s">
        <v>102</v>
      </c>
      <c r="H3499" t="s">
        <v>57</v>
      </c>
      <c r="I3499" t="s">
        <v>72</v>
      </c>
      <c r="J3499">
        <v>13</v>
      </c>
      <c r="K3499">
        <v>40257.050000000003</v>
      </c>
      <c r="L3499">
        <v>523341.65</v>
      </c>
      <c r="M3499">
        <v>0</v>
      </c>
      <c r="N3499">
        <v>0</v>
      </c>
      <c r="O3499">
        <v>523341.65</v>
      </c>
      <c r="P3499" t="s">
        <v>73</v>
      </c>
      <c r="Q3499" t="s">
        <v>32</v>
      </c>
    </row>
    <row r="3500" spans="1:17" x14ac:dyDescent="0.25">
      <c r="A3500" t="s">
        <v>3617</v>
      </c>
      <c r="B3500" s="1">
        <v>45973</v>
      </c>
      <c r="C3500" t="s">
        <v>79</v>
      </c>
      <c r="D3500" t="s">
        <v>101</v>
      </c>
      <c r="E3500" t="s">
        <v>49</v>
      </c>
      <c r="F3500" t="s">
        <v>84</v>
      </c>
      <c r="G3500" t="s">
        <v>138</v>
      </c>
      <c r="H3500" t="s">
        <v>38</v>
      </c>
      <c r="I3500" t="s">
        <v>120</v>
      </c>
      <c r="J3500">
        <v>49</v>
      </c>
      <c r="K3500">
        <v>40826.14</v>
      </c>
      <c r="L3500">
        <v>2000480.86</v>
      </c>
      <c r="M3500">
        <v>115661.27</v>
      </c>
      <c r="N3500">
        <v>238592.6</v>
      </c>
      <c r="O3500">
        <v>1646226.99</v>
      </c>
      <c r="P3500" t="s">
        <v>31</v>
      </c>
      <c r="Q3500" t="s">
        <v>32</v>
      </c>
    </row>
    <row r="3501" spans="1:17" x14ac:dyDescent="0.25">
      <c r="A3501" t="s">
        <v>3618</v>
      </c>
      <c r="B3501" s="1">
        <v>46043</v>
      </c>
      <c r="C3501" t="s">
        <v>60</v>
      </c>
      <c r="D3501" t="s">
        <v>61</v>
      </c>
      <c r="E3501" t="s">
        <v>49</v>
      </c>
      <c r="F3501" t="s">
        <v>105</v>
      </c>
      <c r="G3501" t="s">
        <v>43</v>
      </c>
      <c r="H3501" t="s">
        <v>38</v>
      </c>
      <c r="I3501" t="s">
        <v>82</v>
      </c>
      <c r="J3501">
        <v>1</v>
      </c>
      <c r="K3501">
        <v>29674.46</v>
      </c>
      <c r="L3501">
        <v>29674.46</v>
      </c>
      <c r="M3501">
        <v>3091.94</v>
      </c>
      <c r="N3501">
        <v>0</v>
      </c>
      <c r="O3501">
        <v>26582.52</v>
      </c>
      <c r="P3501" t="s">
        <v>31</v>
      </c>
      <c r="Q3501" t="s">
        <v>32</v>
      </c>
    </row>
    <row r="3504" spans="1:17" x14ac:dyDescent="0.25">
      <c r="L3504">
        <f ca="1">SUMIF(sales_order_tracking_data[Invoice_Date],TODAY()-1,sales_order_tracking_data[Gross_Sales])</f>
        <v>0</v>
      </c>
    </row>
    <row r="3506" spans="15:15" x14ac:dyDescent="0.25">
      <c r="O3506" s="1">
        <f ca="1">TODAY()-1</f>
        <v>46046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D559-18E3-46FD-A643-0A822D8430D7}">
  <dimension ref="B2:G7"/>
  <sheetViews>
    <sheetView zoomScale="142" zoomScaleNormal="142" workbookViewId="0"/>
  </sheetViews>
  <sheetFormatPr defaultRowHeight="15" x14ac:dyDescent="0.25"/>
  <cols>
    <col min="2" max="2" width="21" customWidth="1"/>
    <col min="3" max="3" width="20.85546875" customWidth="1"/>
    <col min="4" max="4" width="21" customWidth="1"/>
    <col min="5" max="5" width="24.5703125" customWidth="1"/>
    <col min="6" max="6" width="23.7109375" bestFit="1" customWidth="1"/>
    <col min="7" max="7" width="17.85546875" bestFit="1" customWidth="1"/>
  </cols>
  <sheetData>
    <row r="2" spans="2:7" x14ac:dyDescent="0.25">
      <c r="B2" s="16"/>
      <c r="C2" s="16"/>
      <c r="D2" s="16"/>
      <c r="E2" s="16"/>
      <c r="F2" s="16"/>
      <c r="G2" s="16"/>
    </row>
    <row r="3" spans="2:7" ht="21" x14ac:dyDescent="0.35">
      <c r="B3" s="4" t="s">
        <v>3628</v>
      </c>
      <c r="C3" s="4" t="s">
        <v>2</v>
      </c>
      <c r="D3" s="4" t="s">
        <v>3</v>
      </c>
      <c r="E3" s="4" t="s">
        <v>4</v>
      </c>
      <c r="F3" s="4" t="s">
        <v>7</v>
      </c>
      <c r="G3" s="4" t="s">
        <v>3629</v>
      </c>
    </row>
    <row r="4" spans="2:7" x14ac:dyDescent="0.25">
      <c r="B4" s="5">
        <v>46023</v>
      </c>
      <c r="C4" s="2" t="s">
        <v>3630</v>
      </c>
      <c r="D4" s="2" t="s">
        <v>107</v>
      </c>
      <c r="E4" s="2" t="s">
        <v>20</v>
      </c>
      <c r="F4" s="2" t="s">
        <v>67</v>
      </c>
      <c r="G4" s="2">
        <v>155000000</v>
      </c>
    </row>
    <row r="5" spans="2:7" x14ac:dyDescent="0.25">
      <c r="B5" s="5">
        <v>46023</v>
      </c>
      <c r="C5" s="2" t="s">
        <v>3631</v>
      </c>
      <c r="D5" s="2" t="s">
        <v>123</v>
      </c>
      <c r="E5" s="2" t="s">
        <v>49</v>
      </c>
      <c r="F5" s="2" t="s">
        <v>3634</v>
      </c>
      <c r="G5" s="2">
        <v>180000000</v>
      </c>
    </row>
    <row r="6" spans="2:7" x14ac:dyDescent="0.25">
      <c r="B6" s="5">
        <v>46023</v>
      </c>
      <c r="C6" s="2" t="s">
        <v>3632</v>
      </c>
      <c r="D6" s="2" t="s">
        <v>34</v>
      </c>
      <c r="E6" s="2" t="s">
        <v>41</v>
      </c>
      <c r="F6" s="2" t="s">
        <v>38</v>
      </c>
      <c r="G6" s="2">
        <v>72500000</v>
      </c>
    </row>
    <row r="7" spans="2:7" x14ac:dyDescent="0.25">
      <c r="B7" s="5">
        <v>46023</v>
      </c>
      <c r="C7" s="2" t="s">
        <v>3633</v>
      </c>
      <c r="D7" s="2" t="s">
        <v>88</v>
      </c>
      <c r="E7" s="2" t="s">
        <v>35</v>
      </c>
      <c r="F7" s="2" t="s">
        <v>3635</v>
      </c>
      <c r="G7" s="2">
        <v>125000000</v>
      </c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EB12-3444-48C3-B9CB-EE1580D7B980}">
  <dimension ref="C1:Y46"/>
  <sheetViews>
    <sheetView tabSelected="1" workbookViewId="0"/>
  </sheetViews>
  <sheetFormatPr defaultRowHeight="15" x14ac:dyDescent="0.25"/>
  <cols>
    <col min="3" max="3" width="55.5703125" customWidth="1"/>
    <col min="4" max="4" width="40" customWidth="1"/>
    <col min="5" max="5" width="34" customWidth="1"/>
    <col min="6" max="6" width="19.42578125" bestFit="1" customWidth="1"/>
    <col min="7" max="7" width="19.7109375" customWidth="1"/>
    <col min="8" max="8" width="19.85546875" bestFit="1" customWidth="1"/>
    <col min="16" max="16" width="16.85546875" bestFit="1" customWidth="1"/>
    <col min="17" max="17" width="15.42578125" bestFit="1" customWidth="1"/>
    <col min="18" max="18" width="16.5703125" bestFit="1" customWidth="1"/>
    <col min="23" max="23" width="16.85546875" bestFit="1" customWidth="1"/>
    <col min="24" max="24" width="15.42578125" bestFit="1" customWidth="1"/>
    <col min="25" max="25" width="16.5703125" bestFit="1" customWidth="1"/>
  </cols>
  <sheetData>
    <row r="1" spans="3:25" x14ac:dyDescent="0.25">
      <c r="W1" s="27" t="s">
        <v>1</v>
      </c>
      <c r="X1" s="30">
        <v>46045</v>
      </c>
    </row>
    <row r="3" spans="3:25" ht="21.75" thickBot="1" x14ac:dyDescent="0.4">
      <c r="C3" s="6">
        <v>46045</v>
      </c>
      <c r="W3" s="27" t="s">
        <v>3651</v>
      </c>
      <c r="X3" t="s">
        <v>3653</v>
      </c>
      <c r="Y3" t="s">
        <v>3654</v>
      </c>
    </row>
    <row r="4" spans="3:25" ht="33.75" x14ac:dyDescent="0.5">
      <c r="C4" s="17" t="s">
        <v>3619</v>
      </c>
      <c r="D4" s="18"/>
      <c r="E4" s="19"/>
      <c r="W4" s="28" t="s">
        <v>67</v>
      </c>
      <c r="X4" s="29">
        <v>162</v>
      </c>
      <c r="Y4" s="29">
        <v>2949909.62</v>
      </c>
    </row>
    <row r="5" spans="3:25" ht="23.25" x14ac:dyDescent="0.35">
      <c r="C5" s="10" t="s">
        <v>3620</v>
      </c>
      <c r="D5" s="3" t="s">
        <v>3621</v>
      </c>
      <c r="E5" s="11" t="s">
        <v>3622</v>
      </c>
      <c r="W5" s="28" t="s">
        <v>57</v>
      </c>
      <c r="X5" s="29">
        <v>213</v>
      </c>
      <c r="Y5" s="29">
        <v>5790268.4900000002</v>
      </c>
    </row>
    <row r="6" spans="3:25" ht="26.25" x14ac:dyDescent="0.4">
      <c r="C6" s="12" t="s">
        <v>3623</v>
      </c>
      <c r="D6" s="7">
        <f>SUMIF(sales_order_tracking_data[Invoice_Date],C3,sales_order_tracking_data[Gross_Sales])</f>
        <v>28609797.430000003</v>
      </c>
      <c r="E6" s="13">
        <f>SUMIFS(sales_order_tracking_data[Gross_Sales],sales_order_tracking_data[Invoice_Date],"&gt;="&amp;DATE(2026,1,1),sales_order_tracking_data[Invoice_Date],"&lt;="&amp;DATE(2026,1,31))</f>
        <v>554732641.94999957</v>
      </c>
      <c r="W6" s="28" t="s">
        <v>38</v>
      </c>
      <c r="X6" s="29">
        <v>195</v>
      </c>
      <c r="Y6" s="29">
        <v>3506741.87</v>
      </c>
    </row>
    <row r="7" spans="3:25" ht="26.25" x14ac:dyDescent="0.4">
      <c r="C7" s="12" t="s">
        <v>3624</v>
      </c>
      <c r="D7" s="7">
        <f>SUMIF(sales_order_tracking_data[Invoice_Date],C3,sales_order_tracking_data[Return_Amount])</f>
        <v>1061245.6299999999</v>
      </c>
      <c r="E7" s="13">
        <f>SUMIFS(sales_order_tracking_data[Return_Amount],sales_order_tracking_data[Invoice_Date],"&gt;="&amp;DATE(2026,1,1),sales_order_tracking_data[Invoice_Date],"&lt;="&amp;DATE(2026,1,31))</f>
        <v>12548926.619999999</v>
      </c>
      <c r="W7" s="28" t="s">
        <v>94</v>
      </c>
      <c r="X7" s="29">
        <v>126</v>
      </c>
      <c r="Y7" s="29">
        <v>2358127.0100000002</v>
      </c>
    </row>
    <row r="8" spans="3:25" ht="26.25" x14ac:dyDescent="0.4">
      <c r="C8" s="12" t="s">
        <v>3625</v>
      </c>
      <c r="D8" s="7">
        <f>SUMIF(sales_order_tracking_data[Invoice_Date],C3,sales_order_tracking_data[Net_Sales])</f>
        <v>25379535.350000001</v>
      </c>
      <c r="E8" s="13">
        <f>SUMIFS(sales_order_tracking_data[Net_Sales],sales_order_tracking_data[Invoice_Date],"&gt;="&amp;DATE(2026,1,1),sales_order_tracking_data[Invoice_Date],"&lt;="&amp;DATE(2026,1,31))</f>
        <v>506129510.77999955</v>
      </c>
      <c r="W8" s="28" t="s">
        <v>44</v>
      </c>
      <c r="X8" s="29">
        <v>257</v>
      </c>
      <c r="Y8" s="29">
        <v>6773566.3800000008</v>
      </c>
    </row>
    <row r="9" spans="3:25" ht="26.25" x14ac:dyDescent="0.4">
      <c r="C9" s="12" t="s">
        <v>3626</v>
      </c>
      <c r="D9" s="8">
        <f>SUM(TARGET!G4:G7)/30</f>
        <v>17750000</v>
      </c>
      <c r="E9" s="13">
        <f>SUM(TARGET!G4:G7)</f>
        <v>532500000</v>
      </c>
      <c r="W9" s="28" t="s">
        <v>23</v>
      </c>
      <c r="X9" s="29">
        <v>188</v>
      </c>
      <c r="Y9" s="29">
        <v>4000921.9800000004</v>
      </c>
    </row>
    <row r="10" spans="3:25" ht="27" thickBot="1" x14ac:dyDescent="0.45">
      <c r="C10" s="14" t="s">
        <v>3627</v>
      </c>
      <c r="D10" s="9">
        <f>D8/D9</f>
        <v>1.4298329774647889</v>
      </c>
      <c r="E10" s="15">
        <f>E8/E9</f>
        <v>0.95047795451643113</v>
      </c>
      <c r="W10" s="28" t="s">
        <v>3652</v>
      </c>
      <c r="X10" s="29">
        <v>1141</v>
      </c>
      <c r="Y10" s="29">
        <v>25379535.350000001</v>
      </c>
    </row>
    <row r="14" spans="3:25" ht="21.75" thickBot="1" x14ac:dyDescent="0.4">
      <c r="C14" s="6">
        <v>46045</v>
      </c>
    </row>
    <row r="15" spans="3:25" ht="33.75" x14ac:dyDescent="0.5">
      <c r="C15" s="17" t="s">
        <v>3636</v>
      </c>
      <c r="D15" s="18"/>
      <c r="E15" s="18"/>
      <c r="F15" s="18"/>
      <c r="G15" s="18"/>
      <c r="H15" s="19"/>
    </row>
    <row r="16" spans="3:25" ht="23.25" x14ac:dyDescent="0.35">
      <c r="C16" s="10" t="s">
        <v>3637</v>
      </c>
      <c r="D16" s="3" t="s">
        <v>3638</v>
      </c>
      <c r="E16" s="3" t="s">
        <v>3639</v>
      </c>
      <c r="F16" s="3" t="s">
        <v>3626</v>
      </c>
      <c r="G16" s="3" t="s">
        <v>3640</v>
      </c>
      <c r="H16" s="11" t="s">
        <v>3641</v>
      </c>
    </row>
    <row r="17" spans="3:9" ht="23.25" x14ac:dyDescent="0.35">
      <c r="C17" s="21" t="s">
        <v>3630</v>
      </c>
      <c r="D17" s="7">
        <f>SUMIFS(sales_order_tracking_data[Net_Sales],sales_order_tracking_data[Region],"EAST",sales_order_tracking_data[Invoice_Date],$C$14)</f>
        <v>4297934.66</v>
      </c>
      <c r="E17" s="7">
        <f>SUMIFS(sales_order_tracking_data[Gross_Sales], sales_order_tracking_data[Invoice_Date], "&gt;="&amp;DATE(2026,1,1), sales_order_tracking_data[Invoice_Date], "&lt;="&amp;DATE(2026,1,31),sales_order_tracking_data[Region],"EAST")</f>
        <v>105373866.54000004</v>
      </c>
      <c r="F17" s="8">
        <f>VLOOKUP(C17,TARGET!$C$3:$G$7,5,FALSE)</f>
        <v>155000000</v>
      </c>
      <c r="G17" s="7">
        <f>F17-E17</f>
        <v>49626133.459999964</v>
      </c>
      <c r="H17" s="22">
        <f>E17/$E$21</f>
        <v>0.23759232985926429</v>
      </c>
      <c r="I17" s="20"/>
    </row>
    <row r="18" spans="3:9" ht="23.25" x14ac:dyDescent="0.35">
      <c r="C18" s="21" t="s">
        <v>3631</v>
      </c>
      <c r="D18" s="7">
        <f>SUMIFS(sales_order_tracking_data[Net_Sales],sales_order_tracking_data[Region],"WEST",sales_order_tracking_data[Invoice_Date],$C$14)</f>
        <v>5994573.9699999997</v>
      </c>
      <c r="E18" s="7">
        <f>SUMIFS(sales_order_tracking_data[Gross_Sales], sales_order_tracking_data[Invoice_Date], "&gt;="&amp;DATE(2026,1,1), sales_order_tracking_data[Invoice_Date], "&lt;="&amp;DATE(2026,1,31),sales_order_tracking_data[Region],C18)</f>
        <v>108830298.42999998</v>
      </c>
      <c r="F18" s="8">
        <f>VLOOKUP(C18,TARGET!$C$3:$G$7,5,FALSE)</f>
        <v>180000000</v>
      </c>
      <c r="G18" s="7">
        <f t="shared" ref="G18:G20" si="0">F18-E18</f>
        <v>71169701.570000023</v>
      </c>
      <c r="H18" s="22">
        <f t="shared" ref="H18:H20" si="1">E18/$E$21</f>
        <v>0.24538573948453613</v>
      </c>
    </row>
    <row r="19" spans="3:9" ht="23.25" x14ac:dyDescent="0.35">
      <c r="C19" s="21" t="s">
        <v>3632</v>
      </c>
      <c r="D19" s="7">
        <f>SUMIFS(sales_order_tracking_data[Net_Sales],sales_order_tracking_data[Region],"NORTH",sales_order_tracking_data[Invoice_Date],$C$14)</f>
        <v>3841943.37</v>
      </c>
      <c r="E19" s="7">
        <f>SUMIFS(sales_order_tracking_data[Gross_Sales], sales_order_tracking_data[Invoice_Date], "&gt;="&amp;DATE(2026,1,1), sales_order_tracking_data[Invoice_Date], "&lt;="&amp;DATE(2026,1,31),sales_order_tracking_data[Region],C19)</f>
        <v>117651702.56</v>
      </c>
      <c r="F19" s="8">
        <f>VLOOKUP(C19,TARGET!$C$3:$G$7,5,FALSE)</f>
        <v>72500000</v>
      </c>
      <c r="G19" s="7">
        <f t="shared" si="0"/>
        <v>-45151702.560000002</v>
      </c>
      <c r="H19" s="22">
        <f t="shared" si="1"/>
        <v>0.26527585103398027</v>
      </c>
    </row>
    <row r="20" spans="3:9" ht="23.25" x14ac:dyDescent="0.35">
      <c r="C20" s="21" t="s">
        <v>3633</v>
      </c>
      <c r="D20" s="7">
        <f>SUMIFS(sales_order_tracking_data[Net_Sales],sales_order_tracking_data[Region],"SOUTH",sales_order_tracking_data[Invoice_Date],$C$14)</f>
        <v>5494611.2400000002</v>
      </c>
      <c r="E20" s="7">
        <f>SUMIFS(sales_order_tracking_data[Gross_Sales], sales_order_tracking_data[Invoice_Date], "&gt;="&amp;DATE(2026,1,1), sales_order_tracking_data[Invoice_Date], "&lt;="&amp;DATE(2026,1,31),sales_order_tracking_data[Region],C20)</f>
        <v>111651153.93999994</v>
      </c>
      <c r="F20" s="8">
        <f>VLOOKUP(C20,TARGET!$C$3:$G$7,5,FALSE)</f>
        <v>125000000</v>
      </c>
      <c r="G20" s="7">
        <f t="shared" si="0"/>
        <v>13348846.060000062</v>
      </c>
      <c r="H20" s="22">
        <f t="shared" si="1"/>
        <v>0.25174607962221929</v>
      </c>
    </row>
    <row r="21" spans="3:9" ht="24" thickBot="1" x14ac:dyDescent="0.4">
      <c r="C21" s="23" t="s">
        <v>3642</v>
      </c>
      <c r="D21" s="24">
        <f>SUM(D17:D20)</f>
        <v>19629063.240000002</v>
      </c>
      <c r="E21" s="24">
        <f>SUM(E17:E20)</f>
        <v>443507021.46999997</v>
      </c>
      <c r="F21" s="24">
        <f>SUM(F17:F20)</f>
        <v>532500000</v>
      </c>
      <c r="G21" s="25"/>
      <c r="H21" s="15">
        <v>1</v>
      </c>
    </row>
    <row r="26" spans="3:9" ht="15.75" thickBot="1" x14ac:dyDescent="0.3"/>
    <row r="27" spans="3:9" ht="33.75" x14ac:dyDescent="0.5">
      <c r="C27" s="17" t="s">
        <v>3643</v>
      </c>
      <c r="D27" s="18"/>
      <c r="E27" s="18"/>
      <c r="F27" s="19"/>
    </row>
    <row r="28" spans="3:9" ht="23.25" x14ac:dyDescent="0.35">
      <c r="C28" s="10" t="s">
        <v>3644</v>
      </c>
      <c r="D28" s="3" t="s">
        <v>3621</v>
      </c>
      <c r="E28" s="3" t="s">
        <v>3622</v>
      </c>
      <c r="F28" s="11" t="s">
        <v>3645</v>
      </c>
    </row>
    <row r="29" spans="3:9" ht="23.25" x14ac:dyDescent="0.35">
      <c r="C29" s="26" t="s">
        <v>41</v>
      </c>
      <c r="D29" s="7">
        <f>SUMIFS(sales_order_tracking_data[Net_Sales],sales_order_tracking_data[Invoice_Date],$C$3,sales_order_tracking_data[Sales_Channel],C29)</f>
        <v>9564642.4399999995</v>
      </c>
      <c r="E29" s="7">
        <f>SUMIFS(sales_order_tracking_data[Net_Sales],sales_order_tracking_data[Invoice_Date],"&gt;="&amp;DATE(2026,1,1),sales_order_tracking_data[Invoice_Date],"&lt;="&amp;DATE(2026,1,31),sales_order_tracking_data[Sales_Channel],C29)</f>
        <v>120479567.63999997</v>
      </c>
      <c r="F29" s="22">
        <f>E29/$E$33</f>
        <v>0.23804098570408985</v>
      </c>
    </row>
    <row r="30" spans="3:9" ht="23.25" x14ac:dyDescent="0.35">
      <c r="C30" s="26" t="s">
        <v>35</v>
      </c>
      <c r="D30" s="7">
        <f>SUMIFS(sales_order_tracking_data[Net_Sales],sales_order_tracking_data[Invoice_Date],$C$3,sales_order_tracking_data[Sales_Channel],C30)</f>
        <v>4400555.290000001</v>
      </c>
      <c r="E30" s="7">
        <f>SUMIFS(sales_order_tracking_data[Net_Sales],sales_order_tracking_data[Invoice_Date],"&gt;="&amp;DATE(2026,1,1),sales_order_tracking_data[Invoice_Date],"&lt;="&amp;DATE(2026,1,31),sales_order_tracking_data[Sales_Channel],C30)</f>
        <v>113364360.86999997</v>
      </c>
      <c r="F30" s="22">
        <f t="shared" ref="F30:F32" si="2">E30/$E$33</f>
        <v>0.22398291041218543</v>
      </c>
    </row>
    <row r="31" spans="3:9" ht="23.25" x14ac:dyDescent="0.35">
      <c r="C31" s="26" t="s">
        <v>49</v>
      </c>
      <c r="D31" s="7">
        <f>SUMIFS(sales_order_tracking_data[Net_Sales],sales_order_tracking_data[Invoice_Date],$C$3,sales_order_tracking_data[Sales_Channel],C31)</f>
        <v>5792820.5299999993</v>
      </c>
      <c r="E31" s="7">
        <f>SUMIFS(sales_order_tracking_data[Net_Sales],sales_order_tracking_data[Invoice_Date],"&gt;="&amp;DATE(2026,1,1),sales_order_tracking_data[Invoice_Date],"&lt;="&amp;DATE(2026,1,31),sales_order_tracking_data[Sales_Channel],C31)</f>
        <v>140970851.33000004</v>
      </c>
      <c r="F31" s="22">
        <f t="shared" si="2"/>
        <v>0.278527231326126</v>
      </c>
    </row>
    <row r="32" spans="3:9" ht="23.25" x14ac:dyDescent="0.35">
      <c r="C32" s="26" t="s">
        <v>20</v>
      </c>
      <c r="D32" s="7">
        <f>SUMIFS(sales_order_tracking_data[Net_Sales],sales_order_tracking_data[Invoice_Date],$C$3,sales_order_tracking_data[Sales_Channel],C32)</f>
        <v>5621517.0899999999</v>
      </c>
      <c r="E32" s="7">
        <f>SUMIFS(sales_order_tracking_data[Net_Sales],sales_order_tracking_data[Invoice_Date],"&gt;="&amp;DATE(2026,1,1),sales_order_tracking_data[Invoice_Date],"&lt;="&amp;DATE(2026,1,31),sales_order_tracking_data[Sales_Channel],C32)</f>
        <v>131314730.93999998</v>
      </c>
      <c r="F32" s="22">
        <f t="shared" si="2"/>
        <v>0.25944887255759869</v>
      </c>
    </row>
    <row r="33" spans="3:7" ht="24" thickBot="1" x14ac:dyDescent="0.4">
      <c r="C33" s="23" t="s">
        <v>3642</v>
      </c>
      <c r="D33" s="24">
        <f>SUM(D29:D32)</f>
        <v>25379535.349999998</v>
      </c>
      <c r="E33" s="24">
        <f t="shared" ref="E33:F33" si="3">SUM(E29:E32)</f>
        <v>506129510.77999997</v>
      </c>
      <c r="F33" s="9">
        <f t="shared" si="3"/>
        <v>1</v>
      </c>
    </row>
    <row r="37" spans="3:7" ht="15.75" thickBot="1" x14ac:dyDescent="0.3"/>
    <row r="38" spans="3:7" ht="33.75" x14ac:dyDescent="0.5">
      <c r="C38" s="17" t="s">
        <v>3646</v>
      </c>
      <c r="D38" s="18"/>
      <c r="E38" s="18"/>
      <c r="F38" s="18"/>
      <c r="G38" s="19"/>
    </row>
    <row r="39" spans="3:7" ht="23.25" x14ac:dyDescent="0.35">
      <c r="C39" s="10" t="s">
        <v>3647</v>
      </c>
      <c r="D39" s="3" t="s">
        <v>3648</v>
      </c>
      <c r="E39" s="3" t="s">
        <v>3649</v>
      </c>
      <c r="F39" s="3" t="s">
        <v>3639</v>
      </c>
      <c r="G39" s="11" t="s">
        <v>3650</v>
      </c>
    </row>
    <row r="40" spans="3:7" ht="23.25" x14ac:dyDescent="0.35">
      <c r="C40" s="26" t="s">
        <v>67</v>
      </c>
      <c r="D40" s="7">
        <f>SUMIFS(sales_order_tracking_data[Quantity],sales_order_tracking_data[Product_Category],$C40)</f>
        <v>13776</v>
      </c>
      <c r="E40" s="7">
        <f>SUMIFS(sales_order_tracking_data[Net_Sales],sales_order_tracking_data[Product_Category],C40)</f>
        <v>301259981.73999995</v>
      </c>
      <c r="F40" s="31">
        <f>SUMIFS(sales_order_tracking_data[Net_Sales],sales_order_tracking_data[Invoice_Date],"&gt;="&amp;DATE(2026,1,1),sales_order_tracking_data[Invoice_Date],"&lt;="&amp;DATE(2026,1,31),sales_order_tracking_data[Product_Category],C40)</f>
        <v>65595447.499999993</v>
      </c>
      <c r="G40" s="22">
        <f>+F40/$F$46</f>
        <v>0.12960210006112932</v>
      </c>
    </row>
    <row r="41" spans="3:7" ht="23.25" x14ac:dyDescent="0.35">
      <c r="C41" s="26" t="s">
        <v>3655</v>
      </c>
      <c r="D41" s="7">
        <f>SUMIFS(sales_order_tracking_data[Quantity],sales_order_tracking_data[Product_Category],$C41)</f>
        <v>14926</v>
      </c>
      <c r="E41" s="7">
        <f>SUMIFS(sales_order_tracking_data[Net_Sales],sales_order_tracking_data[Product_Category],C41)</f>
        <v>354366513.7300002</v>
      </c>
      <c r="F41" s="31">
        <f>SUMIFS(sales_order_tracking_data[Net_Sales],sales_order_tracking_data[Invoice_Date],"&gt;="&amp;DATE(2026,1,1),sales_order_tracking_data[Invoice_Date],"&lt;="&amp;DATE(2026,1,31),sales_order_tracking_data[Product_Category],C41)</f>
        <v>85140544.010000005</v>
      </c>
      <c r="G41" s="22">
        <f t="shared" ref="G41:G46" si="4">+F41/$F$46</f>
        <v>0.16821888903255072</v>
      </c>
    </row>
    <row r="42" spans="3:7" ht="23.25" x14ac:dyDescent="0.35">
      <c r="C42" s="26" t="s">
        <v>38</v>
      </c>
      <c r="D42" s="7">
        <f>SUMIFS(sales_order_tracking_data[Quantity],sales_order_tracking_data[Product_Category],$C42)</f>
        <v>15151</v>
      </c>
      <c r="E42" s="7">
        <f>SUMIFS(sales_order_tracking_data[Net_Sales],sales_order_tracking_data[Product_Category],C42)</f>
        <v>362195071.12999994</v>
      </c>
      <c r="F42" s="31">
        <f>SUMIFS(sales_order_tracking_data[Net_Sales],sales_order_tracking_data[Invoice_Date],"&gt;="&amp;DATE(2026,1,1),sales_order_tracking_data[Invoice_Date],"&lt;="&amp;DATE(2026,1,31),sales_order_tracking_data[Product_Category],C42)</f>
        <v>92893075.529999986</v>
      </c>
      <c r="G42" s="22">
        <f t="shared" si="4"/>
        <v>0.18353617710779552</v>
      </c>
    </row>
    <row r="43" spans="3:7" ht="23.25" x14ac:dyDescent="0.35">
      <c r="C43" s="26" t="s">
        <v>94</v>
      </c>
      <c r="D43" s="7">
        <f>SUMIFS(sales_order_tracking_data[Quantity],sales_order_tracking_data[Product_Category],$C43)</f>
        <v>14955</v>
      </c>
      <c r="E43" s="7">
        <f>SUMIFS(sales_order_tracking_data[Net_Sales],sales_order_tracking_data[Product_Category],C43)</f>
        <v>332665564.37</v>
      </c>
      <c r="F43" s="31">
        <f>SUMIFS(sales_order_tracking_data[Net_Sales],sales_order_tracking_data[Invoice_Date],"&gt;="&amp;DATE(2026,1,1),sales_order_tracking_data[Invoice_Date],"&lt;="&amp;DATE(2026,1,31),sales_order_tracking_data[Product_Category],C43)</f>
        <v>91090345.780000016</v>
      </c>
      <c r="G43" s="22">
        <f t="shared" si="4"/>
        <v>0.17997438173407435</v>
      </c>
    </row>
    <row r="44" spans="3:7" ht="23.25" x14ac:dyDescent="0.35">
      <c r="C44" s="26" t="s">
        <v>44</v>
      </c>
      <c r="D44" s="7">
        <f>SUMIFS(sales_order_tracking_data[Quantity],sales_order_tracking_data[Product_Category],$C44)</f>
        <v>16011</v>
      </c>
      <c r="E44" s="7">
        <f>SUMIFS(sales_order_tracking_data[Net_Sales],sales_order_tracking_data[Product_Category],C44)</f>
        <v>379932835.91000068</v>
      </c>
      <c r="F44" s="31">
        <f>SUMIFS(sales_order_tracking_data[Net_Sales],sales_order_tracking_data[Invoice_Date],"&gt;="&amp;DATE(2026,1,1),sales_order_tracking_data[Invoice_Date],"&lt;="&amp;DATE(2026,1,31),sales_order_tracking_data[Product_Category],C44)</f>
        <v>81933252.480000019</v>
      </c>
      <c r="G44" s="22">
        <f t="shared" si="4"/>
        <v>0.16188199015254429</v>
      </c>
    </row>
    <row r="45" spans="3:7" ht="23.25" x14ac:dyDescent="0.35">
      <c r="C45" s="26" t="s">
        <v>3635</v>
      </c>
      <c r="D45" s="7">
        <f>SUMIFS(sales_order_tracking_data[Quantity],sales_order_tracking_data[Product_Category],$C45)</f>
        <v>14915</v>
      </c>
      <c r="E45" s="7">
        <f>SUMIFS(sales_order_tracking_data[Net_Sales],sales_order_tracking_data[Product_Category],C45)</f>
        <v>330474349.85000014</v>
      </c>
      <c r="F45" s="31">
        <f>SUMIFS(sales_order_tracking_data[Net_Sales],sales_order_tracking_data[Invoice_Date],"&gt;="&amp;DATE(2026,1,1),sales_order_tracking_data[Invoice_Date],"&lt;="&amp;DATE(2026,1,31),sales_order_tracking_data[Product_Category],C45)</f>
        <v>89476845.480000004</v>
      </c>
      <c r="G45" s="22">
        <f t="shared" si="4"/>
        <v>0.17678646191190583</v>
      </c>
    </row>
    <row r="46" spans="3:7" ht="24" thickBot="1" x14ac:dyDescent="0.4">
      <c r="C46" s="32" t="s">
        <v>3642</v>
      </c>
      <c r="D46" s="24">
        <f>SUM(D40:D45)</f>
        <v>89734</v>
      </c>
      <c r="E46" s="24">
        <f>SUM(E40:E45)</f>
        <v>2060894316.7300012</v>
      </c>
      <c r="F46" s="24">
        <f>SUM(F40:F45)</f>
        <v>506129510.78000003</v>
      </c>
      <c r="G46" s="15">
        <f t="shared" si="4"/>
        <v>1</v>
      </c>
    </row>
  </sheetData>
  <mergeCells count="4">
    <mergeCell ref="C4:E4"/>
    <mergeCell ref="C15:H15"/>
    <mergeCell ref="C27:F27"/>
    <mergeCell ref="C38:G38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4D045-4F97-4C99-89A1-F622B856A9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sales_order_tracking_data</vt:lpstr>
      <vt:lpstr>TARGET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dcterms:created xsi:type="dcterms:W3CDTF">2026-01-24T07:58:08Z</dcterms:created>
  <dcterms:modified xsi:type="dcterms:W3CDTF">2026-01-25T10:47:35Z</dcterms:modified>
</cp:coreProperties>
</file>